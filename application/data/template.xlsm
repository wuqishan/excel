
<file path=[Content_Types].xml><?xml version="1.0" encoding="utf-8"?>
<Types xmlns="http://schemas.openxmlformats.org/package/2006/content-types">
  <Default Extension="wmf" ContentType="image/x-wmf"/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thumbnail" Target="docProps/thumbnail.wmf"/><Relationship Id="rId4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5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870" windowHeight="7020"/>
  </bookViews>
  <sheets>
    <sheet name="Sheet1" sheetId="1" r:id="rId1"/>
    <sheet name="Sheet2" sheetId="2" r:id="rId2"/>
    <sheet name="Sheet3" sheetId="3" r:id="rId3"/>
  </sheets>
  <calcPr calcId="144525"/>
</workbook>
</file>

<file path=xl/comments1.xml><?xml version="1.0" encoding="utf-8"?>
<comments xmlns="http://schemas.openxmlformats.org/spreadsheetml/2006/main">
  <authors>
    <author>Yuki</author>
  </authors>
  <commentList>
    <comment ref="AT46" authorId="0">
      <text>
        <r>
          <rPr>
            <b/>
            <sz val="9"/>
            <rFont val="宋体"/>
            <charset val="134"/>
          </rPr>
          <t>Yuki:</t>
        </r>
        <r>
          <rPr>
            <sz val="9"/>
            <rFont val="宋体"/>
            <charset val="134"/>
          </rPr>
          <t xml:space="preserve">
默认0，需要审核改成1</t>
        </r>
      </text>
    </comment>
  </commentList>
</comments>
</file>

<file path=xl/sharedStrings.xml><?xml version="1.0" encoding="utf-8"?>
<sst xmlns="http://schemas.openxmlformats.org/spreadsheetml/2006/main" count="182">
  <si>
    <t>男</t>
  </si>
  <si>
    <t>女</t>
  </si>
  <si>
    <t>门诊</t>
  </si>
  <si>
    <t>病房</t>
  </si>
  <si>
    <t>高血压</t>
  </si>
  <si>
    <t>糖尿病</t>
  </si>
  <si>
    <t>既往卒中史</t>
  </si>
  <si>
    <t>既往冠心病</t>
  </si>
  <si>
    <t>0-5年</t>
  </si>
  <si>
    <t>5-10年</t>
  </si>
  <si>
    <t>10-15年</t>
  </si>
  <si>
    <t>15-20年</t>
  </si>
  <si>
    <t>20年以上</t>
  </si>
  <si>
    <t>利尿剂</t>
  </si>
  <si>
    <t>血管紧张素转换酶抑制剂</t>
  </si>
  <si>
    <t>β受体阻滞剂</t>
  </si>
  <si>
    <t>钙通道阻滞剂</t>
  </si>
  <si>
    <t>其他</t>
  </si>
  <si>
    <t>常规剂量</t>
  </si>
  <si>
    <t>双倍剂量</t>
  </si>
  <si>
    <t>ARB+利尿剂</t>
  </si>
  <si>
    <t>ARB+CCB</t>
  </si>
  <si>
    <t>阿斯匹林</t>
  </si>
  <si>
    <t>氯吡格雷</t>
  </si>
  <si>
    <t>阿斯匹林+氯吡格雷</t>
  </si>
  <si>
    <t>IMT≤0.9mm</t>
  </si>
  <si>
    <t>IMT ≥1.0mm</t>
  </si>
  <si>
    <t>正常，颈动脉超声</t>
  </si>
  <si>
    <t>低回声</t>
  </si>
  <si>
    <t>高回声</t>
  </si>
  <si>
    <t>50%&lt;狭窄&lt;75%</t>
  </si>
  <si>
    <t>狭窄≥75%</t>
  </si>
  <si>
    <t>阴性</t>
  </si>
  <si>
    <t>阳性</t>
  </si>
  <si>
    <t>低危(0-2分)</t>
  </si>
  <si>
    <t>0</t>
  </si>
  <si>
    <t>中危(3-6分)</t>
  </si>
  <si>
    <t>1</t>
  </si>
  <si>
    <t xml:space="preserve">高危(7-9分) </t>
  </si>
  <si>
    <t>2</t>
  </si>
  <si>
    <t>是</t>
  </si>
  <si>
    <t>否</t>
  </si>
  <si>
    <t>正常</t>
  </si>
  <si>
    <t>硬化斑块</t>
  </si>
  <si>
    <t>序号</t>
  </si>
  <si>
    <t>编号</t>
  </si>
  <si>
    <t>检测日期</t>
  </si>
  <si>
    <t>所属医院</t>
  </si>
  <si>
    <t>医生</t>
  </si>
  <si>
    <t>姓名</t>
  </si>
  <si>
    <t>性别</t>
  </si>
  <si>
    <t>年龄</t>
  </si>
  <si>
    <t>手机</t>
  </si>
  <si>
    <t>就诊地点</t>
  </si>
  <si>
    <t>患者类型</t>
  </si>
  <si>
    <t>血压
收缩压</t>
  </si>
  <si>
    <t>血压
舒张压</t>
  </si>
  <si>
    <t>高血压病程(年)</t>
  </si>
  <si>
    <t>身高
cm</t>
  </si>
  <si>
    <t>体重
kg</t>
  </si>
  <si>
    <t>BMI</t>
  </si>
  <si>
    <t>降压方案</t>
  </si>
  <si>
    <t>既往卒中史/冠心病史</t>
  </si>
  <si>
    <t>颈动脉超声</t>
  </si>
  <si>
    <t>检测结果</t>
  </si>
  <si>
    <t>是否审核</t>
  </si>
  <si>
    <t>CODE</t>
  </si>
  <si>
    <t>方案</t>
  </si>
  <si>
    <t>其他备注</t>
  </si>
  <si>
    <t>血管紧张素II受体阻滞剂</t>
  </si>
  <si>
    <t>单片复方制剂</t>
  </si>
  <si>
    <t>评分</t>
  </si>
  <si>
    <t>危险级别</t>
  </si>
  <si>
    <t>抗血小板方案</t>
  </si>
  <si>
    <t>正常/硬化斑块</t>
  </si>
  <si>
    <t>内中膜厚度（IMT）</t>
  </si>
  <si>
    <t>硬化</t>
  </si>
  <si>
    <t>斑块</t>
  </si>
  <si>
    <t>尿蛋白</t>
  </si>
  <si>
    <t xml:space="preserve">尿白蛋白（mg/dL） </t>
  </si>
  <si>
    <t>尿肌酐（mg/dL）</t>
  </si>
  <si>
    <t xml:space="preserve">尿白蛋白肌酐比值(ACR:mg/mmol) </t>
  </si>
  <si>
    <t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</si>
  <si>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</si>
  <si>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</si>
  <si>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</si>
  <si>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</si>
  <si>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</si>
  <si>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</si>
  <si>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</si>
  <si>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</si>
  <si>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</si>
  <si>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</si>
  <si>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</si>
  <si>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</si>
  <si>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</si>
  <si>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</si>
  <si>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</si>
  <si>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</si>
  <si>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</si>
  <si>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</si>
  <si>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</si>
  <si>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</si>
  <si>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</si>
  <si>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</si>
  <si>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</si>
  <si>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</si>
  <si>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</si>
  <si>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</si>
  <si>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</si>
  <si>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</si>
  <si>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</si>
  <si>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</si>
  <si>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</si>
  <si>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</si>
  <si>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</si>
  <si>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</si>
  <si>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</si>
  <si>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</si>
  <si>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</si>
  <si>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</si>
  <si>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</si>
  <si>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</si>
  <si>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</si>
  <si>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</si>
  <si>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</si>
  <si>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</si>
  <si>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</si>
  <si>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</si>
  <si>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</si>
  <si>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</si>
  <si>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</si>
  <si>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</si>
  <si>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</si>
  <si>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</si>
  <si>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</si>
  <si>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</si>
  <si>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</si>
  <si>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</si>
  <si>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</si>
  <si>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</si>
  <si>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</si>
  <si>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</si>
  <si>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</si>
  <si>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</si>
  <si>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</si>
  <si>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</si>
  <si>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</si>
  <si>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</si>
  <si>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</si>
  <si>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</si>
  <si>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</si>
  <si>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</si>
  <si>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</si>
  <si>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</si>
  <si>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</si>
  <si>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</si>
  <si>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</si>
  <si>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</si>
  <si>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</si>
  <si>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</si>
  <si>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</si>
  <si>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</si>
  <si>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</si>
  <si>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</si>
  <si>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</si>
  <si>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</si>
  <si>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</si>
  <si>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</si>
  <si>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</si>
  <si>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</si>
  <si>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</si>
  <si>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</si>
  <si>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</si>
  <si>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</si>
  <si>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</si>
  <si>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</si>
  <si>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</si>
  <si>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</si>
  <si>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</si>
  <si>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</si>
  <si>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既往卒中史/冠心病史抗血小板方案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</si>
</sst>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25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b/>
      <sz val="10"/>
      <color indexed="8"/>
      <name val="宋体"/>
      <charset val="134"/>
    </font>
    <font>
      <u/>
      <sz val="11"/>
      <color theme="10"/>
      <name val="宋体"/>
      <charset val="134"/>
      <scheme val="minor"/>
    </font>
    <font>
      <sz val="10"/>
      <color indexed="8"/>
      <name val="宋体"/>
      <charset val="134"/>
    </font>
    <font>
      <b/>
      <sz val="11"/>
      <color theme="1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4F8DE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9" fillId="0" borderId="0" applyFont="0" applyFill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0" fillId="10" borderId="6" applyNumberFormat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43" fontId="9" fillId="0" borderId="0" applyFont="0" applyFill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" fillId="13" borderId="7" applyNumberFormat="0" applyFont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5" fillId="15" borderId="8" applyNumberFormat="0" applyAlignment="0" applyProtection="0">
      <alignment vertical="center"/>
    </xf>
    <xf numFmtId="0" fontId="22" fillId="15" borderId="6" applyNumberFormat="0" applyAlignment="0" applyProtection="0">
      <alignment vertical="center"/>
    </xf>
    <xf numFmtId="0" fontId="24" fillId="31" borderId="12" applyNumberFormat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6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0" fillId="6" borderId="0" xfId="0" applyNumberFormat="1" applyFill="1" applyAlignment="1">
      <alignment horizontal="center" vertical="center" shrinkToFit="1"/>
    </xf>
    <xf numFmtId="49" fontId="0" fillId="6" borderId="0" xfId="0" applyNumberFormat="1" applyFill="1" applyAlignment="1">
      <alignment horizontal="center" vertical="center"/>
    </xf>
    <xf numFmtId="0" fontId="1" fillId="6" borderId="0" xfId="0" applyNumberFormat="1" applyFont="1" applyFill="1" applyAlignment="1">
      <alignment horizontal="center" vertical="center"/>
    </xf>
    <xf numFmtId="49" fontId="0" fillId="6" borderId="0" xfId="0" applyNumberFormat="1" applyFill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2" fillId="7" borderId="1" xfId="0" applyNumberFormat="1" applyFont="1" applyFill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 wrapText="1"/>
    </xf>
    <xf numFmtId="0" fontId="2" fillId="6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49" fontId="0" fillId="6" borderId="1" xfId="0" applyNumberFormat="1" applyFill="1" applyBorder="1" applyAlignment="1">
      <alignment horizontal="center" vertical="center"/>
    </xf>
    <xf numFmtId="49" fontId="3" fillId="6" borderId="1" xfId="10" applyNumberFormat="1" applyFill="1" applyBorder="1" applyAlignment="1">
      <alignment horizontal="center" vertical="center"/>
    </xf>
    <xf numFmtId="0" fontId="0" fillId="6" borderId="1" xfId="0" applyNumberFormat="1" applyFill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 shrinkToFit="1"/>
    </xf>
    <xf numFmtId="0" fontId="4" fillId="6" borderId="1" xfId="0" applyNumberFormat="1" applyFont="1" applyFill="1" applyBorder="1" applyAlignment="1">
      <alignment horizontal="center" vertical="center" wrapText="1"/>
    </xf>
    <xf numFmtId="0" fontId="2" fillId="5" borderId="1" xfId="0" applyNumberFormat="1" applyFont="1" applyFill="1" applyBorder="1" applyAlignment="1">
      <alignment horizontal="center" vertical="center" wrapText="1"/>
    </xf>
    <xf numFmtId="0" fontId="2" fillId="6" borderId="1" xfId="0" applyNumberFormat="1" applyFont="1" applyFill="1" applyBorder="1" applyAlignment="1">
      <alignment horizontal="center" vertical="center" shrinkToFit="1"/>
    </xf>
    <xf numFmtId="49" fontId="0" fillId="0" borderId="1" xfId="0" applyNumberFormat="1" applyFill="1" applyBorder="1" applyAlignment="1">
      <alignment horizontal="center" vertical="center"/>
    </xf>
    <xf numFmtId="0" fontId="0" fillId="5" borderId="1" xfId="0" applyNumberFormat="1" applyFill="1" applyBorder="1" applyAlignment="1">
      <alignment horizontal="center" vertical="center"/>
    </xf>
    <xf numFmtId="0" fontId="0" fillId="6" borderId="1" xfId="0" applyNumberFormat="1" applyFill="1" applyBorder="1" applyAlignment="1">
      <alignment horizontal="center" vertical="center" shrinkToFit="1"/>
    </xf>
    <xf numFmtId="49" fontId="2" fillId="6" borderId="1" xfId="0" applyNumberFormat="1" applyFont="1" applyFill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/>
    </xf>
    <xf numFmtId="49" fontId="2" fillId="7" borderId="2" xfId="0" applyNumberFormat="1" applyFont="1" applyFill="1" applyBorder="1" applyAlignment="1">
      <alignment horizontal="center" vertical="center" wrapText="1"/>
    </xf>
    <xf numFmtId="49" fontId="2" fillId="7" borderId="4" xfId="0" applyNumberFormat="1" applyFont="1" applyFill="1" applyBorder="1" applyAlignment="1">
      <alignment horizontal="center" vertical="center" wrapText="1"/>
    </xf>
    <xf numFmtId="49" fontId="5" fillId="8" borderId="2" xfId="0" applyNumberFormat="1" applyFont="1" applyFill="1" applyBorder="1" applyAlignment="1">
      <alignment horizontal="center" vertical="center"/>
    </xf>
    <xf numFmtId="49" fontId="5" fillId="8" borderId="3" xfId="0" applyNumberFormat="1" applyFont="1" applyFill="1" applyBorder="1" applyAlignment="1">
      <alignment horizontal="center" vertical="center"/>
    </xf>
    <xf numFmtId="49" fontId="5" fillId="8" borderId="4" xfId="0" applyNumberFormat="1" applyFont="1" applyFill="1" applyBorder="1" applyAlignment="1">
      <alignment horizontal="center" vertical="center"/>
    </xf>
    <xf numFmtId="49" fontId="0" fillId="8" borderId="1" xfId="0" applyNumberFormat="1" applyFill="1" applyBorder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4F8D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T34430"/>
  <sheetViews>
    <sheetView tabSelected="1" topLeftCell="F45" workbookViewId="0">
      <selection activeCell="N48" sqref="N48"/>
    </sheetView>
  </sheetViews>
  <sheetFormatPr defaultColWidth="9" defaultRowHeight="13.5"/>
  <cols>
    <col min="1" max="1" width="6.25" style="11" customWidth="1"/>
    <col min="2" max="2" width="7.75" style="11" customWidth="1"/>
    <col min="3" max="3" width="6.25" style="11" customWidth="1"/>
    <col min="4" max="4" width="5.75" style="11" customWidth="1"/>
    <col min="5" max="5" width="6.25" style="11" customWidth="1"/>
    <col min="6" max="6" width="8.125" style="11" customWidth="1"/>
    <col min="7" max="7" width="9" style="12" hidden="1" customWidth="1"/>
    <col min="8" max="8" width="3.5" style="11" customWidth="1"/>
    <col min="9" max="9" width="3.25" style="11" customWidth="1"/>
    <col min="10" max="10" width="8.25" style="11" customWidth="1"/>
    <col min="11" max="11" width="9" style="12" hidden="1" customWidth="1"/>
    <col min="12" max="12" width="5.5" style="11" customWidth="1"/>
    <col min="13" max="13" width="9" style="12" hidden="1" customWidth="1"/>
    <col min="14" max="14" width="6.25" style="13" customWidth="1"/>
    <col min="15" max="16" width="6.5" style="11" customWidth="1"/>
    <col min="17" max="17" width="4.75" style="11" customWidth="1"/>
    <col min="18" max="18" width="5" style="11" customWidth="1"/>
    <col min="19" max="19" width="4.25" style="14" customWidth="1"/>
    <col min="20" max="20" width="3.875" style="15" customWidth="1"/>
    <col min="21" max="21" width="9" style="12" hidden="1" customWidth="1"/>
    <col min="22" max="22" width="7.375" style="13" customWidth="1"/>
    <col min="23" max="23" width="8.5" style="13" customWidth="1"/>
    <col min="24" max="24" width="14.5" style="16" hidden="1" customWidth="1"/>
    <col min="25" max="25" width="9" style="11"/>
    <col min="26" max="26" width="9" style="12" hidden="1" customWidth="1"/>
    <col min="27" max="27" width="8.25" style="11" customWidth="1"/>
    <col min="28" max="28" width="5.25" style="11" customWidth="1"/>
    <col min="29" max="29" width="9" style="12" hidden="1" customWidth="1"/>
    <col min="30" max="30" width="11.5" style="11" customWidth="1"/>
    <col min="31" max="31" width="7.75" style="17" hidden="1" customWidth="1"/>
    <col min="32" max="32" width="8.375" style="13" customWidth="1"/>
    <col min="33" max="33" width="9" style="17" hidden="1" customWidth="1"/>
    <col min="34" max="34" width="7" style="11" customWidth="1"/>
    <col min="35" max="35" width="9" style="18" hidden="1" customWidth="1"/>
    <col min="36" max="36" width="6.125" style="13" customWidth="1"/>
    <col min="37" max="37" width="9" style="19" hidden="1" customWidth="1"/>
    <col min="38" max="38" width="9" style="11"/>
    <col min="39" max="39" width="9" style="17" hidden="1" customWidth="1"/>
    <col min="40" max="40" width="5.625" style="13" customWidth="1"/>
    <col min="41" max="41" width="9" style="17" hidden="1" customWidth="1"/>
    <col min="42" max="42" width="6" style="11" customWidth="1"/>
    <col min="43" max="43" width="6.5" style="11" customWidth="1"/>
    <col min="44" max="44" width="8.875" style="11" customWidth="1"/>
    <col min="45" max="45" width="13.25" style="15" customWidth="1"/>
    <col min="46" max="46" width="9" style="11" customWidth="1"/>
    <col min="47" max="16384" width="9" style="11"/>
  </cols>
  <sheetData>
    <row r="1" hidden="1" spans="1:18">
      <c r="A1" s="20" t="s">
        <v>0</v>
      </c>
      <c r="B1" s="21">
        <v>0</v>
      </c>
      <c r="C1" s="13"/>
      <c r="D1" s="13"/>
      <c r="E1" s="13"/>
      <c r="F1" s="13"/>
      <c r="G1" s="16"/>
      <c r="H1" s="13"/>
      <c r="I1" s="13"/>
      <c r="J1" s="13"/>
      <c r="K1" s="16"/>
      <c r="L1" s="13"/>
      <c r="M1" s="16"/>
      <c r="O1" s="13"/>
      <c r="P1" s="13"/>
      <c r="Q1" s="13"/>
      <c r="R1" s="13"/>
    </row>
    <row r="2" hidden="1" spans="1:18">
      <c r="A2" s="20" t="s">
        <v>1</v>
      </c>
      <c r="B2" s="21">
        <v>1</v>
      </c>
      <c r="C2" s="13"/>
      <c r="D2" s="13"/>
      <c r="E2" s="13"/>
      <c r="F2" s="13"/>
      <c r="G2" s="16"/>
      <c r="H2" s="13"/>
      <c r="I2" s="13"/>
      <c r="J2" s="13"/>
      <c r="K2" s="16"/>
      <c r="L2" s="13"/>
      <c r="M2" s="16"/>
      <c r="O2" s="13"/>
      <c r="P2" s="13"/>
      <c r="Q2" s="13"/>
      <c r="R2" s="13"/>
    </row>
    <row r="3" hidden="1" spans="1:18">
      <c r="A3" s="20" t="s">
        <v>2</v>
      </c>
      <c r="B3" s="21">
        <v>0</v>
      </c>
      <c r="C3" s="13"/>
      <c r="D3" s="13"/>
      <c r="E3" s="13"/>
      <c r="F3" s="13"/>
      <c r="G3" s="16"/>
      <c r="H3" s="13"/>
      <c r="I3" s="13"/>
      <c r="J3" s="13"/>
      <c r="K3" s="16"/>
      <c r="L3" s="13"/>
      <c r="M3" s="16"/>
      <c r="O3" s="13"/>
      <c r="P3" s="13"/>
      <c r="Q3" s="13"/>
      <c r="R3" s="13"/>
    </row>
    <row r="4" hidden="1" spans="1:18">
      <c r="A4" s="20" t="s">
        <v>3</v>
      </c>
      <c r="B4" s="21">
        <v>1</v>
      </c>
      <c r="C4" s="13"/>
      <c r="D4" s="13"/>
      <c r="E4" s="13"/>
      <c r="F4" s="13"/>
      <c r="G4" s="16"/>
      <c r="H4" s="13"/>
      <c r="I4" s="13"/>
      <c r="J4" s="13"/>
      <c r="K4" s="16"/>
      <c r="L4" s="13"/>
      <c r="M4" s="16"/>
      <c r="O4" s="13"/>
      <c r="P4" s="13"/>
      <c r="Q4" s="13"/>
      <c r="R4" s="13"/>
    </row>
    <row r="5" hidden="1" spans="1:18">
      <c r="A5" s="20" t="s">
        <v>4</v>
      </c>
      <c r="B5" s="21">
        <v>0</v>
      </c>
      <c r="C5" s="13"/>
      <c r="D5" s="13"/>
      <c r="E5" s="13"/>
      <c r="F5" s="13"/>
      <c r="G5" s="16"/>
      <c r="H5" s="13"/>
      <c r="I5" s="13"/>
      <c r="J5" s="13"/>
      <c r="K5" s="16"/>
      <c r="L5" s="13"/>
      <c r="M5" s="16"/>
      <c r="O5" s="13"/>
      <c r="P5" s="13"/>
      <c r="Q5" s="13"/>
      <c r="R5" s="13"/>
    </row>
    <row r="6" hidden="1" spans="1:2">
      <c r="A6" s="20" t="s">
        <v>5</v>
      </c>
      <c r="B6" s="21">
        <v>2</v>
      </c>
    </row>
    <row r="7" hidden="1" spans="1:2">
      <c r="A7" s="20" t="s">
        <v>6</v>
      </c>
      <c r="B7" s="21">
        <v>4</v>
      </c>
    </row>
    <row r="8" hidden="1" spans="1:2">
      <c r="A8" s="20" t="s">
        <v>7</v>
      </c>
      <c r="B8" s="21">
        <v>3</v>
      </c>
    </row>
    <row r="9" hidden="1" spans="1:2">
      <c r="A9" s="20" t="s">
        <v>8</v>
      </c>
      <c r="B9" s="21">
        <v>0</v>
      </c>
    </row>
    <row r="10" hidden="1" spans="1:2">
      <c r="A10" s="20" t="s">
        <v>9</v>
      </c>
      <c r="B10" s="21">
        <v>1</v>
      </c>
    </row>
    <row r="11" hidden="1" spans="1:2">
      <c r="A11" s="20" t="s">
        <v>10</v>
      </c>
      <c r="B11" s="21">
        <v>2</v>
      </c>
    </row>
    <row r="12" hidden="1" spans="1:2">
      <c r="A12" s="20" t="s">
        <v>11</v>
      </c>
      <c r="B12" s="21">
        <v>3</v>
      </c>
    </row>
    <row r="13" hidden="1" spans="1:2">
      <c r="A13" s="20" t="s">
        <v>12</v>
      </c>
      <c r="B13" s="21">
        <v>4</v>
      </c>
    </row>
    <row r="14" hidden="1" spans="1:2">
      <c r="A14" s="20" t="s">
        <v>13</v>
      </c>
      <c r="B14" s="21">
        <v>0</v>
      </c>
    </row>
    <row r="15" hidden="1" spans="1:2">
      <c r="A15" s="20" t="s">
        <v>14</v>
      </c>
      <c r="B15" s="21">
        <v>1</v>
      </c>
    </row>
    <row r="16" hidden="1" spans="1:2">
      <c r="A16" s="20" t="s">
        <v>15</v>
      </c>
      <c r="B16" s="21">
        <v>2</v>
      </c>
    </row>
    <row r="17" hidden="1" spans="1:2">
      <c r="A17" s="20" t="s">
        <v>16</v>
      </c>
      <c r="B17" s="21">
        <v>3</v>
      </c>
    </row>
    <row r="18" hidden="1" spans="1:2">
      <c r="A18" s="20" t="s">
        <v>17</v>
      </c>
      <c r="B18" s="21">
        <v>4</v>
      </c>
    </row>
    <row r="19" hidden="1" spans="1:2">
      <c r="A19" s="20" t="s">
        <v>18</v>
      </c>
      <c r="B19" s="21">
        <v>0</v>
      </c>
    </row>
    <row r="20" hidden="1" spans="1:2">
      <c r="A20" s="20" t="s">
        <v>19</v>
      </c>
      <c r="B20" s="21">
        <v>1</v>
      </c>
    </row>
    <row r="21" hidden="1" spans="1:18">
      <c r="A21" s="20" t="s">
        <v>20</v>
      </c>
      <c r="B21" s="21">
        <v>0</v>
      </c>
      <c r="C21" s="13"/>
      <c r="D21" s="13"/>
      <c r="E21" s="13"/>
      <c r="F21" s="13"/>
      <c r="G21" s="16"/>
      <c r="H21" s="13"/>
      <c r="I21" s="13"/>
      <c r="J21" s="13"/>
      <c r="K21" s="16"/>
      <c r="L21" s="13"/>
      <c r="M21" s="16"/>
      <c r="O21" s="13"/>
      <c r="P21" s="13"/>
      <c r="Q21" s="13"/>
      <c r="R21" s="13"/>
    </row>
    <row r="22" hidden="1" spans="1:18">
      <c r="A22" s="20" t="s">
        <v>21</v>
      </c>
      <c r="B22" s="21">
        <v>1</v>
      </c>
      <c r="C22" s="13"/>
      <c r="D22" s="13"/>
      <c r="E22" s="13"/>
      <c r="F22" s="13"/>
      <c r="G22" s="16"/>
      <c r="H22" s="13"/>
      <c r="I22" s="13"/>
      <c r="J22" s="13"/>
      <c r="K22" s="16"/>
      <c r="L22" s="13"/>
      <c r="M22" s="16"/>
      <c r="O22" s="13"/>
      <c r="P22" s="13"/>
      <c r="Q22" s="13"/>
      <c r="R22" s="13"/>
    </row>
    <row r="23" hidden="1" spans="1:18">
      <c r="A23" s="20" t="s">
        <v>22</v>
      </c>
      <c r="B23" s="21">
        <v>0</v>
      </c>
      <c r="C23" s="13"/>
      <c r="D23" s="13"/>
      <c r="E23" s="13"/>
      <c r="F23" s="13"/>
      <c r="G23" s="16"/>
      <c r="H23" s="13"/>
      <c r="I23" s="13"/>
      <c r="J23" s="13"/>
      <c r="K23" s="16"/>
      <c r="L23" s="13"/>
      <c r="M23" s="16"/>
      <c r="O23" s="13"/>
      <c r="P23" s="13"/>
      <c r="Q23" s="13"/>
      <c r="R23" s="13"/>
    </row>
    <row r="24" hidden="1" spans="1:18">
      <c r="A24" s="20" t="s">
        <v>23</v>
      </c>
      <c r="B24" s="21">
        <v>1</v>
      </c>
      <c r="C24" s="13"/>
      <c r="D24" s="13"/>
      <c r="E24" s="13"/>
      <c r="F24" s="13"/>
      <c r="G24" s="16"/>
      <c r="H24" s="13"/>
      <c r="I24" s="13"/>
      <c r="J24" s="13"/>
      <c r="K24" s="16"/>
      <c r="L24" s="13"/>
      <c r="M24" s="16"/>
      <c r="O24" s="13"/>
      <c r="P24" s="13"/>
      <c r="Q24" s="13"/>
      <c r="R24" s="13"/>
    </row>
    <row r="25" hidden="1" spans="1:18">
      <c r="A25" s="20" t="s">
        <v>24</v>
      </c>
      <c r="B25" s="21">
        <v>2</v>
      </c>
      <c r="C25" s="13"/>
      <c r="D25" s="13"/>
      <c r="E25" s="13"/>
      <c r="F25" s="13"/>
      <c r="G25" s="16"/>
      <c r="H25" s="13"/>
      <c r="I25" s="13"/>
      <c r="J25" s="13"/>
      <c r="K25" s="16"/>
      <c r="L25" s="13"/>
      <c r="M25" s="16"/>
      <c r="O25" s="13"/>
      <c r="P25" s="13"/>
      <c r="Q25" s="13"/>
      <c r="R25" s="13"/>
    </row>
    <row r="26" hidden="1" spans="1:18">
      <c r="A26" s="20" t="s">
        <v>17</v>
      </c>
      <c r="B26" s="21">
        <v>3</v>
      </c>
      <c r="C26" s="13"/>
      <c r="D26" s="13"/>
      <c r="E26" s="13"/>
      <c r="F26" s="13"/>
      <c r="G26" s="16"/>
      <c r="H26" s="13"/>
      <c r="I26" s="13"/>
      <c r="J26" s="13"/>
      <c r="K26" s="16"/>
      <c r="L26" s="13"/>
      <c r="M26" s="16"/>
      <c r="O26" s="13"/>
      <c r="P26" s="13"/>
      <c r="Q26" s="13"/>
      <c r="R26" s="13"/>
    </row>
    <row r="27" hidden="1" spans="1:18">
      <c r="A27" s="20" t="s">
        <v>25</v>
      </c>
      <c r="B27" s="21">
        <v>0</v>
      </c>
      <c r="C27" s="13"/>
      <c r="D27" s="13"/>
      <c r="E27" s="13"/>
      <c r="F27" s="13"/>
      <c r="G27" s="16"/>
      <c r="H27" s="13"/>
      <c r="I27" s="13"/>
      <c r="J27" s="13"/>
      <c r="K27" s="16"/>
      <c r="L27" s="13"/>
      <c r="M27" s="16"/>
      <c r="O27" s="13"/>
      <c r="P27" s="13"/>
      <c r="Q27" s="13"/>
      <c r="R27" s="13"/>
    </row>
    <row r="28" hidden="1" spans="1:18">
      <c r="A28" s="20" t="s">
        <v>26</v>
      </c>
      <c r="B28" s="21">
        <v>1</v>
      </c>
      <c r="C28" s="13"/>
      <c r="D28" s="13"/>
      <c r="E28" s="13"/>
      <c r="F28" s="13"/>
      <c r="G28" s="16"/>
      <c r="H28" s="13"/>
      <c r="I28" s="13"/>
      <c r="J28" s="13"/>
      <c r="K28" s="16"/>
      <c r="L28" s="13"/>
      <c r="M28" s="16"/>
      <c r="O28" s="13"/>
      <c r="P28" s="13"/>
      <c r="Q28" s="13"/>
      <c r="R28" s="13"/>
    </row>
    <row r="29" hidden="1" spans="1:18">
      <c r="A29" s="20">
        <v>1</v>
      </c>
      <c r="B29" s="21">
        <v>1</v>
      </c>
      <c r="C29" s="13" t="s">
        <v>27</v>
      </c>
      <c r="D29" s="13"/>
      <c r="E29" s="13"/>
      <c r="F29" s="13"/>
      <c r="G29" s="16"/>
      <c r="H29" s="13"/>
      <c r="I29" s="13"/>
      <c r="J29" s="13"/>
      <c r="K29" s="16"/>
      <c r="L29" s="13"/>
      <c r="M29" s="16"/>
      <c r="O29" s="13"/>
      <c r="P29" s="13"/>
      <c r="Q29" s="13"/>
      <c r="R29" s="13"/>
    </row>
    <row r="30" hidden="1" spans="1:18">
      <c r="A30" s="20" t="s">
        <v>28</v>
      </c>
      <c r="B30" s="21">
        <v>0</v>
      </c>
      <c r="C30" s="13"/>
      <c r="D30" s="13"/>
      <c r="E30" s="13"/>
      <c r="F30" s="13"/>
      <c r="G30" s="16"/>
      <c r="H30" s="13"/>
      <c r="I30" s="13"/>
      <c r="J30" s="13"/>
      <c r="K30" s="16"/>
      <c r="L30" s="13"/>
      <c r="M30" s="16"/>
      <c r="O30" s="13"/>
      <c r="P30" s="13"/>
      <c r="Q30" s="13"/>
      <c r="R30" s="13"/>
    </row>
    <row r="31" hidden="1" spans="1:18">
      <c r="A31" s="20" t="s">
        <v>29</v>
      </c>
      <c r="B31" s="21">
        <v>1</v>
      </c>
      <c r="C31" s="13"/>
      <c r="D31" s="13"/>
      <c r="E31" s="13"/>
      <c r="F31" s="13"/>
      <c r="G31" s="16"/>
      <c r="H31" s="13"/>
      <c r="I31" s="13"/>
      <c r="J31" s="13"/>
      <c r="K31" s="16"/>
      <c r="L31" s="13"/>
      <c r="M31" s="16"/>
      <c r="O31" s="13"/>
      <c r="P31" s="13"/>
      <c r="Q31" s="13"/>
      <c r="R31" s="13"/>
    </row>
    <row r="32" hidden="1" spans="1:18">
      <c r="A32" s="20" t="s">
        <v>30</v>
      </c>
      <c r="B32" s="21">
        <v>0</v>
      </c>
      <c r="C32" s="13"/>
      <c r="D32" s="13"/>
      <c r="E32" s="13"/>
      <c r="F32" s="13"/>
      <c r="G32" s="16"/>
      <c r="H32" s="13"/>
      <c r="I32" s="13"/>
      <c r="J32" s="13"/>
      <c r="K32" s="16"/>
      <c r="L32" s="13"/>
      <c r="M32" s="16"/>
      <c r="O32" s="13"/>
      <c r="P32" s="13"/>
      <c r="Q32" s="13"/>
      <c r="R32" s="13"/>
    </row>
    <row r="33" hidden="1" spans="1:18">
      <c r="A33" s="20" t="s">
        <v>31</v>
      </c>
      <c r="B33" s="21">
        <v>1</v>
      </c>
      <c r="C33" s="13"/>
      <c r="D33" s="13"/>
      <c r="E33" s="13"/>
      <c r="F33" s="13"/>
      <c r="G33" s="16"/>
      <c r="H33" s="13"/>
      <c r="I33" s="13"/>
      <c r="J33" s="13"/>
      <c r="K33" s="16"/>
      <c r="L33" s="13"/>
      <c r="M33" s="16"/>
      <c r="O33" s="13"/>
      <c r="P33" s="13"/>
      <c r="Q33" s="13"/>
      <c r="R33" s="13"/>
    </row>
    <row r="34" hidden="1" spans="1:18">
      <c r="A34" s="20" t="s">
        <v>32</v>
      </c>
      <c r="B34" s="21">
        <v>0</v>
      </c>
      <c r="C34" s="13"/>
      <c r="D34" s="13"/>
      <c r="E34" s="13"/>
      <c r="F34" s="13"/>
      <c r="G34" s="16"/>
      <c r="H34" s="13"/>
      <c r="I34" s="13"/>
      <c r="J34" s="13"/>
      <c r="K34" s="16"/>
      <c r="L34" s="13"/>
      <c r="M34" s="16"/>
      <c r="O34" s="13"/>
      <c r="P34" s="13"/>
      <c r="Q34" s="13"/>
      <c r="R34" s="13"/>
    </row>
    <row r="35" hidden="1" spans="1:18">
      <c r="A35" s="20" t="s">
        <v>33</v>
      </c>
      <c r="B35" s="21">
        <v>1</v>
      </c>
      <c r="C35" s="13"/>
      <c r="D35" s="13"/>
      <c r="E35" s="13"/>
      <c r="F35" s="13"/>
      <c r="G35" s="16"/>
      <c r="H35" s="13"/>
      <c r="I35" s="13"/>
      <c r="J35" s="13"/>
      <c r="K35" s="16"/>
      <c r="L35" s="13"/>
      <c r="M35" s="16"/>
      <c r="O35" s="13"/>
      <c r="P35" s="13"/>
      <c r="Q35" s="13"/>
      <c r="R35" s="13"/>
    </row>
    <row r="36" hidden="1" spans="1:18">
      <c r="A36" s="22" t="s">
        <v>34</v>
      </c>
      <c r="B36" s="21" t="s">
        <v>35</v>
      </c>
      <c r="C36" s="13"/>
      <c r="D36" s="13"/>
      <c r="E36" s="13"/>
      <c r="F36" s="13"/>
      <c r="G36" s="16"/>
      <c r="H36" s="13"/>
      <c r="I36" s="13"/>
      <c r="J36" s="13"/>
      <c r="K36" s="16"/>
      <c r="L36" s="13"/>
      <c r="M36" s="16"/>
      <c r="O36" s="13"/>
      <c r="P36" s="13"/>
      <c r="Q36" s="13"/>
      <c r="R36" s="13"/>
    </row>
    <row r="37" hidden="1" spans="1:18">
      <c r="A37" s="22" t="s">
        <v>36</v>
      </c>
      <c r="B37" s="21" t="s">
        <v>37</v>
      </c>
      <c r="C37" s="13"/>
      <c r="D37" s="13"/>
      <c r="E37" s="13"/>
      <c r="F37" s="13"/>
      <c r="G37" s="16"/>
      <c r="H37" s="13"/>
      <c r="I37" s="13"/>
      <c r="J37" s="13"/>
      <c r="K37" s="16"/>
      <c r="L37" s="13"/>
      <c r="M37" s="16"/>
      <c r="O37" s="13"/>
      <c r="P37" s="13"/>
      <c r="Q37" s="13"/>
      <c r="R37" s="13"/>
    </row>
    <row r="38" hidden="1" spans="1:18">
      <c r="A38" s="22" t="s">
        <v>38</v>
      </c>
      <c r="B38" s="21" t="s">
        <v>39</v>
      </c>
      <c r="C38" s="13"/>
      <c r="D38" s="13"/>
      <c r="E38" s="13"/>
      <c r="F38" s="13"/>
      <c r="G38" s="16"/>
      <c r="H38" s="13"/>
      <c r="I38" s="13"/>
      <c r="J38" s="13"/>
      <c r="K38" s="16"/>
      <c r="L38" s="13"/>
      <c r="M38" s="16"/>
      <c r="O38" s="13"/>
      <c r="P38" s="13"/>
      <c r="Q38" s="13"/>
      <c r="R38" s="13"/>
    </row>
    <row r="39" hidden="1" spans="1:18">
      <c r="A39" s="22" t="s">
        <v>40</v>
      </c>
      <c r="B39" s="21" t="s">
        <v>37</v>
      </c>
      <c r="C39" s="13"/>
      <c r="D39" s="13"/>
      <c r="E39" s="13"/>
      <c r="F39" s="13"/>
      <c r="G39" s="16"/>
      <c r="H39" s="13"/>
      <c r="I39" s="13"/>
      <c r="J39" s="13"/>
      <c r="K39" s="16"/>
      <c r="L39" s="13"/>
      <c r="M39" s="16"/>
      <c r="O39" s="13"/>
      <c r="P39" s="13"/>
      <c r="Q39" s="13"/>
      <c r="R39" s="13"/>
    </row>
    <row r="40" hidden="1" spans="1:18">
      <c r="A40" s="22" t="s">
        <v>41</v>
      </c>
      <c r="B40" s="21" t="s">
        <v>35</v>
      </c>
      <c r="C40" s="13"/>
      <c r="D40" s="13"/>
      <c r="E40" s="13"/>
      <c r="F40" s="13"/>
      <c r="G40" s="16"/>
      <c r="H40" s="13"/>
      <c r="I40" s="13"/>
      <c r="J40" s="13"/>
      <c r="K40" s="16"/>
      <c r="L40" s="13"/>
      <c r="M40" s="16"/>
      <c r="O40" s="13"/>
      <c r="P40" s="13"/>
      <c r="Q40" s="13"/>
      <c r="R40" s="13"/>
    </row>
    <row r="41" hidden="1" spans="1:18">
      <c r="A41" s="23" t="s">
        <v>42</v>
      </c>
      <c r="B41" s="24" t="s">
        <v>35</v>
      </c>
      <c r="C41" s="13"/>
      <c r="D41" s="13"/>
      <c r="E41" s="13"/>
      <c r="F41" s="13"/>
      <c r="G41" s="16"/>
      <c r="H41" s="13"/>
      <c r="I41" s="13"/>
      <c r="J41" s="13"/>
      <c r="K41" s="16"/>
      <c r="L41" s="13"/>
      <c r="M41" s="16"/>
      <c r="O41" s="13"/>
      <c r="P41" s="13"/>
      <c r="Q41" s="13"/>
      <c r="R41" s="13"/>
    </row>
    <row r="42" hidden="1" spans="1:18">
      <c r="A42" s="23" t="s">
        <v>43</v>
      </c>
      <c r="B42" s="24" t="s">
        <v>37</v>
      </c>
      <c r="C42" s="13"/>
      <c r="D42" s="13"/>
      <c r="E42" s="13"/>
      <c r="F42" s="13"/>
      <c r="G42" s="16"/>
      <c r="H42" s="13"/>
      <c r="I42" s="13"/>
      <c r="J42" s="13"/>
      <c r="K42" s="16"/>
      <c r="L42" s="13"/>
      <c r="M42" s="16"/>
      <c r="O42" s="13"/>
      <c r="P42" s="13"/>
      <c r="Q42" s="13"/>
      <c r="R42" s="13"/>
    </row>
    <row r="43" hidden="1" spans="1:18">
      <c r="A43" s="13"/>
      <c r="B43" s="13"/>
      <c r="C43" s="13"/>
      <c r="D43" s="13"/>
      <c r="E43" s="13"/>
      <c r="F43" s="13"/>
      <c r="G43" s="16"/>
      <c r="H43" s="13"/>
      <c r="I43" s="13"/>
      <c r="J43" s="13"/>
      <c r="K43" s="16"/>
      <c r="L43" s="13"/>
      <c r="M43" s="16"/>
      <c r="O43" s="13"/>
      <c r="P43" s="13"/>
      <c r="Q43" s="13"/>
      <c r="R43" s="13"/>
    </row>
    <row r="44" hidden="1" spans="1:18">
      <c r="A44" s="13"/>
      <c r="B44" s="13"/>
      <c r="C44" s="13"/>
      <c r="D44" s="13"/>
      <c r="E44" s="13"/>
      <c r="F44" s="13"/>
      <c r="G44" s="16"/>
      <c r="H44" s="13"/>
      <c r="I44" s="13"/>
      <c r="J44" s="13"/>
      <c r="K44" s="16"/>
      <c r="L44" s="13"/>
      <c r="M44" s="16"/>
      <c r="O44" s="13"/>
      <c r="P44" s="13"/>
      <c r="Q44" s="13"/>
      <c r="R44" s="13"/>
    </row>
    <row r="45" ht="16.9" customHeight="1" spans="1:18">
      <c r="A45" s="13"/>
      <c r="B45" s="13"/>
      <c r="C45" s="13"/>
      <c r="D45" s="13"/>
      <c r="E45" s="13"/>
      <c r="F45" s="13"/>
      <c r="G45" s="16"/>
      <c r="H45" s="13"/>
      <c r="I45" s="13"/>
      <c r="J45" s="13"/>
      <c r="K45" s="16"/>
      <c r="L45" s="13"/>
      <c r="M45" s="16"/>
      <c r="O45" s="13"/>
      <c r="P45" s="13"/>
      <c r="Q45" s="13"/>
      <c r="R45" s="13"/>
    </row>
    <row r="46" customHeight="1" spans="1:46">
      <c r="A46" s="25" t="s">
        <v>44</v>
      </c>
      <c r="B46" s="25" t="s">
        <v>45</v>
      </c>
      <c r="C46" s="25" t="s">
        <v>46</v>
      </c>
      <c r="D46" s="25" t="s">
        <v>47</v>
      </c>
      <c r="E46" s="26" t="s">
        <v>48</v>
      </c>
      <c r="F46" s="26" t="s">
        <v>49</v>
      </c>
      <c r="G46" s="26" t="s">
        <v>50</v>
      </c>
      <c r="H46" s="26"/>
      <c r="I46" s="26" t="s">
        <v>51</v>
      </c>
      <c r="J46" s="26" t="s">
        <v>52</v>
      </c>
      <c r="K46" s="26" t="s">
        <v>53</v>
      </c>
      <c r="L46" s="26"/>
      <c r="M46" s="32" t="s">
        <v>54</v>
      </c>
      <c r="N46" s="32"/>
      <c r="O46" s="26" t="s">
        <v>55</v>
      </c>
      <c r="P46" s="26" t="s">
        <v>56</v>
      </c>
      <c r="Q46" s="26" t="s">
        <v>57</v>
      </c>
      <c r="R46" s="26" t="s">
        <v>58</v>
      </c>
      <c r="S46" s="26" t="s">
        <v>59</v>
      </c>
      <c r="T46" s="34" t="s">
        <v>60</v>
      </c>
      <c r="U46" s="32" t="s">
        <v>61</v>
      </c>
      <c r="V46" s="32"/>
      <c r="W46" s="32"/>
      <c r="X46" s="32"/>
      <c r="Y46" s="32"/>
      <c r="Z46" s="32"/>
      <c r="AA46" s="32"/>
      <c r="AB46" s="26" t="s">
        <v>6</v>
      </c>
      <c r="AC46" s="26"/>
      <c r="AD46" s="26"/>
      <c r="AE46" s="26" t="s">
        <v>62</v>
      </c>
      <c r="AF46" s="26"/>
      <c r="AG46" s="26" t="s">
        <v>63</v>
      </c>
      <c r="AH46" s="26"/>
      <c r="AI46" s="26"/>
      <c r="AJ46" s="26"/>
      <c r="AK46" s="26"/>
      <c r="AL46" s="26"/>
      <c r="AM46" s="26"/>
      <c r="AN46" s="26"/>
      <c r="AO46" s="43" t="s">
        <v>64</v>
      </c>
      <c r="AP46" s="44"/>
      <c r="AQ46" s="44"/>
      <c r="AR46" s="44"/>
      <c r="AS46" s="45"/>
      <c r="AT46" s="46" t="s">
        <v>65</v>
      </c>
    </row>
    <row r="47" ht="36" spans="1:46">
      <c r="A47" s="25"/>
      <c r="B47" s="25"/>
      <c r="C47" s="25"/>
      <c r="D47" s="25"/>
      <c r="E47" s="26"/>
      <c r="F47" s="26"/>
      <c r="G47" s="27" t="s">
        <v>66</v>
      </c>
      <c r="H47" s="26"/>
      <c r="I47" s="26"/>
      <c r="J47" s="26"/>
      <c r="K47" s="27" t="s">
        <v>66</v>
      </c>
      <c r="L47" s="26"/>
      <c r="M47" s="27" t="s">
        <v>66</v>
      </c>
      <c r="N47" s="32"/>
      <c r="O47" s="26"/>
      <c r="P47" s="26"/>
      <c r="Q47" s="26"/>
      <c r="R47" s="26"/>
      <c r="S47" s="26"/>
      <c r="T47" s="34"/>
      <c r="U47" s="27" t="s">
        <v>66</v>
      </c>
      <c r="V47" s="32" t="s">
        <v>67</v>
      </c>
      <c r="W47" s="32" t="s">
        <v>68</v>
      </c>
      <c r="X47" s="35" t="s">
        <v>66</v>
      </c>
      <c r="Y47" s="26" t="s">
        <v>69</v>
      </c>
      <c r="Z47" s="27" t="s">
        <v>66</v>
      </c>
      <c r="AA47" s="26" t="s">
        <v>70</v>
      </c>
      <c r="AB47" s="26" t="s">
        <v>71</v>
      </c>
      <c r="AC47" s="27" t="s">
        <v>66</v>
      </c>
      <c r="AD47" s="26" t="s">
        <v>72</v>
      </c>
      <c r="AE47" s="39" t="s">
        <v>66</v>
      </c>
      <c r="AF47" s="32" t="s">
        <v>73</v>
      </c>
      <c r="AG47" s="39" t="s">
        <v>66</v>
      </c>
      <c r="AH47" s="26" t="s">
        <v>74</v>
      </c>
      <c r="AI47" s="41" t="s">
        <v>75</v>
      </c>
      <c r="AJ47" s="42"/>
      <c r="AK47" s="41" t="s">
        <v>76</v>
      </c>
      <c r="AL47" s="42"/>
      <c r="AM47" s="41" t="s">
        <v>77</v>
      </c>
      <c r="AN47" s="42"/>
      <c r="AO47" s="41" t="s">
        <v>78</v>
      </c>
      <c r="AP47" s="42"/>
      <c r="AQ47" s="26" t="s">
        <v>79</v>
      </c>
      <c r="AR47" s="26" t="s">
        <v>80</v>
      </c>
      <c r="AS47" s="34" t="s">
        <v>81</v>
      </c>
      <c r="AT47" s="46"/>
    </row>
    <row r="48" customHeight="1" spans="1:46">
      <c r="A48" s="28" t="s">
        <v>37</v>
      </c>
      <c r="B48" s="28"/>
      <c r="C48" s="28"/>
      <c r="D48" s="29"/>
      <c r="E48" s="30"/>
      <c r="F48" s="28"/>
      <c r="G48" s="31" t="str">
        <f>IFERROR(VLOOKUP(H48,$A$1:$B$40,2,FALSE),"")</f>
        <v/>
      </c>
      <c r="H48" s="28"/>
      <c r="I48" s="28"/>
      <c r="J48" s="28"/>
      <c r="K48" s="31" t="str">
        <f>IFERROR(VLOOKUP(L48,$A$1:$B$40,2,FALSE),"")</f>
        <v/>
      </c>
      <c r="L48" s="28"/>
      <c r="M48" s="33" t="str">
        <f>Sheet2!E2</f>
        <v/>
      </c>
      <c r="N48" s="28" t="s">
        <v>82</v>
      </c>
      <c r="O48" s="28"/>
      <c r="P48" s="28"/>
      <c r="Q48" s="28"/>
      <c r="R48" s="28"/>
      <c r="S48" s="36"/>
      <c r="T48" s="37">
        <f>IFERROR(ROUND(S48/((R48/100)*(R48/100)),1),0)</f>
        <v>0</v>
      </c>
      <c r="U48" s="31" t="str">
        <f>Sheet2!K2</f>
        <v/>
      </c>
      <c r="V48" s="22"/>
      <c r="W48" s="22"/>
      <c r="X48" s="38" t="str">
        <f>IFERROR(VLOOKUP(Y48,$A$1:$B$40,2,FALSE),"")</f>
        <v/>
      </c>
      <c r="Y48" s="28"/>
      <c r="Z48" s="31" t="str">
        <f>Sheet2!N2</f>
        <v/>
      </c>
      <c r="AA48" s="28"/>
      <c r="AB48" s="28"/>
      <c r="AC48" s="31" t="str">
        <f>IFERROR(VLOOKUP(AD48,$A$1:$B$40,2,FALSE),"")</f>
        <v/>
      </c>
      <c r="AD48" s="40" t="str">
        <f>IFERROR(HLOOKUP(AB48,Sheet3!$K$1:$T$2,2),"")</f>
        <v/>
      </c>
      <c r="AE48" s="31" t="str">
        <f>IFERROR(VLOOKUP(AF48,$A$23:$B$26,2,FALSE),"")</f>
        <v/>
      </c>
      <c r="AF48" s="22"/>
      <c r="AG48" s="31" t="str">
        <f>IFERROR(VLOOKUP(AH48,$A$1:$B$42,2,FALSE),"")</f>
        <v/>
      </c>
      <c r="AH48" s="28" t="s">
        <v>82</v>
      </c>
      <c r="AI48" s="31" t="str">
        <f>IFERROR(VLOOKUP(AJ48,$A$1:$B$40,2,FALSE),"")</f>
        <v/>
      </c>
      <c r="AJ48" s="22" t="s">
        <v>82</v>
      </c>
      <c r="AK48" s="31" t="str">
        <f>IFERROR(VLOOKUP(AL48,$A$1:$B$40,2,FALSE),"")</f>
        <v/>
      </c>
      <c r="AL48" s="28"/>
      <c r="AM48" s="31" t="str">
        <f>IFERROR(VLOOKUP(AN48,$A$1:$B$40,2,FALSE),"")</f>
        <v/>
      </c>
      <c r="AN48" s="22"/>
      <c r="AO48" s="31" t="str">
        <f>IFERROR(VLOOKUP(AP48,$A$1:$B$40,2,FALSE),"")</f>
        <v/>
      </c>
      <c r="AP48" s="28"/>
      <c r="AQ48" s="28"/>
      <c r="AR48" s="28"/>
      <c r="AS48" s="37">
        <f>IFERROR(ROUND(AQ48/AR48*1000,1),0)</f>
        <v>0</v>
      </c>
      <c r="AT48" s="31">
        <v>0</v>
      </c>
    </row>
    <row r="49" spans="1:46">
      <c r="A49" s="28" t="s">
        <v>39</v>
      </c>
      <c r="B49" s="28"/>
      <c r="C49" s="28"/>
      <c r="D49" s="29"/>
      <c r="E49" s="30"/>
      <c r="F49" s="28"/>
      <c r="G49" s="31" t="str">
        <f t="shared" ref="G49:G112" si="0">IFERROR(VLOOKUP(H49,$A$1:$B$40,2,FALSE),"")</f>
        <v/>
      </c>
      <c r="H49" s="28"/>
      <c r="I49" s="28"/>
      <c r="J49" s="28"/>
      <c r="K49" s="31" t="str">
        <f t="shared" ref="K49:K112" si="1">IFERROR(VLOOKUP(L49,$A$1:$B$40,2,FALSE),"")</f>
        <v/>
      </c>
      <c r="L49" s="28"/>
      <c r="M49" s="33" t="str">
        <f>Sheet2!E3</f>
        <v/>
      </c>
      <c r="N49" s="28" t="s">
        <v>82</v>
      </c>
      <c r="O49" s="28"/>
      <c r="P49" s="28"/>
      <c r="Q49" s="28"/>
      <c r="R49" s="28"/>
      <c r="S49" s="36"/>
      <c r="T49" s="37">
        <f t="shared" ref="T49:T112" si="2">IFERROR(ROUND(S49/((R49/100)*(R49/100)),1),0)</f>
        <v>0</v>
      </c>
      <c r="U49" s="31" t="str">
        <f>Sheet2!K3</f>
        <v/>
      </c>
      <c r="V49" s="22"/>
      <c r="W49" s="22"/>
      <c r="X49" s="38" t="str">
        <f t="shared" ref="X49:X112" si="3">IFERROR(VLOOKUP(Y49,$A$1:$B$40,2,FALSE),"")</f>
        <v/>
      </c>
      <c r="Y49" s="28"/>
      <c r="Z49" s="31" t="str">
        <f>Sheet2!N3</f>
        <v/>
      </c>
      <c r="AA49" s="28"/>
      <c r="AB49" s="28"/>
      <c r="AC49" s="31" t="str">
        <f t="shared" ref="AC49:AC112" si="4">IFERROR(VLOOKUP(AD49,$A$1:$B$40,2,FALSE),"")</f>
        <v/>
      </c>
      <c r="AD49" s="40" t="str">
        <f>IFERROR(HLOOKUP(AB49,Sheet3!$K$1:$T$2,2),"")</f>
        <v/>
      </c>
      <c r="AE49" s="31" t="str">
        <f t="shared" ref="AE49:AE112" si="5">IFERROR(VLOOKUP(AF49,$A$23:$B$26,2,FALSE),"")</f>
        <v/>
      </c>
      <c r="AF49" s="22"/>
      <c r="AG49" s="31" t="str">
        <f t="shared" ref="AG49:AG112" si="6">IFERROR(VLOOKUP(AH49,$A$1:$B$42,2,FALSE),"")</f>
        <v/>
      </c>
      <c r="AH49" s="28"/>
      <c r="AI49" s="31" t="str">
        <f t="shared" ref="AI49:AI112" si="7">IFERROR(VLOOKUP(AJ49,$A$1:$B$40,2,FALSE),"")</f>
        <v/>
      </c>
      <c r="AJ49" s="22"/>
      <c r="AK49" s="31" t="str">
        <f t="shared" ref="AK49:AK112" si="8">IFERROR(VLOOKUP(AL49,$A$1:$B$40,2,FALSE),"")</f>
        <v/>
      </c>
      <c r="AL49" s="28"/>
      <c r="AM49" s="31" t="str">
        <f t="shared" ref="AM49:AM112" si="9">IFERROR(VLOOKUP(AN49,$A$1:$B$40,2,FALSE),"")</f>
        <v/>
      </c>
      <c r="AN49" s="22"/>
      <c r="AO49" s="31" t="str">
        <f t="shared" ref="AO49:AO112" si="10">IFERROR(VLOOKUP(AP49,$A$1:$B$40,2,FALSE),"")</f>
        <v/>
      </c>
      <c r="AP49" s="28"/>
      <c r="AQ49" s="28"/>
      <c r="AR49" s="28"/>
      <c r="AS49" s="37">
        <f t="shared" ref="AS49:AS112" si="11">IFERROR(ROUND(AQ49/AR49*1000,1),0)</f>
        <v>0</v>
      </c>
      <c r="AT49" s="31">
        <v>0</v>
      </c>
    </row>
    <row r="50" spans="1:46">
      <c r="A50" s="28" t="s">
        <v>83</v>
      </c>
      <c r="B50" s="28"/>
      <c r="C50" s="28"/>
      <c r="D50" s="29"/>
      <c r="E50" s="30"/>
      <c r="F50" s="28"/>
      <c r="G50" s="31" t="str">
        <f t="shared" si="0"/>
        <v/>
      </c>
      <c r="H50" s="28"/>
      <c r="I50" s="28"/>
      <c r="J50" s="28"/>
      <c r="K50" s="31" t="str">
        <f t="shared" si="1"/>
        <v/>
      </c>
      <c r="L50" s="28"/>
      <c r="M50" s="33" t="str">
        <f>Sheet2!E4</f>
        <v/>
      </c>
      <c r="N50" s="28" t="s">
        <v>82</v>
      </c>
      <c r="O50" s="28"/>
      <c r="P50" s="28"/>
      <c r="Q50" s="28"/>
      <c r="R50" s="28"/>
      <c r="S50" s="36"/>
      <c r="T50" s="37">
        <f t="shared" si="2"/>
        <v>0</v>
      </c>
      <c r="U50" s="31" t="str">
        <f>Sheet2!K4</f>
        <v/>
      </c>
      <c r="V50" s="22"/>
      <c r="W50" s="22"/>
      <c r="X50" s="38" t="str">
        <f t="shared" si="3"/>
        <v/>
      </c>
      <c r="Y50" s="28"/>
      <c r="Z50" s="31" t="str">
        <f>Sheet2!N4</f>
        <v/>
      </c>
      <c r="AA50" s="28"/>
      <c r="AB50" s="28"/>
      <c r="AC50" s="31" t="str">
        <f t="shared" si="4"/>
        <v/>
      </c>
      <c r="AD50" s="40" t="str">
        <f>IFERROR(HLOOKUP(AB50,Sheet3!$K$1:$T$2,2),"")</f>
        <v/>
      </c>
      <c r="AE50" s="31" t="str">
        <f t="shared" si="5"/>
        <v/>
      </c>
      <c r="AF50" s="22"/>
      <c r="AG50" s="31" t="str">
        <f t="shared" si="6"/>
        <v/>
      </c>
      <c r="AH50" s="28"/>
      <c r="AI50" s="31" t="str">
        <f t="shared" si="7"/>
        <v/>
      </c>
      <c r="AJ50" s="22"/>
      <c r="AK50" s="31" t="str">
        <f t="shared" si="8"/>
        <v/>
      </c>
      <c r="AL50" s="28"/>
      <c r="AM50" s="31" t="str">
        <f t="shared" si="9"/>
        <v/>
      </c>
      <c r="AN50" s="22"/>
      <c r="AO50" s="31" t="str">
        <f t="shared" si="10"/>
        <v/>
      </c>
      <c r="AP50" s="28"/>
      <c r="AQ50" s="28"/>
      <c r="AR50" s="28"/>
      <c r="AS50" s="37">
        <f t="shared" si="11"/>
        <v>0</v>
      </c>
      <c r="AT50" s="31">
        <v>0</v>
      </c>
    </row>
    <row r="51" spans="1:46">
      <c r="A51" s="28" t="s">
        <v>84</v>
      </c>
      <c r="B51" s="28"/>
      <c r="C51" s="28"/>
      <c r="D51" s="29"/>
      <c r="E51" s="30"/>
      <c r="F51" s="28"/>
      <c r="G51" s="31" t="str">
        <f t="shared" si="0"/>
        <v/>
      </c>
      <c r="H51" s="28"/>
      <c r="I51" s="28"/>
      <c r="J51" s="28"/>
      <c r="K51" s="31" t="str">
        <f t="shared" si="1"/>
        <v/>
      </c>
      <c r="L51" s="28"/>
      <c r="M51" s="33" t="str">
        <f>Sheet2!E5</f>
        <v/>
      </c>
      <c r="N51" s="28" t="s">
        <v>82</v>
      </c>
      <c r="O51" s="28"/>
      <c r="P51" s="28"/>
      <c r="Q51" s="28"/>
      <c r="R51" s="28"/>
      <c r="S51" s="36"/>
      <c r="T51" s="37">
        <f t="shared" si="2"/>
        <v>0</v>
      </c>
      <c r="U51" s="31" t="str">
        <f>Sheet2!K5</f>
        <v/>
      </c>
      <c r="V51" s="22"/>
      <c r="W51" s="22"/>
      <c r="X51" s="38" t="str">
        <f t="shared" si="3"/>
        <v/>
      </c>
      <c r="Y51" s="28"/>
      <c r="Z51" s="31" t="str">
        <f>Sheet2!N5</f>
        <v/>
      </c>
      <c r="AA51" s="28"/>
      <c r="AB51" s="28"/>
      <c r="AC51" s="31" t="str">
        <f t="shared" si="4"/>
        <v/>
      </c>
      <c r="AD51" s="40" t="str">
        <f>IFERROR(HLOOKUP(AB51,Sheet3!$K$1:$T$2,2),"")</f>
        <v/>
      </c>
      <c r="AE51" s="31" t="str">
        <f t="shared" si="5"/>
        <v/>
      </c>
      <c r="AF51" s="22"/>
      <c r="AG51" s="31" t="str">
        <f t="shared" si="6"/>
        <v/>
      </c>
      <c r="AH51" s="28"/>
      <c r="AI51" s="31" t="str">
        <f t="shared" si="7"/>
        <v/>
      </c>
      <c r="AJ51" s="22"/>
      <c r="AK51" s="31" t="str">
        <f t="shared" si="8"/>
        <v/>
      </c>
      <c r="AL51" s="28"/>
      <c r="AM51" s="31" t="str">
        <f t="shared" si="9"/>
        <v/>
      </c>
      <c r="AN51" s="22"/>
      <c r="AO51" s="31" t="str">
        <f t="shared" si="10"/>
        <v/>
      </c>
      <c r="AP51" s="28"/>
      <c r="AQ51" s="28"/>
      <c r="AR51" s="28"/>
      <c r="AS51" s="37">
        <f t="shared" si="11"/>
        <v>0</v>
      </c>
      <c r="AT51" s="31">
        <v>0</v>
      </c>
    </row>
    <row r="52" spans="1:46">
      <c r="A52" s="28" t="s">
        <v>85</v>
      </c>
      <c r="B52" s="28"/>
      <c r="C52" s="28"/>
      <c r="D52" s="29"/>
      <c r="E52" s="30"/>
      <c r="F52" s="28"/>
      <c r="G52" s="31" t="str">
        <f t="shared" si="0"/>
        <v/>
      </c>
      <c r="H52" s="28"/>
      <c r="I52" s="28"/>
      <c r="J52" s="28"/>
      <c r="K52" s="31" t="str">
        <f t="shared" si="1"/>
        <v/>
      </c>
      <c r="L52" s="28"/>
      <c r="M52" s="33" t="str">
        <f>Sheet2!E6</f>
        <v/>
      </c>
      <c r="N52" s="28" t="s">
        <v>82</v>
      </c>
      <c r="O52" s="28"/>
      <c r="P52" s="28"/>
      <c r="Q52" s="28"/>
      <c r="R52" s="28"/>
      <c r="S52" s="36"/>
      <c r="T52" s="37">
        <f t="shared" si="2"/>
        <v>0</v>
      </c>
      <c r="U52" s="31" t="str">
        <f>Sheet2!K6</f>
        <v/>
      </c>
      <c r="V52" s="22"/>
      <c r="W52" s="22"/>
      <c r="X52" s="38" t="str">
        <f t="shared" si="3"/>
        <v/>
      </c>
      <c r="Y52" s="28"/>
      <c r="Z52" s="31" t="str">
        <f>Sheet2!N6</f>
        <v/>
      </c>
      <c r="AA52" s="28"/>
      <c r="AB52" s="28"/>
      <c r="AC52" s="31" t="str">
        <f t="shared" si="4"/>
        <v/>
      </c>
      <c r="AD52" s="40" t="str">
        <f>IFERROR(HLOOKUP(AB52,Sheet3!$K$1:$T$2,2),"")</f>
        <v/>
      </c>
      <c r="AE52" s="31" t="str">
        <f t="shared" si="5"/>
        <v/>
      </c>
      <c r="AF52" s="22"/>
      <c r="AG52" s="31" t="str">
        <f t="shared" si="6"/>
        <v/>
      </c>
      <c r="AH52" s="28"/>
      <c r="AI52" s="31" t="str">
        <f t="shared" si="7"/>
        <v/>
      </c>
      <c r="AJ52" s="22"/>
      <c r="AK52" s="31" t="str">
        <f t="shared" si="8"/>
        <v/>
      </c>
      <c r="AL52" s="28"/>
      <c r="AM52" s="31" t="str">
        <f t="shared" si="9"/>
        <v/>
      </c>
      <c r="AN52" s="22"/>
      <c r="AO52" s="31" t="str">
        <f t="shared" si="10"/>
        <v/>
      </c>
      <c r="AP52" s="28"/>
      <c r="AQ52" s="28"/>
      <c r="AR52" s="28"/>
      <c r="AS52" s="37">
        <f t="shared" si="11"/>
        <v>0</v>
      </c>
      <c r="AT52" s="31">
        <v>0</v>
      </c>
    </row>
    <row r="53" spans="1:46">
      <c r="A53" s="28" t="s">
        <v>86</v>
      </c>
      <c r="B53" s="28"/>
      <c r="C53" s="28"/>
      <c r="D53" s="29"/>
      <c r="E53" s="30"/>
      <c r="F53" s="28"/>
      <c r="G53" s="31" t="str">
        <f t="shared" si="0"/>
        <v/>
      </c>
      <c r="H53" s="28"/>
      <c r="I53" s="28"/>
      <c r="J53" s="28"/>
      <c r="K53" s="31" t="str">
        <f t="shared" si="1"/>
        <v/>
      </c>
      <c r="L53" s="28"/>
      <c r="M53" s="33" t="str">
        <f>Sheet2!E7</f>
        <v/>
      </c>
      <c r="N53" s="28" t="s">
        <v>82</v>
      </c>
      <c r="O53" s="28"/>
      <c r="P53" s="28"/>
      <c r="Q53" s="28"/>
      <c r="R53" s="28"/>
      <c r="S53" s="36"/>
      <c r="T53" s="37">
        <f t="shared" si="2"/>
        <v>0</v>
      </c>
      <c r="U53" s="31" t="str">
        <f>Sheet2!K7</f>
        <v/>
      </c>
      <c r="V53" s="22"/>
      <c r="W53" s="22"/>
      <c r="X53" s="38" t="str">
        <f t="shared" si="3"/>
        <v/>
      </c>
      <c r="Y53" s="28"/>
      <c r="Z53" s="31" t="str">
        <f>Sheet2!N7</f>
        <v/>
      </c>
      <c r="AA53" s="28"/>
      <c r="AB53" s="28"/>
      <c r="AC53" s="31" t="str">
        <f t="shared" si="4"/>
        <v/>
      </c>
      <c r="AD53" s="40" t="str">
        <f>IFERROR(HLOOKUP(AB53,Sheet3!$K$1:$T$2,2),"")</f>
        <v/>
      </c>
      <c r="AE53" s="31" t="str">
        <f t="shared" si="5"/>
        <v/>
      </c>
      <c r="AF53" s="22"/>
      <c r="AG53" s="31" t="str">
        <f t="shared" si="6"/>
        <v/>
      </c>
      <c r="AH53" s="28"/>
      <c r="AI53" s="31" t="str">
        <f t="shared" si="7"/>
        <v/>
      </c>
      <c r="AJ53" s="22"/>
      <c r="AK53" s="31" t="str">
        <f t="shared" si="8"/>
        <v/>
      </c>
      <c r="AL53" s="28"/>
      <c r="AM53" s="31" t="str">
        <f t="shared" si="9"/>
        <v/>
      </c>
      <c r="AN53" s="22"/>
      <c r="AO53" s="31" t="str">
        <f t="shared" si="10"/>
        <v/>
      </c>
      <c r="AP53" s="28"/>
      <c r="AQ53" s="28"/>
      <c r="AR53" s="28"/>
      <c r="AS53" s="37">
        <f t="shared" si="11"/>
        <v>0</v>
      </c>
      <c r="AT53" s="31">
        <v>0</v>
      </c>
    </row>
    <row r="54" spans="1:46">
      <c r="A54" s="28" t="s">
        <v>87</v>
      </c>
      <c r="B54" s="28"/>
      <c r="C54" s="28"/>
      <c r="D54" s="29"/>
      <c r="E54" s="30"/>
      <c r="F54" s="28"/>
      <c r="G54" s="31" t="str">
        <f t="shared" si="0"/>
        <v/>
      </c>
      <c r="H54" s="28"/>
      <c r="I54" s="28"/>
      <c r="J54" s="28"/>
      <c r="K54" s="31" t="str">
        <f t="shared" si="1"/>
        <v/>
      </c>
      <c r="L54" s="28"/>
      <c r="M54" s="33" t="str">
        <f>Sheet2!E8</f>
        <v/>
      </c>
      <c r="N54" s="28" t="s">
        <v>82</v>
      </c>
      <c r="O54" s="28"/>
      <c r="P54" s="28"/>
      <c r="Q54" s="28"/>
      <c r="R54" s="28"/>
      <c r="S54" s="36"/>
      <c r="T54" s="37">
        <f t="shared" si="2"/>
        <v>0</v>
      </c>
      <c r="U54" s="31" t="str">
        <f>Sheet2!K8</f>
        <v/>
      </c>
      <c r="V54" s="22"/>
      <c r="W54" s="22"/>
      <c r="X54" s="38" t="str">
        <f t="shared" si="3"/>
        <v/>
      </c>
      <c r="Y54" s="28"/>
      <c r="Z54" s="31" t="str">
        <f>Sheet2!N8</f>
        <v/>
      </c>
      <c r="AA54" s="28"/>
      <c r="AB54" s="28"/>
      <c r="AC54" s="31" t="str">
        <f t="shared" si="4"/>
        <v/>
      </c>
      <c r="AD54" s="40" t="str">
        <f>IFERROR(HLOOKUP(AB54,Sheet3!$K$1:$T$2,2),"")</f>
        <v/>
      </c>
      <c r="AE54" s="31" t="str">
        <f t="shared" si="5"/>
        <v/>
      </c>
      <c r="AF54" s="22"/>
      <c r="AG54" s="31" t="str">
        <f t="shared" si="6"/>
        <v/>
      </c>
      <c r="AH54" s="28"/>
      <c r="AI54" s="31" t="str">
        <f t="shared" si="7"/>
        <v/>
      </c>
      <c r="AJ54" s="22"/>
      <c r="AK54" s="31" t="str">
        <f t="shared" si="8"/>
        <v/>
      </c>
      <c r="AL54" s="28"/>
      <c r="AM54" s="31" t="str">
        <f t="shared" si="9"/>
        <v/>
      </c>
      <c r="AN54" s="22"/>
      <c r="AO54" s="31" t="str">
        <f t="shared" si="10"/>
        <v/>
      </c>
      <c r="AP54" s="28"/>
      <c r="AQ54" s="28"/>
      <c r="AR54" s="28"/>
      <c r="AS54" s="37">
        <f t="shared" si="11"/>
        <v>0</v>
      </c>
      <c r="AT54" s="31">
        <v>0</v>
      </c>
    </row>
    <row r="55" spans="1:46">
      <c r="A55" s="28" t="s">
        <v>88</v>
      </c>
      <c r="B55" s="28"/>
      <c r="C55" s="28"/>
      <c r="D55" s="29"/>
      <c r="E55" s="30"/>
      <c r="F55" s="28"/>
      <c r="G55" s="31" t="str">
        <f t="shared" si="0"/>
        <v/>
      </c>
      <c r="H55" s="28"/>
      <c r="I55" s="28"/>
      <c r="J55" s="28"/>
      <c r="K55" s="31" t="str">
        <f t="shared" si="1"/>
        <v/>
      </c>
      <c r="L55" s="28"/>
      <c r="M55" s="33" t="str">
        <f>Sheet2!E9</f>
        <v/>
      </c>
      <c r="N55" s="28" t="s">
        <v>82</v>
      </c>
      <c r="O55" s="28"/>
      <c r="P55" s="28"/>
      <c r="Q55" s="28"/>
      <c r="R55" s="28"/>
      <c r="S55" s="36"/>
      <c r="T55" s="37">
        <f t="shared" si="2"/>
        <v>0</v>
      </c>
      <c r="U55" s="31" t="str">
        <f>Sheet2!K9</f>
        <v/>
      </c>
      <c r="V55" s="22"/>
      <c r="W55" s="22"/>
      <c r="X55" s="38" t="str">
        <f t="shared" si="3"/>
        <v/>
      </c>
      <c r="Y55" s="28"/>
      <c r="Z55" s="31" t="str">
        <f>Sheet2!N9</f>
        <v/>
      </c>
      <c r="AA55" s="28"/>
      <c r="AB55" s="28"/>
      <c r="AC55" s="31" t="str">
        <f t="shared" si="4"/>
        <v/>
      </c>
      <c r="AD55" s="40" t="str">
        <f>IFERROR(HLOOKUP(AB55,Sheet3!$K$1:$T$2,2),"")</f>
        <v/>
      </c>
      <c r="AE55" s="31" t="str">
        <f t="shared" si="5"/>
        <v/>
      </c>
      <c r="AF55" s="22"/>
      <c r="AG55" s="31" t="str">
        <f t="shared" si="6"/>
        <v/>
      </c>
      <c r="AH55" s="28"/>
      <c r="AI55" s="31" t="str">
        <f t="shared" si="7"/>
        <v/>
      </c>
      <c r="AJ55" s="22"/>
      <c r="AK55" s="31" t="str">
        <f t="shared" si="8"/>
        <v/>
      </c>
      <c r="AL55" s="28"/>
      <c r="AM55" s="31" t="str">
        <f t="shared" si="9"/>
        <v/>
      </c>
      <c r="AN55" s="22"/>
      <c r="AO55" s="31" t="str">
        <f t="shared" si="10"/>
        <v/>
      </c>
      <c r="AP55" s="28"/>
      <c r="AQ55" s="28"/>
      <c r="AR55" s="28"/>
      <c r="AS55" s="37">
        <f t="shared" si="11"/>
        <v>0</v>
      </c>
      <c r="AT55" s="31">
        <v>0</v>
      </c>
    </row>
    <row r="56" spans="1:46">
      <c r="A56" s="28" t="s">
        <v>89</v>
      </c>
      <c r="B56" s="28"/>
      <c r="C56" s="28"/>
      <c r="D56" s="29"/>
      <c r="E56" s="30"/>
      <c r="F56" s="28"/>
      <c r="G56" s="31" t="str">
        <f t="shared" si="0"/>
        <v/>
      </c>
      <c r="H56" s="28"/>
      <c r="I56" s="28"/>
      <c r="J56" s="28"/>
      <c r="K56" s="31" t="str">
        <f t="shared" si="1"/>
        <v/>
      </c>
      <c r="L56" s="28"/>
      <c r="M56" s="33" t="str">
        <f>Sheet2!E10</f>
        <v/>
      </c>
      <c r="N56" s="28" t="s">
        <v>82</v>
      </c>
      <c r="O56" s="28"/>
      <c r="P56" s="28"/>
      <c r="Q56" s="28"/>
      <c r="R56" s="28"/>
      <c r="S56" s="36"/>
      <c r="T56" s="37">
        <f t="shared" si="2"/>
        <v>0</v>
      </c>
      <c r="U56" s="31" t="str">
        <f>Sheet2!K10</f>
        <v/>
      </c>
      <c r="V56" s="22"/>
      <c r="W56" s="22"/>
      <c r="X56" s="38" t="str">
        <f t="shared" si="3"/>
        <v/>
      </c>
      <c r="Y56" s="28"/>
      <c r="Z56" s="31" t="str">
        <f>Sheet2!N10</f>
        <v/>
      </c>
      <c r="AA56" s="28"/>
      <c r="AB56" s="28"/>
      <c r="AC56" s="31" t="str">
        <f t="shared" si="4"/>
        <v/>
      </c>
      <c r="AD56" s="40" t="str">
        <f>IFERROR(HLOOKUP(AB56,Sheet3!$K$1:$T$2,2),"")</f>
        <v/>
      </c>
      <c r="AE56" s="31" t="str">
        <f t="shared" si="5"/>
        <v/>
      </c>
      <c r="AF56" s="22"/>
      <c r="AG56" s="31" t="str">
        <f t="shared" si="6"/>
        <v/>
      </c>
      <c r="AH56" s="28"/>
      <c r="AI56" s="31" t="str">
        <f t="shared" si="7"/>
        <v/>
      </c>
      <c r="AJ56" s="22"/>
      <c r="AK56" s="31" t="str">
        <f t="shared" si="8"/>
        <v/>
      </c>
      <c r="AL56" s="28"/>
      <c r="AM56" s="31" t="str">
        <f t="shared" si="9"/>
        <v/>
      </c>
      <c r="AN56" s="22"/>
      <c r="AO56" s="31" t="str">
        <f t="shared" si="10"/>
        <v/>
      </c>
      <c r="AP56" s="28"/>
      <c r="AQ56" s="28"/>
      <c r="AR56" s="28"/>
      <c r="AS56" s="37">
        <f t="shared" si="11"/>
        <v>0</v>
      </c>
      <c r="AT56" s="31">
        <v>0</v>
      </c>
    </row>
    <row r="57" spans="1:46">
      <c r="A57" s="28" t="s">
        <v>90</v>
      </c>
      <c r="B57" s="28"/>
      <c r="C57" s="28"/>
      <c r="D57" s="29"/>
      <c r="E57" s="30"/>
      <c r="F57" s="28"/>
      <c r="G57" s="31" t="str">
        <f t="shared" si="0"/>
        <v/>
      </c>
      <c r="H57" s="28"/>
      <c r="I57" s="28"/>
      <c r="J57" s="28"/>
      <c r="K57" s="31" t="str">
        <f t="shared" si="1"/>
        <v/>
      </c>
      <c r="L57" s="28"/>
      <c r="M57" s="33" t="str">
        <f>Sheet2!E11</f>
        <v/>
      </c>
      <c r="N57" s="28" t="s">
        <v>82</v>
      </c>
      <c r="O57" s="28"/>
      <c r="P57" s="28"/>
      <c r="Q57" s="28"/>
      <c r="R57" s="28"/>
      <c r="S57" s="36"/>
      <c r="T57" s="37">
        <f t="shared" si="2"/>
        <v>0</v>
      </c>
      <c r="U57" s="31" t="str">
        <f>Sheet2!K11</f>
        <v/>
      </c>
      <c r="V57" s="22"/>
      <c r="W57" s="22"/>
      <c r="X57" s="38" t="str">
        <f t="shared" si="3"/>
        <v/>
      </c>
      <c r="Y57" s="28"/>
      <c r="Z57" s="31" t="str">
        <f>Sheet2!N11</f>
        <v/>
      </c>
      <c r="AA57" s="28"/>
      <c r="AB57" s="28"/>
      <c r="AC57" s="31" t="str">
        <f t="shared" si="4"/>
        <v/>
      </c>
      <c r="AD57" s="40" t="str">
        <f>IFERROR(HLOOKUP(AB57,Sheet3!$K$1:$T$2,2),"")</f>
        <v/>
      </c>
      <c r="AE57" s="31" t="str">
        <f t="shared" si="5"/>
        <v/>
      </c>
      <c r="AF57" s="22"/>
      <c r="AG57" s="31" t="str">
        <f t="shared" si="6"/>
        <v/>
      </c>
      <c r="AH57" s="28"/>
      <c r="AI57" s="31" t="str">
        <f t="shared" si="7"/>
        <v/>
      </c>
      <c r="AJ57" s="22"/>
      <c r="AK57" s="31" t="str">
        <f t="shared" si="8"/>
        <v/>
      </c>
      <c r="AL57" s="28"/>
      <c r="AM57" s="31" t="str">
        <f t="shared" si="9"/>
        <v/>
      </c>
      <c r="AN57" s="22"/>
      <c r="AO57" s="31" t="str">
        <f t="shared" si="10"/>
        <v/>
      </c>
      <c r="AP57" s="28"/>
      <c r="AQ57" s="28"/>
      <c r="AR57" s="28"/>
      <c r="AS57" s="37">
        <f t="shared" si="11"/>
        <v>0</v>
      </c>
      <c r="AT57" s="31">
        <v>0</v>
      </c>
    </row>
    <row r="58" spans="1:46">
      <c r="A58" s="28" t="s">
        <v>91</v>
      </c>
      <c r="B58" s="28"/>
      <c r="C58" s="28"/>
      <c r="D58" s="29"/>
      <c r="E58" s="30"/>
      <c r="F58" s="28"/>
      <c r="G58" s="31" t="str">
        <f t="shared" si="0"/>
        <v/>
      </c>
      <c r="H58" s="28"/>
      <c r="I58" s="28"/>
      <c r="J58" s="28"/>
      <c r="K58" s="31" t="str">
        <f t="shared" si="1"/>
        <v/>
      </c>
      <c r="L58" s="28"/>
      <c r="M58" s="33" t="str">
        <f>Sheet2!E12</f>
        <v/>
      </c>
      <c r="N58" s="28" t="s">
        <v>82</v>
      </c>
      <c r="O58" s="28"/>
      <c r="P58" s="28"/>
      <c r="Q58" s="28"/>
      <c r="R58" s="28"/>
      <c r="S58" s="36"/>
      <c r="T58" s="37">
        <f t="shared" si="2"/>
        <v>0</v>
      </c>
      <c r="U58" s="31" t="str">
        <f>Sheet2!K12</f>
        <v/>
      </c>
      <c r="V58" s="22"/>
      <c r="W58" s="22"/>
      <c r="X58" s="38" t="str">
        <f t="shared" si="3"/>
        <v/>
      </c>
      <c r="Y58" s="28"/>
      <c r="Z58" s="31" t="str">
        <f>Sheet2!N12</f>
        <v/>
      </c>
      <c r="AA58" s="28"/>
      <c r="AB58" s="28"/>
      <c r="AC58" s="31" t="str">
        <f t="shared" si="4"/>
        <v/>
      </c>
      <c r="AD58" s="40" t="str">
        <f>IFERROR(HLOOKUP(AB58,Sheet3!$K$1:$T$2,2),"")</f>
        <v/>
      </c>
      <c r="AE58" s="31" t="str">
        <f t="shared" si="5"/>
        <v/>
      </c>
      <c r="AF58" s="22"/>
      <c r="AG58" s="31" t="str">
        <f t="shared" si="6"/>
        <v/>
      </c>
      <c r="AH58" s="28"/>
      <c r="AI58" s="31" t="str">
        <f t="shared" si="7"/>
        <v/>
      </c>
      <c r="AJ58" s="22"/>
      <c r="AK58" s="31" t="str">
        <f t="shared" si="8"/>
        <v/>
      </c>
      <c r="AL58" s="28"/>
      <c r="AM58" s="31" t="str">
        <f t="shared" si="9"/>
        <v/>
      </c>
      <c r="AN58" s="22"/>
      <c r="AO58" s="31" t="str">
        <f t="shared" si="10"/>
        <v/>
      </c>
      <c r="AP58" s="28"/>
      <c r="AQ58" s="28"/>
      <c r="AR58" s="28"/>
      <c r="AS58" s="37">
        <f t="shared" si="11"/>
        <v>0</v>
      </c>
      <c r="AT58" s="31">
        <v>0</v>
      </c>
    </row>
    <row r="59" spans="1:46">
      <c r="A59" s="28" t="s">
        <v>92</v>
      </c>
      <c r="B59" s="28"/>
      <c r="C59" s="28"/>
      <c r="D59" s="29"/>
      <c r="E59" s="30"/>
      <c r="F59" s="28"/>
      <c r="G59" s="31" t="str">
        <f t="shared" si="0"/>
        <v/>
      </c>
      <c r="H59" s="28"/>
      <c r="I59" s="28"/>
      <c r="J59" s="28"/>
      <c r="K59" s="31" t="str">
        <f t="shared" si="1"/>
        <v/>
      </c>
      <c r="L59" s="28"/>
      <c r="M59" s="33" t="str">
        <f>Sheet2!E13</f>
        <v/>
      </c>
      <c r="N59" s="28" t="s">
        <v>82</v>
      </c>
      <c r="O59" s="28"/>
      <c r="P59" s="28"/>
      <c r="Q59" s="28"/>
      <c r="R59" s="28"/>
      <c r="S59" s="36"/>
      <c r="T59" s="37">
        <f t="shared" si="2"/>
        <v>0</v>
      </c>
      <c r="U59" s="31" t="str">
        <f>Sheet2!K13</f>
        <v/>
      </c>
      <c r="V59" s="22"/>
      <c r="W59" s="22"/>
      <c r="X59" s="38" t="str">
        <f t="shared" si="3"/>
        <v/>
      </c>
      <c r="Y59" s="28"/>
      <c r="Z59" s="31" t="str">
        <f>Sheet2!N13</f>
        <v/>
      </c>
      <c r="AA59" s="28"/>
      <c r="AB59" s="28"/>
      <c r="AC59" s="31" t="str">
        <f t="shared" si="4"/>
        <v/>
      </c>
      <c r="AD59" s="40" t="str">
        <f>IFERROR(HLOOKUP(AB59,Sheet3!$K$1:$T$2,2),"")</f>
        <v/>
      </c>
      <c r="AE59" s="31" t="str">
        <f t="shared" si="5"/>
        <v/>
      </c>
      <c r="AF59" s="22"/>
      <c r="AG59" s="31" t="str">
        <f t="shared" si="6"/>
        <v/>
      </c>
      <c r="AH59" s="28"/>
      <c r="AI59" s="31" t="str">
        <f t="shared" si="7"/>
        <v/>
      </c>
      <c r="AJ59" s="22"/>
      <c r="AK59" s="31" t="str">
        <f t="shared" si="8"/>
        <v/>
      </c>
      <c r="AL59" s="28"/>
      <c r="AM59" s="31" t="str">
        <f t="shared" si="9"/>
        <v/>
      </c>
      <c r="AN59" s="22"/>
      <c r="AO59" s="31" t="str">
        <f t="shared" si="10"/>
        <v/>
      </c>
      <c r="AP59" s="28"/>
      <c r="AQ59" s="28"/>
      <c r="AR59" s="28"/>
      <c r="AS59" s="37">
        <f t="shared" si="11"/>
        <v>0</v>
      </c>
      <c r="AT59" s="31">
        <v>0</v>
      </c>
    </row>
    <row r="60" spans="1:46">
      <c r="A60" s="28" t="s">
        <v>93</v>
      </c>
      <c r="B60" s="28"/>
      <c r="C60" s="28"/>
      <c r="D60" s="29"/>
      <c r="E60" s="30"/>
      <c r="F60" s="28"/>
      <c r="G60" s="31" t="str">
        <f t="shared" si="0"/>
        <v/>
      </c>
      <c r="H60" s="28"/>
      <c r="I60" s="28"/>
      <c r="J60" s="28"/>
      <c r="K60" s="31" t="str">
        <f t="shared" si="1"/>
        <v/>
      </c>
      <c r="L60" s="28"/>
      <c r="M60" s="33" t="str">
        <f>Sheet2!E14</f>
        <v/>
      </c>
      <c r="N60" s="28" t="s">
        <v>82</v>
      </c>
      <c r="O60" s="28"/>
      <c r="P60" s="28"/>
      <c r="Q60" s="28"/>
      <c r="R60" s="28"/>
      <c r="S60" s="36"/>
      <c r="T60" s="37">
        <f t="shared" si="2"/>
        <v>0</v>
      </c>
      <c r="U60" s="31" t="str">
        <f>Sheet2!K14</f>
        <v/>
      </c>
      <c r="V60" s="22"/>
      <c r="W60" s="22"/>
      <c r="X60" s="38" t="str">
        <f t="shared" si="3"/>
        <v/>
      </c>
      <c r="Y60" s="28"/>
      <c r="Z60" s="31" t="str">
        <f>Sheet2!N14</f>
        <v/>
      </c>
      <c r="AA60" s="28"/>
      <c r="AB60" s="28"/>
      <c r="AC60" s="31" t="str">
        <f t="shared" si="4"/>
        <v/>
      </c>
      <c r="AD60" s="40" t="str">
        <f>IFERROR(HLOOKUP(AB60,Sheet3!$K$1:$T$2,2),"")</f>
        <v/>
      </c>
      <c r="AE60" s="31" t="str">
        <f t="shared" si="5"/>
        <v/>
      </c>
      <c r="AF60" s="22"/>
      <c r="AG60" s="31" t="str">
        <f t="shared" si="6"/>
        <v/>
      </c>
      <c r="AH60" s="28"/>
      <c r="AI60" s="31" t="str">
        <f t="shared" si="7"/>
        <v/>
      </c>
      <c r="AJ60" s="22"/>
      <c r="AK60" s="31" t="str">
        <f t="shared" si="8"/>
        <v/>
      </c>
      <c r="AL60" s="28"/>
      <c r="AM60" s="31" t="str">
        <f t="shared" si="9"/>
        <v/>
      </c>
      <c r="AN60" s="22"/>
      <c r="AO60" s="31" t="str">
        <f t="shared" si="10"/>
        <v/>
      </c>
      <c r="AP60" s="28"/>
      <c r="AQ60" s="28"/>
      <c r="AR60" s="28"/>
      <c r="AS60" s="37">
        <f t="shared" si="11"/>
        <v>0</v>
      </c>
      <c r="AT60" s="31">
        <v>0</v>
      </c>
    </row>
    <row r="61" spans="1:46">
      <c r="A61" s="28" t="s">
        <v>94</v>
      </c>
      <c r="B61" s="28"/>
      <c r="C61" s="28"/>
      <c r="D61" s="29"/>
      <c r="E61" s="30"/>
      <c r="F61" s="28"/>
      <c r="G61" s="31" t="str">
        <f t="shared" si="0"/>
        <v/>
      </c>
      <c r="H61" s="28"/>
      <c r="I61" s="28"/>
      <c r="J61" s="28"/>
      <c r="K61" s="31" t="str">
        <f t="shared" si="1"/>
        <v/>
      </c>
      <c r="L61" s="28"/>
      <c r="M61" s="33" t="str">
        <f>Sheet2!E15</f>
        <v/>
      </c>
      <c r="N61" s="28" t="s">
        <v>82</v>
      </c>
      <c r="O61" s="28"/>
      <c r="P61" s="28"/>
      <c r="Q61" s="28"/>
      <c r="R61" s="28"/>
      <c r="S61" s="36"/>
      <c r="T61" s="37">
        <f t="shared" si="2"/>
        <v>0</v>
      </c>
      <c r="U61" s="31" t="str">
        <f>Sheet2!K15</f>
        <v/>
      </c>
      <c r="V61" s="22"/>
      <c r="W61" s="22"/>
      <c r="X61" s="38" t="str">
        <f t="shared" si="3"/>
        <v/>
      </c>
      <c r="Y61" s="28"/>
      <c r="Z61" s="31" t="str">
        <f>Sheet2!N15</f>
        <v/>
      </c>
      <c r="AA61" s="28"/>
      <c r="AB61" s="28"/>
      <c r="AC61" s="31" t="str">
        <f t="shared" si="4"/>
        <v/>
      </c>
      <c r="AD61" s="40" t="str">
        <f>IFERROR(HLOOKUP(AB61,Sheet3!$K$1:$T$2,2),"")</f>
        <v/>
      </c>
      <c r="AE61" s="31" t="str">
        <f t="shared" si="5"/>
        <v/>
      </c>
      <c r="AF61" s="22"/>
      <c r="AG61" s="31" t="str">
        <f t="shared" si="6"/>
        <v/>
      </c>
      <c r="AH61" s="28"/>
      <c r="AI61" s="31" t="str">
        <f t="shared" si="7"/>
        <v/>
      </c>
      <c r="AJ61" s="22"/>
      <c r="AK61" s="31" t="str">
        <f t="shared" si="8"/>
        <v/>
      </c>
      <c r="AL61" s="28"/>
      <c r="AM61" s="31" t="str">
        <f t="shared" si="9"/>
        <v/>
      </c>
      <c r="AN61" s="22"/>
      <c r="AO61" s="31" t="str">
        <f t="shared" si="10"/>
        <v/>
      </c>
      <c r="AP61" s="28"/>
      <c r="AQ61" s="28"/>
      <c r="AR61" s="28"/>
      <c r="AS61" s="37">
        <f t="shared" si="11"/>
        <v>0</v>
      </c>
      <c r="AT61" s="31">
        <v>0</v>
      </c>
    </row>
    <row r="62" spans="1:46">
      <c r="A62" s="28" t="s">
        <v>95</v>
      </c>
      <c r="B62" s="28"/>
      <c r="C62" s="28"/>
      <c r="D62" s="29"/>
      <c r="E62" s="30"/>
      <c r="F62" s="28"/>
      <c r="G62" s="31" t="str">
        <f t="shared" si="0"/>
        <v/>
      </c>
      <c r="H62" s="28"/>
      <c r="I62" s="28"/>
      <c r="J62" s="28"/>
      <c r="K62" s="31" t="str">
        <f t="shared" si="1"/>
        <v/>
      </c>
      <c r="L62" s="28"/>
      <c r="M62" s="33" t="str">
        <f>Sheet2!E16</f>
        <v/>
      </c>
      <c r="N62" s="28" t="s">
        <v>82</v>
      </c>
      <c r="O62" s="28"/>
      <c r="P62" s="28"/>
      <c r="Q62" s="28"/>
      <c r="R62" s="28"/>
      <c r="S62" s="36"/>
      <c r="T62" s="37">
        <f t="shared" si="2"/>
        <v>0</v>
      </c>
      <c r="U62" s="31" t="str">
        <f>Sheet2!K16</f>
        <v/>
      </c>
      <c r="V62" s="22"/>
      <c r="W62" s="22"/>
      <c r="X62" s="38" t="str">
        <f t="shared" si="3"/>
        <v/>
      </c>
      <c r="Y62" s="28"/>
      <c r="Z62" s="31" t="str">
        <f>Sheet2!N16</f>
        <v/>
      </c>
      <c r="AA62" s="28"/>
      <c r="AB62" s="28"/>
      <c r="AC62" s="31" t="str">
        <f t="shared" si="4"/>
        <v/>
      </c>
      <c r="AD62" s="40" t="str">
        <f>IFERROR(HLOOKUP(AB62,Sheet3!$K$1:$T$2,2),"")</f>
        <v/>
      </c>
      <c r="AE62" s="31" t="str">
        <f t="shared" si="5"/>
        <v/>
      </c>
      <c r="AF62" s="22"/>
      <c r="AG62" s="31" t="str">
        <f t="shared" si="6"/>
        <v/>
      </c>
      <c r="AH62" s="28"/>
      <c r="AI62" s="31" t="str">
        <f t="shared" si="7"/>
        <v/>
      </c>
      <c r="AJ62" s="22"/>
      <c r="AK62" s="31" t="str">
        <f t="shared" si="8"/>
        <v/>
      </c>
      <c r="AL62" s="28"/>
      <c r="AM62" s="31" t="str">
        <f t="shared" si="9"/>
        <v/>
      </c>
      <c r="AN62" s="22"/>
      <c r="AO62" s="31" t="str">
        <f t="shared" si="10"/>
        <v/>
      </c>
      <c r="AP62" s="28"/>
      <c r="AQ62" s="28"/>
      <c r="AR62" s="28"/>
      <c r="AS62" s="37">
        <f t="shared" si="11"/>
        <v>0</v>
      </c>
      <c r="AT62" s="31">
        <v>0</v>
      </c>
    </row>
    <row r="63" spans="1:46">
      <c r="A63" s="28" t="s">
        <v>96</v>
      </c>
      <c r="B63" s="28"/>
      <c r="C63" s="28"/>
      <c r="D63" s="29"/>
      <c r="E63" s="30"/>
      <c r="F63" s="28"/>
      <c r="G63" s="31" t="str">
        <f t="shared" si="0"/>
        <v/>
      </c>
      <c r="H63" s="28"/>
      <c r="I63" s="28"/>
      <c r="J63" s="28"/>
      <c r="K63" s="31" t="str">
        <f t="shared" si="1"/>
        <v/>
      </c>
      <c r="L63" s="28"/>
      <c r="M63" s="33" t="str">
        <f>Sheet2!E17</f>
        <v/>
      </c>
      <c r="N63" s="28" t="s">
        <v>82</v>
      </c>
      <c r="O63" s="28"/>
      <c r="P63" s="28"/>
      <c r="Q63" s="28"/>
      <c r="R63" s="28"/>
      <c r="S63" s="36"/>
      <c r="T63" s="37">
        <f t="shared" si="2"/>
        <v>0</v>
      </c>
      <c r="U63" s="31" t="str">
        <f>Sheet2!K17</f>
        <v/>
      </c>
      <c r="V63" s="22"/>
      <c r="W63" s="22"/>
      <c r="X63" s="38" t="str">
        <f t="shared" si="3"/>
        <v/>
      </c>
      <c r="Y63" s="28"/>
      <c r="Z63" s="31" t="str">
        <f>Sheet2!N17</f>
        <v/>
      </c>
      <c r="AA63" s="28"/>
      <c r="AB63" s="28"/>
      <c r="AC63" s="31" t="str">
        <f t="shared" si="4"/>
        <v/>
      </c>
      <c r="AD63" s="40" t="str">
        <f>IFERROR(HLOOKUP(AB63,Sheet3!$K$1:$T$2,2),"")</f>
        <v/>
      </c>
      <c r="AE63" s="31" t="str">
        <f t="shared" si="5"/>
        <v/>
      </c>
      <c r="AF63" s="22"/>
      <c r="AG63" s="31" t="str">
        <f t="shared" si="6"/>
        <v/>
      </c>
      <c r="AH63" s="28"/>
      <c r="AI63" s="31" t="str">
        <f t="shared" si="7"/>
        <v/>
      </c>
      <c r="AJ63" s="22"/>
      <c r="AK63" s="31" t="str">
        <f t="shared" si="8"/>
        <v/>
      </c>
      <c r="AL63" s="28"/>
      <c r="AM63" s="31" t="str">
        <f t="shared" si="9"/>
        <v/>
      </c>
      <c r="AN63" s="22"/>
      <c r="AO63" s="31" t="str">
        <f t="shared" si="10"/>
        <v/>
      </c>
      <c r="AP63" s="28"/>
      <c r="AQ63" s="28"/>
      <c r="AR63" s="28"/>
      <c r="AS63" s="37">
        <f t="shared" si="11"/>
        <v>0</v>
      </c>
      <c r="AT63" s="31">
        <v>0</v>
      </c>
    </row>
    <row r="64" spans="1:46">
      <c r="A64" s="28" t="s">
        <v>97</v>
      </c>
      <c r="B64" s="28"/>
      <c r="C64" s="28"/>
      <c r="D64" s="29"/>
      <c r="E64" s="30"/>
      <c r="F64" s="28"/>
      <c r="G64" s="31" t="str">
        <f t="shared" si="0"/>
        <v/>
      </c>
      <c r="H64" s="28"/>
      <c r="I64" s="28"/>
      <c r="J64" s="28"/>
      <c r="K64" s="31" t="str">
        <f t="shared" si="1"/>
        <v/>
      </c>
      <c r="L64" s="28"/>
      <c r="M64" s="33" t="str">
        <f>Sheet2!E18</f>
        <v/>
      </c>
      <c r="N64" s="28" t="s">
        <v>82</v>
      </c>
      <c r="O64" s="28"/>
      <c r="P64" s="28"/>
      <c r="Q64" s="28"/>
      <c r="R64" s="28"/>
      <c r="S64" s="36"/>
      <c r="T64" s="37">
        <f t="shared" si="2"/>
        <v>0</v>
      </c>
      <c r="U64" s="31" t="str">
        <f>Sheet2!K18</f>
        <v/>
      </c>
      <c r="V64" s="22"/>
      <c r="W64" s="22"/>
      <c r="X64" s="38" t="str">
        <f>IFERROR(VLOOKUP(Y64,$A$1:$B$40,2,FALSE),"")</f>
        <v/>
      </c>
      <c r="Y64" s="28"/>
      <c r="Z64" s="31" t="str">
        <f>Sheet2!N18</f>
        <v/>
      </c>
      <c r="AA64" s="28"/>
      <c r="AB64" s="28"/>
      <c r="AC64" s="31" t="str">
        <f t="shared" si="4"/>
        <v/>
      </c>
      <c r="AD64" s="40" t="str">
        <f>IFERROR(HLOOKUP(AB64,Sheet3!$K$1:$T$2,2),"")</f>
        <v/>
      </c>
      <c r="AE64" s="31" t="str">
        <f t="shared" si="5"/>
        <v/>
      </c>
      <c r="AF64" s="22"/>
      <c r="AG64" s="31" t="str">
        <f t="shared" si="6"/>
        <v/>
      </c>
      <c r="AH64" s="28"/>
      <c r="AI64" s="31" t="str">
        <f t="shared" si="7"/>
        <v/>
      </c>
      <c r="AJ64" s="22"/>
      <c r="AK64" s="31" t="str">
        <f t="shared" si="8"/>
        <v/>
      </c>
      <c r="AL64" s="28"/>
      <c r="AM64" s="31" t="str">
        <f t="shared" si="9"/>
        <v/>
      </c>
      <c r="AN64" s="22"/>
      <c r="AO64" s="31" t="str">
        <f t="shared" si="10"/>
        <v/>
      </c>
      <c r="AP64" s="28"/>
      <c r="AQ64" s="28"/>
      <c r="AR64" s="28"/>
      <c r="AS64" s="37">
        <f t="shared" si="11"/>
        <v>0</v>
      </c>
      <c r="AT64" s="31">
        <v>0</v>
      </c>
    </row>
    <row r="65" spans="1:46">
      <c r="A65" s="28" t="s">
        <v>98</v>
      </c>
      <c r="B65" s="28"/>
      <c r="C65" s="28"/>
      <c r="D65" s="29"/>
      <c r="E65" s="30"/>
      <c r="F65" s="28"/>
      <c r="G65" s="31" t="str">
        <f t="shared" si="0"/>
        <v/>
      </c>
      <c r="H65" s="28"/>
      <c r="I65" s="28"/>
      <c r="J65" s="28"/>
      <c r="K65" s="31" t="str">
        <f t="shared" si="1"/>
        <v/>
      </c>
      <c r="L65" s="28"/>
      <c r="M65" s="33" t="str">
        <f>Sheet2!E19</f>
        <v/>
      </c>
      <c r="N65" s="28" t="s">
        <v>82</v>
      </c>
      <c r="O65" s="28"/>
      <c r="P65" s="28"/>
      <c r="Q65" s="28"/>
      <c r="R65" s="28"/>
      <c r="S65" s="36"/>
      <c r="T65" s="37">
        <f t="shared" si="2"/>
        <v>0</v>
      </c>
      <c r="U65" s="31" t="str">
        <f>Sheet2!K19</f>
        <v/>
      </c>
      <c r="V65" s="22"/>
      <c r="W65" s="22"/>
      <c r="X65" s="38" t="str">
        <f t="shared" si="3"/>
        <v/>
      </c>
      <c r="Y65" s="28"/>
      <c r="Z65" s="31" t="str">
        <f>Sheet2!N19</f>
        <v/>
      </c>
      <c r="AA65" s="28"/>
      <c r="AB65" s="28"/>
      <c r="AC65" s="31" t="str">
        <f t="shared" si="4"/>
        <v/>
      </c>
      <c r="AD65" s="40" t="str">
        <f>IFERROR(HLOOKUP(AB65,Sheet3!$K$1:$T$2,2),"")</f>
        <v/>
      </c>
      <c r="AE65" s="31" t="str">
        <f t="shared" si="5"/>
        <v/>
      </c>
      <c r="AF65" s="22"/>
      <c r="AG65" s="31" t="str">
        <f t="shared" si="6"/>
        <v/>
      </c>
      <c r="AH65" s="28"/>
      <c r="AI65" s="31" t="str">
        <f t="shared" si="7"/>
        <v/>
      </c>
      <c r="AJ65" s="22"/>
      <c r="AK65" s="31" t="str">
        <f t="shared" si="8"/>
        <v/>
      </c>
      <c r="AL65" s="28"/>
      <c r="AM65" s="31" t="str">
        <f t="shared" si="9"/>
        <v/>
      </c>
      <c r="AN65" s="22"/>
      <c r="AO65" s="31" t="str">
        <f t="shared" si="10"/>
        <v/>
      </c>
      <c r="AP65" s="28"/>
      <c r="AQ65" s="28"/>
      <c r="AR65" s="28"/>
      <c r="AS65" s="37">
        <f t="shared" si="11"/>
        <v>0</v>
      </c>
      <c r="AT65" s="31">
        <v>0</v>
      </c>
    </row>
    <row r="66" spans="1:46">
      <c r="A66" s="28" t="s">
        <v>99</v>
      </c>
      <c r="B66" s="28"/>
      <c r="C66" s="28"/>
      <c r="D66" s="29"/>
      <c r="E66" s="30"/>
      <c r="F66" s="28"/>
      <c r="G66" s="31" t="str">
        <f t="shared" si="0"/>
        <v/>
      </c>
      <c r="H66" s="28"/>
      <c r="I66" s="28"/>
      <c r="J66" s="28"/>
      <c r="K66" s="31" t="str">
        <f t="shared" si="1"/>
        <v/>
      </c>
      <c r="L66" s="28"/>
      <c r="M66" s="33" t="str">
        <f>Sheet2!E20</f>
        <v/>
      </c>
      <c r="N66" s="28" t="s">
        <v>82</v>
      </c>
      <c r="O66" s="28"/>
      <c r="P66" s="28"/>
      <c r="Q66" s="28"/>
      <c r="R66" s="28"/>
      <c r="S66" s="36"/>
      <c r="T66" s="37">
        <f t="shared" si="2"/>
        <v>0</v>
      </c>
      <c r="U66" s="31" t="str">
        <f>Sheet2!K20</f>
        <v/>
      </c>
      <c r="V66" s="22"/>
      <c r="W66" s="22"/>
      <c r="X66" s="38" t="str">
        <f t="shared" si="3"/>
        <v/>
      </c>
      <c r="Y66" s="28"/>
      <c r="Z66" s="31" t="str">
        <f>Sheet2!N20</f>
        <v/>
      </c>
      <c r="AA66" s="28"/>
      <c r="AB66" s="28"/>
      <c r="AC66" s="31" t="str">
        <f t="shared" si="4"/>
        <v/>
      </c>
      <c r="AD66" s="40" t="str">
        <f>IFERROR(HLOOKUP(AB66,Sheet3!$K$1:$T$2,2),"")</f>
        <v/>
      </c>
      <c r="AE66" s="31" t="str">
        <f t="shared" si="5"/>
        <v/>
      </c>
      <c r="AF66" s="22"/>
      <c r="AG66" s="31" t="str">
        <f t="shared" si="6"/>
        <v/>
      </c>
      <c r="AH66" s="28"/>
      <c r="AI66" s="31" t="str">
        <f t="shared" si="7"/>
        <v/>
      </c>
      <c r="AJ66" s="22"/>
      <c r="AK66" s="31" t="str">
        <f t="shared" si="8"/>
        <v/>
      </c>
      <c r="AL66" s="28"/>
      <c r="AM66" s="31" t="str">
        <f t="shared" si="9"/>
        <v/>
      </c>
      <c r="AN66" s="22"/>
      <c r="AO66" s="31" t="str">
        <f t="shared" si="10"/>
        <v/>
      </c>
      <c r="AP66" s="28"/>
      <c r="AQ66" s="28"/>
      <c r="AR66" s="28"/>
      <c r="AS66" s="37">
        <f t="shared" si="11"/>
        <v>0</v>
      </c>
      <c r="AT66" s="31">
        <v>0</v>
      </c>
    </row>
    <row r="67" spans="1:46">
      <c r="A67" s="28" t="s">
        <v>100</v>
      </c>
      <c r="B67" s="28"/>
      <c r="C67" s="28"/>
      <c r="D67" s="29"/>
      <c r="E67" s="30"/>
      <c r="F67" s="28"/>
      <c r="G67" s="31" t="str">
        <f t="shared" si="0"/>
        <v/>
      </c>
      <c r="H67" s="28"/>
      <c r="I67" s="28"/>
      <c r="J67" s="28"/>
      <c r="K67" s="31" t="str">
        <f t="shared" si="1"/>
        <v/>
      </c>
      <c r="L67" s="28"/>
      <c r="M67" s="33" t="str">
        <f>Sheet2!E21</f>
        <v/>
      </c>
      <c r="N67" s="28" t="s">
        <v>82</v>
      </c>
      <c r="O67" s="28"/>
      <c r="P67" s="28"/>
      <c r="Q67" s="28"/>
      <c r="R67" s="28"/>
      <c r="S67" s="36"/>
      <c r="T67" s="37">
        <f t="shared" si="2"/>
        <v>0</v>
      </c>
      <c r="U67" s="31" t="str">
        <f>Sheet2!K21</f>
        <v/>
      </c>
      <c r="V67" s="22"/>
      <c r="W67" s="22"/>
      <c r="X67" s="38" t="str">
        <f t="shared" si="3"/>
        <v/>
      </c>
      <c r="Y67" s="28"/>
      <c r="Z67" s="31" t="str">
        <f>Sheet2!N21</f>
        <v/>
      </c>
      <c r="AA67" s="28"/>
      <c r="AB67" s="28"/>
      <c r="AC67" s="31" t="str">
        <f t="shared" si="4"/>
        <v/>
      </c>
      <c r="AD67" s="40" t="str">
        <f>IFERROR(HLOOKUP(AB67,Sheet3!$K$1:$T$2,2),"")</f>
        <v/>
      </c>
      <c r="AE67" s="31" t="str">
        <f t="shared" si="5"/>
        <v/>
      </c>
      <c r="AF67" s="22"/>
      <c r="AG67" s="31" t="str">
        <f t="shared" si="6"/>
        <v/>
      </c>
      <c r="AH67" s="28"/>
      <c r="AI67" s="31" t="str">
        <f t="shared" si="7"/>
        <v/>
      </c>
      <c r="AJ67" s="22"/>
      <c r="AK67" s="31" t="str">
        <f t="shared" si="8"/>
        <v/>
      </c>
      <c r="AL67" s="28"/>
      <c r="AM67" s="31" t="str">
        <f t="shared" si="9"/>
        <v/>
      </c>
      <c r="AN67" s="22"/>
      <c r="AO67" s="31" t="str">
        <f t="shared" si="10"/>
        <v/>
      </c>
      <c r="AP67" s="28"/>
      <c r="AQ67" s="28"/>
      <c r="AR67" s="28"/>
      <c r="AS67" s="37">
        <f t="shared" si="11"/>
        <v>0</v>
      </c>
      <c r="AT67" s="31">
        <v>0</v>
      </c>
    </row>
    <row r="68" spans="1:46">
      <c r="A68" s="28" t="s">
        <v>101</v>
      </c>
      <c r="B68" s="28"/>
      <c r="C68" s="28"/>
      <c r="D68" s="29"/>
      <c r="E68" s="30"/>
      <c r="F68" s="28"/>
      <c r="G68" s="31" t="str">
        <f t="shared" si="0"/>
        <v/>
      </c>
      <c r="H68" s="28"/>
      <c r="I68" s="28"/>
      <c r="J68" s="28"/>
      <c r="K68" s="31" t="str">
        <f t="shared" si="1"/>
        <v/>
      </c>
      <c r="L68" s="28"/>
      <c r="M68" s="33" t="str">
        <f>Sheet2!E22</f>
        <v/>
      </c>
      <c r="N68" s="28" t="s">
        <v>82</v>
      </c>
      <c r="O68" s="28"/>
      <c r="P68" s="28"/>
      <c r="Q68" s="28"/>
      <c r="R68" s="28"/>
      <c r="S68" s="36"/>
      <c r="T68" s="37">
        <f t="shared" si="2"/>
        <v>0</v>
      </c>
      <c r="U68" s="31" t="str">
        <f>Sheet2!K22</f>
        <v/>
      </c>
      <c r="V68" s="22"/>
      <c r="W68" s="22"/>
      <c r="X68" s="38" t="str">
        <f t="shared" si="3"/>
        <v/>
      </c>
      <c r="Y68" s="28"/>
      <c r="Z68" s="31" t="str">
        <f>Sheet2!N22</f>
        <v/>
      </c>
      <c r="AA68" s="28"/>
      <c r="AB68" s="28"/>
      <c r="AC68" s="31" t="str">
        <f t="shared" si="4"/>
        <v/>
      </c>
      <c r="AD68" s="40" t="str">
        <f>IFERROR(HLOOKUP(AB68,Sheet3!$K$1:$T$2,2),"")</f>
        <v/>
      </c>
      <c r="AE68" s="31" t="str">
        <f t="shared" si="5"/>
        <v/>
      </c>
      <c r="AF68" s="22"/>
      <c r="AG68" s="31" t="str">
        <f t="shared" si="6"/>
        <v/>
      </c>
      <c r="AH68" s="28"/>
      <c r="AI68" s="31" t="str">
        <f t="shared" si="7"/>
        <v/>
      </c>
      <c r="AJ68" s="22"/>
      <c r="AK68" s="31" t="str">
        <f t="shared" si="8"/>
        <v/>
      </c>
      <c r="AL68" s="28"/>
      <c r="AM68" s="31" t="str">
        <f t="shared" si="9"/>
        <v/>
      </c>
      <c r="AN68" s="22"/>
      <c r="AO68" s="31" t="str">
        <f t="shared" si="10"/>
        <v/>
      </c>
      <c r="AP68" s="28"/>
      <c r="AQ68" s="28"/>
      <c r="AR68" s="28"/>
      <c r="AS68" s="37">
        <f t="shared" si="11"/>
        <v>0</v>
      </c>
      <c r="AT68" s="31">
        <v>0</v>
      </c>
    </row>
    <row r="69" spans="1:46">
      <c r="A69" s="28" t="s">
        <v>102</v>
      </c>
      <c r="B69" s="28"/>
      <c r="C69" s="28"/>
      <c r="D69" s="29"/>
      <c r="E69" s="30"/>
      <c r="F69" s="28"/>
      <c r="G69" s="31" t="str">
        <f t="shared" si="0"/>
        <v/>
      </c>
      <c r="H69" s="28"/>
      <c r="I69" s="28"/>
      <c r="J69" s="28"/>
      <c r="K69" s="31" t="str">
        <f t="shared" si="1"/>
        <v/>
      </c>
      <c r="L69" s="28"/>
      <c r="M69" s="33" t="str">
        <f>Sheet2!E23</f>
        <v/>
      </c>
      <c r="N69" s="28" t="s">
        <v>82</v>
      </c>
      <c r="O69" s="28"/>
      <c r="P69" s="28"/>
      <c r="Q69" s="28"/>
      <c r="R69" s="28"/>
      <c r="S69" s="36"/>
      <c r="T69" s="37">
        <f t="shared" si="2"/>
        <v>0</v>
      </c>
      <c r="U69" s="31" t="str">
        <f>Sheet2!K23</f>
        <v/>
      </c>
      <c r="V69" s="22"/>
      <c r="W69" s="22"/>
      <c r="X69" s="38" t="str">
        <f t="shared" si="3"/>
        <v/>
      </c>
      <c r="Y69" s="28"/>
      <c r="Z69" s="31" t="str">
        <f>Sheet2!N23</f>
        <v/>
      </c>
      <c r="AA69" s="28"/>
      <c r="AB69" s="28"/>
      <c r="AC69" s="31" t="str">
        <f t="shared" si="4"/>
        <v/>
      </c>
      <c r="AD69" s="40" t="str">
        <f>IFERROR(HLOOKUP(AB69,Sheet3!$K$1:$T$2,2),"")</f>
        <v/>
      </c>
      <c r="AE69" s="31" t="str">
        <f t="shared" si="5"/>
        <v/>
      </c>
      <c r="AF69" s="22"/>
      <c r="AG69" s="31" t="str">
        <f t="shared" si="6"/>
        <v/>
      </c>
      <c r="AH69" s="28"/>
      <c r="AI69" s="31" t="str">
        <f t="shared" si="7"/>
        <v/>
      </c>
      <c r="AJ69" s="22"/>
      <c r="AK69" s="31" t="str">
        <f t="shared" si="8"/>
        <v/>
      </c>
      <c r="AL69" s="28"/>
      <c r="AM69" s="31" t="str">
        <f t="shared" si="9"/>
        <v/>
      </c>
      <c r="AN69" s="22"/>
      <c r="AO69" s="31" t="str">
        <f t="shared" si="10"/>
        <v/>
      </c>
      <c r="AP69" s="28"/>
      <c r="AQ69" s="28"/>
      <c r="AR69" s="28"/>
      <c r="AS69" s="37">
        <f t="shared" si="11"/>
        <v>0</v>
      </c>
      <c r="AT69" s="31">
        <v>0</v>
      </c>
    </row>
    <row r="70" spans="1:46">
      <c r="A70" s="28" t="s">
        <v>103</v>
      </c>
      <c r="B70" s="28"/>
      <c r="C70" s="28"/>
      <c r="D70" s="29"/>
      <c r="E70" s="30"/>
      <c r="F70" s="28"/>
      <c r="G70" s="31" t="str">
        <f t="shared" si="0"/>
        <v/>
      </c>
      <c r="H70" s="28"/>
      <c r="I70" s="28"/>
      <c r="J70" s="28"/>
      <c r="K70" s="31" t="str">
        <f t="shared" si="1"/>
        <v/>
      </c>
      <c r="L70" s="28"/>
      <c r="M70" s="33" t="str">
        <f>Sheet2!E24</f>
        <v/>
      </c>
      <c r="N70" s="28" t="s">
        <v>82</v>
      </c>
      <c r="O70" s="28"/>
      <c r="P70" s="28"/>
      <c r="Q70" s="28"/>
      <c r="R70" s="28"/>
      <c r="S70" s="36"/>
      <c r="T70" s="37">
        <f t="shared" si="2"/>
        <v>0</v>
      </c>
      <c r="U70" s="31" t="str">
        <f>Sheet2!K24</f>
        <v/>
      </c>
      <c r="V70" s="22"/>
      <c r="W70" s="22"/>
      <c r="X70" s="38" t="str">
        <f t="shared" si="3"/>
        <v/>
      </c>
      <c r="Y70" s="28"/>
      <c r="Z70" s="31" t="str">
        <f>Sheet2!N24</f>
        <v/>
      </c>
      <c r="AA70" s="28"/>
      <c r="AB70" s="28"/>
      <c r="AC70" s="31" t="str">
        <f t="shared" si="4"/>
        <v/>
      </c>
      <c r="AD70" s="40" t="str">
        <f>IFERROR(HLOOKUP(AB70,Sheet3!$K$1:$T$2,2),"")</f>
        <v/>
      </c>
      <c r="AE70" s="31" t="str">
        <f t="shared" si="5"/>
        <v/>
      </c>
      <c r="AF70" s="22"/>
      <c r="AG70" s="31" t="str">
        <f t="shared" si="6"/>
        <v/>
      </c>
      <c r="AH70" s="28"/>
      <c r="AI70" s="31" t="str">
        <f t="shared" si="7"/>
        <v/>
      </c>
      <c r="AJ70" s="22"/>
      <c r="AK70" s="31" t="str">
        <f t="shared" si="8"/>
        <v/>
      </c>
      <c r="AL70" s="28"/>
      <c r="AM70" s="31" t="str">
        <f t="shared" si="9"/>
        <v/>
      </c>
      <c r="AN70" s="22"/>
      <c r="AO70" s="31" t="str">
        <f t="shared" si="10"/>
        <v/>
      </c>
      <c r="AP70" s="28"/>
      <c r="AQ70" s="28"/>
      <c r="AR70" s="28"/>
      <c r="AS70" s="37">
        <f t="shared" si="11"/>
        <v>0</v>
      </c>
      <c r="AT70" s="31">
        <v>0</v>
      </c>
    </row>
    <row r="71" spans="1:46">
      <c r="A71" s="28" t="s">
        <v>104</v>
      </c>
      <c r="B71" s="28"/>
      <c r="C71" s="28"/>
      <c r="D71" s="29"/>
      <c r="E71" s="30"/>
      <c r="F71" s="28"/>
      <c r="G71" s="31" t="str">
        <f t="shared" si="0"/>
        <v/>
      </c>
      <c r="H71" s="28"/>
      <c r="I71" s="28"/>
      <c r="J71" s="28"/>
      <c r="K71" s="31" t="str">
        <f t="shared" si="1"/>
        <v/>
      </c>
      <c r="L71" s="28"/>
      <c r="M71" s="33" t="str">
        <f>Sheet2!E25</f>
        <v/>
      </c>
      <c r="N71" s="28" t="s">
        <v>82</v>
      </c>
      <c r="O71" s="28"/>
      <c r="P71" s="28"/>
      <c r="Q71" s="28"/>
      <c r="R71" s="28"/>
      <c r="S71" s="36"/>
      <c r="T71" s="37">
        <f t="shared" si="2"/>
        <v>0</v>
      </c>
      <c r="U71" s="31" t="str">
        <f>Sheet2!K25</f>
        <v/>
      </c>
      <c r="V71" s="22"/>
      <c r="W71" s="22"/>
      <c r="X71" s="38" t="str">
        <f t="shared" si="3"/>
        <v/>
      </c>
      <c r="Y71" s="28"/>
      <c r="Z71" s="31" t="str">
        <f>Sheet2!N25</f>
        <v/>
      </c>
      <c r="AA71" s="28"/>
      <c r="AB71" s="28"/>
      <c r="AC71" s="31" t="str">
        <f t="shared" si="4"/>
        <v/>
      </c>
      <c r="AD71" s="40" t="str">
        <f>IFERROR(HLOOKUP(AB71,Sheet3!$K$1:$T$2,2),"")</f>
        <v/>
      </c>
      <c r="AE71" s="31" t="str">
        <f t="shared" si="5"/>
        <v/>
      </c>
      <c r="AF71" s="22"/>
      <c r="AG71" s="31" t="str">
        <f t="shared" si="6"/>
        <v/>
      </c>
      <c r="AH71" s="28"/>
      <c r="AI71" s="31" t="str">
        <f t="shared" si="7"/>
        <v/>
      </c>
      <c r="AJ71" s="22"/>
      <c r="AK71" s="31" t="str">
        <f t="shared" si="8"/>
        <v/>
      </c>
      <c r="AL71" s="28"/>
      <c r="AM71" s="31" t="str">
        <f t="shared" si="9"/>
        <v/>
      </c>
      <c r="AN71" s="22"/>
      <c r="AO71" s="31" t="str">
        <f t="shared" si="10"/>
        <v/>
      </c>
      <c r="AP71" s="28"/>
      <c r="AQ71" s="28"/>
      <c r="AR71" s="28"/>
      <c r="AS71" s="37">
        <f t="shared" si="11"/>
        <v>0</v>
      </c>
      <c r="AT71" s="31">
        <v>0</v>
      </c>
    </row>
    <row r="72" spans="1:46">
      <c r="A72" s="28" t="s">
        <v>105</v>
      </c>
      <c r="B72" s="28"/>
      <c r="C72" s="28"/>
      <c r="D72" s="29"/>
      <c r="E72" s="30"/>
      <c r="F72" s="28"/>
      <c r="G72" s="31" t="str">
        <f t="shared" si="0"/>
        <v/>
      </c>
      <c r="H72" s="28"/>
      <c r="I72" s="28"/>
      <c r="J72" s="28"/>
      <c r="K72" s="31" t="str">
        <f t="shared" si="1"/>
        <v/>
      </c>
      <c r="L72" s="28"/>
      <c r="M72" s="33" t="str">
        <f>Sheet2!E26</f>
        <v/>
      </c>
      <c r="N72" s="28" t="s">
        <v>82</v>
      </c>
      <c r="O72" s="28"/>
      <c r="P72" s="28"/>
      <c r="Q72" s="28"/>
      <c r="R72" s="28"/>
      <c r="S72" s="36"/>
      <c r="T72" s="37">
        <f t="shared" si="2"/>
        <v>0</v>
      </c>
      <c r="U72" s="31" t="str">
        <f>Sheet2!K26</f>
        <v/>
      </c>
      <c r="V72" s="22"/>
      <c r="W72" s="22"/>
      <c r="X72" s="38" t="str">
        <f t="shared" si="3"/>
        <v/>
      </c>
      <c r="Y72" s="28"/>
      <c r="Z72" s="31" t="str">
        <f>Sheet2!N26</f>
        <v/>
      </c>
      <c r="AA72" s="28"/>
      <c r="AB72" s="28"/>
      <c r="AC72" s="31" t="str">
        <f t="shared" si="4"/>
        <v/>
      </c>
      <c r="AD72" s="40" t="str">
        <f>IFERROR(HLOOKUP(AB72,Sheet3!$K$1:$T$2,2),"")</f>
        <v/>
      </c>
      <c r="AE72" s="31" t="str">
        <f t="shared" si="5"/>
        <v/>
      </c>
      <c r="AF72" s="22"/>
      <c r="AG72" s="31" t="str">
        <f t="shared" si="6"/>
        <v/>
      </c>
      <c r="AH72" s="28"/>
      <c r="AI72" s="31" t="str">
        <f t="shared" si="7"/>
        <v/>
      </c>
      <c r="AJ72" s="22"/>
      <c r="AK72" s="31" t="str">
        <f t="shared" si="8"/>
        <v/>
      </c>
      <c r="AL72" s="28"/>
      <c r="AM72" s="31" t="str">
        <f t="shared" si="9"/>
        <v/>
      </c>
      <c r="AN72" s="22"/>
      <c r="AO72" s="31" t="str">
        <f t="shared" si="10"/>
        <v/>
      </c>
      <c r="AP72" s="28"/>
      <c r="AQ72" s="28"/>
      <c r="AR72" s="28"/>
      <c r="AS72" s="37">
        <f t="shared" si="11"/>
        <v>0</v>
      </c>
      <c r="AT72" s="31">
        <v>0</v>
      </c>
    </row>
    <row r="73" spans="1:46">
      <c r="A73" s="28" t="s">
        <v>106</v>
      </c>
      <c r="B73" s="28"/>
      <c r="C73" s="28"/>
      <c r="D73" s="29"/>
      <c r="E73" s="30"/>
      <c r="F73" s="28"/>
      <c r="G73" s="31" t="str">
        <f t="shared" si="0"/>
        <v/>
      </c>
      <c r="H73" s="28"/>
      <c r="I73" s="28"/>
      <c r="J73" s="28"/>
      <c r="K73" s="31" t="str">
        <f t="shared" si="1"/>
        <v/>
      </c>
      <c r="L73" s="28"/>
      <c r="M73" s="33" t="str">
        <f>Sheet2!E27</f>
        <v/>
      </c>
      <c r="N73" s="28" t="s">
        <v>82</v>
      </c>
      <c r="O73" s="28"/>
      <c r="P73" s="28"/>
      <c r="Q73" s="28"/>
      <c r="R73" s="28"/>
      <c r="S73" s="36"/>
      <c r="T73" s="37">
        <f t="shared" si="2"/>
        <v>0</v>
      </c>
      <c r="U73" s="31" t="str">
        <f>Sheet2!K27</f>
        <v/>
      </c>
      <c r="V73" s="22"/>
      <c r="W73" s="22"/>
      <c r="X73" s="38" t="str">
        <f t="shared" si="3"/>
        <v/>
      </c>
      <c r="Y73" s="28"/>
      <c r="Z73" s="31" t="str">
        <f>Sheet2!N27</f>
        <v/>
      </c>
      <c r="AA73" s="28"/>
      <c r="AB73" s="28"/>
      <c r="AC73" s="31" t="str">
        <f t="shared" si="4"/>
        <v/>
      </c>
      <c r="AD73" s="40" t="str">
        <f>IFERROR(HLOOKUP(AB73,Sheet3!$K$1:$T$2,2),"")</f>
        <v/>
      </c>
      <c r="AE73" s="31" t="str">
        <f t="shared" si="5"/>
        <v/>
      </c>
      <c r="AF73" s="22"/>
      <c r="AG73" s="31" t="str">
        <f t="shared" si="6"/>
        <v/>
      </c>
      <c r="AH73" s="28"/>
      <c r="AI73" s="31" t="str">
        <f t="shared" si="7"/>
        <v/>
      </c>
      <c r="AJ73" s="22"/>
      <c r="AK73" s="31" t="str">
        <f t="shared" si="8"/>
        <v/>
      </c>
      <c r="AL73" s="28"/>
      <c r="AM73" s="31" t="str">
        <f t="shared" si="9"/>
        <v/>
      </c>
      <c r="AN73" s="22"/>
      <c r="AO73" s="31" t="str">
        <f t="shared" si="10"/>
        <v/>
      </c>
      <c r="AP73" s="28"/>
      <c r="AQ73" s="28"/>
      <c r="AR73" s="28"/>
      <c r="AS73" s="37">
        <f t="shared" si="11"/>
        <v>0</v>
      </c>
      <c r="AT73" s="31">
        <v>0</v>
      </c>
    </row>
    <row r="74" spans="1:46">
      <c r="A74" s="28" t="s">
        <v>107</v>
      </c>
      <c r="B74" s="28"/>
      <c r="C74" s="28"/>
      <c r="D74" s="29"/>
      <c r="E74" s="30"/>
      <c r="F74" s="28"/>
      <c r="G74" s="31" t="str">
        <f t="shared" si="0"/>
        <v/>
      </c>
      <c r="H74" s="28"/>
      <c r="I74" s="28"/>
      <c r="J74" s="28"/>
      <c r="K74" s="31" t="str">
        <f t="shared" si="1"/>
        <v/>
      </c>
      <c r="L74" s="28"/>
      <c r="M74" s="33" t="str">
        <f>Sheet2!E28</f>
        <v/>
      </c>
      <c r="N74" s="28" t="s">
        <v>82</v>
      </c>
      <c r="O74" s="28"/>
      <c r="P74" s="28"/>
      <c r="Q74" s="28"/>
      <c r="R74" s="28"/>
      <c r="S74" s="36"/>
      <c r="T74" s="37">
        <f t="shared" si="2"/>
        <v>0</v>
      </c>
      <c r="U74" s="31" t="str">
        <f>Sheet2!K28</f>
        <v/>
      </c>
      <c r="V74" s="22"/>
      <c r="W74" s="22"/>
      <c r="X74" s="38" t="str">
        <f t="shared" si="3"/>
        <v/>
      </c>
      <c r="Y74" s="28"/>
      <c r="Z74" s="31" t="str">
        <f>Sheet2!N28</f>
        <v/>
      </c>
      <c r="AA74" s="28"/>
      <c r="AB74" s="28"/>
      <c r="AC74" s="31" t="str">
        <f t="shared" si="4"/>
        <v/>
      </c>
      <c r="AD74" s="40" t="str">
        <f>IFERROR(HLOOKUP(AB74,Sheet3!$K$1:$T$2,2),"")</f>
        <v/>
      </c>
      <c r="AE74" s="31" t="str">
        <f t="shared" si="5"/>
        <v/>
      </c>
      <c r="AF74" s="22"/>
      <c r="AG74" s="31" t="str">
        <f t="shared" si="6"/>
        <v/>
      </c>
      <c r="AH74" s="28"/>
      <c r="AI74" s="31" t="str">
        <f t="shared" si="7"/>
        <v/>
      </c>
      <c r="AJ74" s="22"/>
      <c r="AK74" s="31" t="str">
        <f t="shared" si="8"/>
        <v/>
      </c>
      <c r="AL74" s="28"/>
      <c r="AM74" s="31" t="str">
        <f t="shared" si="9"/>
        <v/>
      </c>
      <c r="AN74" s="22"/>
      <c r="AO74" s="31" t="str">
        <f t="shared" si="10"/>
        <v/>
      </c>
      <c r="AP74" s="28"/>
      <c r="AQ74" s="28"/>
      <c r="AR74" s="28"/>
      <c r="AS74" s="37">
        <f t="shared" si="11"/>
        <v>0</v>
      </c>
      <c r="AT74" s="31">
        <v>0</v>
      </c>
    </row>
    <row r="75" spans="1:46">
      <c r="A75" s="28" t="s">
        <v>108</v>
      </c>
      <c r="B75" s="28"/>
      <c r="C75" s="28"/>
      <c r="D75" s="29"/>
      <c r="E75" s="30"/>
      <c r="F75" s="28"/>
      <c r="G75" s="31" t="str">
        <f>IFERROR(VLOOKUP(H75,$A$1:$B$40,2,FALSE),"")</f>
        <v/>
      </c>
      <c r="H75" s="28"/>
      <c r="I75" s="28"/>
      <c r="J75" s="28"/>
      <c r="K75" s="31" t="str">
        <f t="shared" si="1"/>
        <v/>
      </c>
      <c r="L75" s="28"/>
      <c r="M75" s="33" t="str">
        <f>Sheet2!E29</f>
        <v/>
      </c>
      <c r="N75" s="28" t="s">
        <v>82</v>
      </c>
      <c r="O75" s="28"/>
      <c r="P75" s="28"/>
      <c r="Q75" s="28"/>
      <c r="R75" s="28"/>
      <c r="S75" s="36"/>
      <c r="T75" s="37">
        <f t="shared" si="2"/>
        <v>0</v>
      </c>
      <c r="U75" s="31" t="str">
        <f>Sheet2!K29</f>
        <v/>
      </c>
      <c r="V75" s="22"/>
      <c r="W75" s="22"/>
      <c r="X75" s="38" t="str">
        <f t="shared" si="3"/>
        <v/>
      </c>
      <c r="Y75" s="28"/>
      <c r="Z75" s="31" t="str">
        <f>Sheet2!N29</f>
        <v/>
      </c>
      <c r="AA75" s="28"/>
      <c r="AB75" s="28"/>
      <c r="AC75" s="31" t="str">
        <f t="shared" si="4"/>
        <v/>
      </c>
      <c r="AD75" s="40" t="str">
        <f>IFERROR(HLOOKUP(AB75,Sheet3!$K$1:$T$2,2),"")</f>
        <v/>
      </c>
      <c r="AE75" s="31" t="str">
        <f t="shared" si="5"/>
        <v/>
      </c>
      <c r="AF75" s="22"/>
      <c r="AG75" s="31" t="str">
        <f t="shared" si="6"/>
        <v/>
      </c>
      <c r="AH75" s="28"/>
      <c r="AI75" s="31" t="str">
        <f t="shared" si="7"/>
        <v/>
      </c>
      <c r="AJ75" s="22"/>
      <c r="AK75" s="31" t="str">
        <f t="shared" si="8"/>
        <v/>
      </c>
      <c r="AL75" s="28"/>
      <c r="AM75" s="31" t="str">
        <f t="shared" si="9"/>
        <v/>
      </c>
      <c r="AN75" s="22"/>
      <c r="AO75" s="31" t="str">
        <f t="shared" si="10"/>
        <v/>
      </c>
      <c r="AP75" s="28"/>
      <c r="AQ75" s="28"/>
      <c r="AR75" s="28"/>
      <c r="AS75" s="37">
        <f t="shared" si="11"/>
        <v>0</v>
      </c>
      <c r="AT75" s="31">
        <v>0</v>
      </c>
    </row>
    <row r="76" spans="1:46">
      <c r="A76" s="28" t="s">
        <v>109</v>
      </c>
      <c r="B76" s="28"/>
      <c r="C76" s="28"/>
      <c r="D76" s="29"/>
      <c r="E76" s="30"/>
      <c r="F76" s="28"/>
      <c r="G76" s="31" t="str">
        <f t="shared" si="0"/>
        <v/>
      </c>
      <c r="H76" s="28"/>
      <c r="I76" s="28"/>
      <c r="J76" s="28"/>
      <c r="K76" s="31" t="str">
        <f t="shared" si="1"/>
        <v/>
      </c>
      <c r="L76" s="28"/>
      <c r="M76" s="33" t="str">
        <f>Sheet2!E30</f>
        <v/>
      </c>
      <c r="N76" s="28" t="s">
        <v>82</v>
      </c>
      <c r="O76" s="28"/>
      <c r="P76" s="28"/>
      <c r="Q76" s="28"/>
      <c r="R76" s="28"/>
      <c r="S76" s="36"/>
      <c r="T76" s="37">
        <f t="shared" si="2"/>
        <v>0</v>
      </c>
      <c r="U76" s="31" t="str">
        <f>Sheet2!K30</f>
        <v/>
      </c>
      <c r="V76" s="22"/>
      <c r="W76" s="22"/>
      <c r="X76" s="38" t="str">
        <f t="shared" si="3"/>
        <v/>
      </c>
      <c r="Y76" s="28"/>
      <c r="Z76" s="31" t="str">
        <f>Sheet2!N30</f>
        <v/>
      </c>
      <c r="AA76" s="28"/>
      <c r="AB76" s="28"/>
      <c r="AC76" s="31" t="str">
        <f t="shared" si="4"/>
        <v/>
      </c>
      <c r="AD76" s="40" t="str">
        <f>IFERROR(HLOOKUP(AB76,Sheet3!$K$1:$T$2,2),"")</f>
        <v/>
      </c>
      <c r="AE76" s="31" t="str">
        <f t="shared" si="5"/>
        <v/>
      </c>
      <c r="AF76" s="22"/>
      <c r="AG76" s="31" t="str">
        <f t="shared" si="6"/>
        <v/>
      </c>
      <c r="AH76" s="28"/>
      <c r="AI76" s="31" t="str">
        <f t="shared" si="7"/>
        <v/>
      </c>
      <c r="AJ76" s="22"/>
      <c r="AK76" s="31" t="str">
        <f t="shared" si="8"/>
        <v/>
      </c>
      <c r="AL76" s="28"/>
      <c r="AM76" s="31" t="str">
        <f t="shared" si="9"/>
        <v/>
      </c>
      <c r="AN76" s="22"/>
      <c r="AO76" s="31" t="str">
        <f t="shared" si="10"/>
        <v/>
      </c>
      <c r="AP76" s="28"/>
      <c r="AQ76" s="28"/>
      <c r="AR76" s="28"/>
      <c r="AS76" s="37">
        <f t="shared" si="11"/>
        <v>0</v>
      </c>
      <c r="AT76" s="31">
        <v>0</v>
      </c>
    </row>
    <row r="77" spans="1:46">
      <c r="A77" s="28" t="s">
        <v>110</v>
      </c>
      <c r="B77" s="28"/>
      <c r="C77" s="28"/>
      <c r="D77" s="29"/>
      <c r="E77" s="30"/>
      <c r="F77" s="28"/>
      <c r="G77" s="31" t="str">
        <f t="shared" si="0"/>
        <v/>
      </c>
      <c r="H77" s="28"/>
      <c r="I77" s="28"/>
      <c r="J77" s="28"/>
      <c r="K77" s="31" t="str">
        <f t="shared" si="1"/>
        <v/>
      </c>
      <c r="L77" s="28"/>
      <c r="M77" s="33" t="str">
        <f>Sheet2!E31</f>
        <v/>
      </c>
      <c r="N77" s="28" t="s">
        <v>82</v>
      </c>
      <c r="O77" s="28"/>
      <c r="P77" s="28"/>
      <c r="Q77" s="28"/>
      <c r="R77" s="28"/>
      <c r="S77" s="36"/>
      <c r="T77" s="37">
        <f t="shared" si="2"/>
        <v>0</v>
      </c>
      <c r="U77" s="31" t="str">
        <f>Sheet2!K31</f>
        <v/>
      </c>
      <c r="V77" s="22"/>
      <c r="W77" s="22"/>
      <c r="X77" s="38" t="str">
        <f t="shared" si="3"/>
        <v/>
      </c>
      <c r="Y77" s="28"/>
      <c r="Z77" s="31" t="str">
        <f>Sheet2!N31</f>
        <v/>
      </c>
      <c r="AA77" s="28"/>
      <c r="AB77" s="28"/>
      <c r="AC77" s="31" t="str">
        <f t="shared" si="4"/>
        <v/>
      </c>
      <c r="AD77" s="40" t="str">
        <f>IFERROR(HLOOKUP(AB77,Sheet3!$K$1:$T$2,2),"")</f>
        <v/>
      </c>
      <c r="AE77" s="31" t="str">
        <f t="shared" si="5"/>
        <v/>
      </c>
      <c r="AF77" s="22"/>
      <c r="AG77" s="31" t="str">
        <f t="shared" si="6"/>
        <v/>
      </c>
      <c r="AH77" s="28"/>
      <c r="AI77" s="31" t="str">
        <f t="shared" si="7"/>
        <v/>
      </c>
      <c r="AJ77" s="22"/>
      <c r="AK77" s="31" t="str">
        <f t="shared" si="8"/>
        <v/>
      </c>
      <c r="AL77" s="28"/>
      <c r="AM77" s="31" t="str">
        <f t="shared" si="9"/>
        <v/>
      </c>
      <c r="AN77" s="22"/>
      <c r="AO77" s="31" t="str">
        <f t="shared" si="10"/>
        <v/>
      </c>
      <c r="AP77" s="28"/>
      <c r="AQ77" s="28"/>
      <c r="AR77" s="28"/>
      <c r="AS77" s="37">
        <f t="shared" si="11"/>
        <v>0</v>
      </c>
      <c r="AT77" s="31">
        <v>0</v>
      </c>
    </row>
    <row r="78" spans="1:46">
      <c r="A78" s="28" t="s">
        <v>111</v>
      </c>
      <c r="B78" s="28"/>
      <c r="C78" s="28"/>
      <c r="D78" s="29"/>
      <c r="E78" s="30"/>
      <c r="F78" s="28"/>
      <c r="G78" s="31" t="str">
        <f t="shared" si="0"/>
        <v/>
      </c>
      <c r="H78" s="28"/>
      <c r="I78" s="28"/>
      <c r="J78" s="28"/>
      <c r="K78" s="31" t="str">
        <f t="shared" si="1"/>
        <v/>
      </c>
      <c r="L78" s="28"/>
      <c r="M78" s="33" t="str">
        <f>Sheet2!E32</f>
        <v/>
      </c>
      <c r="N78" s="28" t="s">
        <v>82</v>
      </c>
      <c r="O78" s="28"/>
      <c r="P78" s="28"/>
      <c r="Q78" s="28"/>
      <c r="R78" s="28"/>
      <c r="S78" s="36"/>
      <c r="T78" s="37">
        <f t="shared" si="2"/>
        <v>0</v>
      </c>
      <c r="U78" s="31" t="str">
        <f>Sheet2!K32</f>
        <v/>
      </c>
      <c r="V78" s="22"/>
      <c r="W78" s="22"/>
      <c r="X78" s="38" t="str">
        <f t="shared" si="3"/>
        <v/>
      </c>
      <c r="Y78" s="28"/>
      <c r="Z78" s="31" t="str">
        <f>Sheet2!N32</f>
        <v/>
      </c>
      <c r="AA78" s="28"/>
      <c r="AB78" s="28"/>
      <c r="AC78" s="31" t="str">
        <f t="shared" si="4"/>
        <v/>
      </c>
      <c r="AD78" s="40" t="str">
        <f>IFERROR(HLOOKUP(AB78,Sheet3!$K$1:$T$2,2),"")</f>
        <v/>
      </c>
      <c r="AE78" s="31" t="str">
        <f t="shared" si="5"/>
        <v/>
      </c>
      <c r="AF78" s="22"/>
      <c r="AG78" s="31" t="str">
        <f t="shared" si="6"/>
        <v/>
      </c>
      <c r="AH78" s="28"/>
      <c r="AI78" s="31" t="str">
        <f t="shared" si="7"/>
        <v/>
      </c>
      <c r="AJ78" s="22"/>
      <c r="AK78" s="31" t="str">
        <f t="shared" si="8"/>
        <v/>
      </c>
      <c r="AL78" s="28"/>
      <c r="AM78" s="31" t="str">
        <f t="shared" si="9"/>
        <v/>
      </c>
      <c r="AN78" s="22"/>
      <c r="AO78" s="31" t="str">
        <f t="shared" si="10"/>
        <v/>
      </c>
      <c r="AP78" s="28"/>
      <c r="AQ78" s="28"/>
      <c r="AR78" s="28"/>
      <c r="AS78" s="37">
        <f t="shared" si="11"/>
        <v>0</v>
      </c>
      <c r="AT78" s="31">
        <v>0</v>
      </c>
    </row>
    <row r="79" spans="1:46">
      <c r="A79" s="28" t="s">
        <v>112</v>
      </c>
      <c r="B79" s="28"/>
      <c r="C79" s="28"/>
      <c r="D79" s="29"/>
      <c r="E79" s="30"/>
      <c r="F79" s="28"/>
      <c r="G79" s="31" t="str">
        <f t="shared" si="0"/>
        <v/>
      </c>
      <c r="H79" s="28"/>
      <c r="I79" s="28"/>
      <c r="J79" s="28"/>
      <c r="K79" s="31" t="str">
        <f t="shared" si="1"/>
        <v/>
      </c>
      <c r="L79" s="28"/>
      <c r="M79" s="33" t="str">
        <f>Sheet2!E33</f>
        <v/>
      </c>
      <c r="N79" s="28" t="s">
        <v>82</v>
      </c>
      <c r="O79" s="28"/>
      <c r="P79" s="28"/>
      <c r="Q79" s="28"/>
      <c r="R79" s="28"/>
      <c r="S79" s="36"/>
      <c r="T79" s="37">
        <f t="shared" si="2"/>
        <v>0</v>
      </c>
      <c r="U79" s="31" t="str">
        <f>Sheet2!K33</f>
        <v/>
      </c>
      <c r="V79" s="22" t="s">
        <v>82</v>
      </c>
      <c r="W79" s="22"/>
      <c r="X79" s="38" t="str">
        <f t="shared" si="3"/>
        <v/>
      </c>
      <c r="Y79" s="28"/>
      <c r="Z79" s="31" t="str">
        <f>Sheet2!N33</f>
        <v/>
      </c>
      <c r="AA79" s="28"/>
      <c r="AB79" s="28"/>
      <c r="AC79" s="31" t="str">
        <f t="shared" si="4"/>
        <v/>
      </c>
      <c r="AD79" s="40" t="str">
        <f>IFERROR(HLOOKUP(AB79,Sheet3!$K$1:$T$2,2),"")</f>
        <v/>
      </c>
      <c r="AE79" s="31" t="str">
        <f t="shared" si="5"/>
        <v/>
      </c>
      <c r="AF79" s="22"/>
      <c r="AG79" s="31" t="str">
        <f t="shared" si="6"/>
        <v/>
      </c>
      <c r="AH79" s="28"/>
      <c r="AI79" s="31" t="str">
        <f t="shared" si="7"/>
        <v/>
      </c>
      <c r="AJ79" s="22"/>
      <c r="AK79" s="31" t="str">
        <f t="shared" si="8"/>
        <v/>
      </c>
      <c r="AL79" s="28"/>
      <c r="AM79" s="31" t="str">
        <f t="shared" si="9"/>
        <v/>
      </c>
      <c r="AN79" s="22"/>
      <c r="AO79" s="31" t="str">
        <f t="shared" si="10"/>
        <v/>
      </c>
      <c r="AP79" s="28"/>
      <c r="AQ79" s="28"/>
      <c r="AR79" s="28"/>
      <c r="AS79" s="37">
        <f t="shared" si="11"/>
        <v>0</v>
      </c>
      <c r="AT79" s="31">
        <v>0</v>
      </c>
    </row>
    <row r="80" spans="1:46">
      <c r="A80" s="28" t="s">
        <v>113</v>
      </c>
      <c r="B80" s="28"/>
      <c r="C80" s="28"/>
      <c r="D80" s="29"/>
      <c r="E80" s="30"/>
      <c r="F80" s="28"/>
      <c r="G80" s="31" t="str">
        <f t="shared" si="0"/>
        <v/>
      </c>
      <c r="H80" s="28"/>
      <c r="I80" s="28"/>
      <c r="J80" s="28"/>
      <c r="K80" s="31" t="str">
        <f t="shared" si="1"/>
        <v/>
      </c>
      <c r="L80" s="28"/>
      <c r="M80" s="33" t="str">
        <f>Sheet2!E34</f>
        <v/>
      </c>
      <c r="N80" s="28" t="s">
        <v>82</v>
      </c>
      <c r="O80" s="28"/>
      <c r="P80" s="28"/>
      <c r="Q80" s="28"/>
      <c r="R80" s="28"/>
      <c r="S80" s="36"/>
      <c r="T80" s="37">
        <f t="shared" si="2"/>
        <v>0</v>
      </c>
      <c r="U80" s="31" t="str">
        <f>Sheet2!K34</f>
        <v/>
      </c>
      <c r="V80" s="22" t="s">
        <v>82</v>
      </c>
      <c r="W80" s="22"/>
      <c r="X80" s="38" t="str">
        <f t="shared" si="3"/>
        <v/>
      </c>
      <c r="Y80" s="28"/>
      <c r="Z80" s="31" t="str">
        <f>Sheet2!N34</f>
        <v/>
      </c>
      <c r="AA80" s="28"/>
      <c r="AB80" s="28"/>
      <c r="AC80" s="31" t="str">
        <f t="shared" si="4"/>
        <v/>
      </c>
      <c r="AD80" s="40" t="str">
        <f>IFERROR(HLOOKUP(AB80,Sheet3!$K$1:$T$2,2),"")</f>
        <v/>
      </c>
      <c r="AE80" s="31" t="str">
        <f t="shared" si="5"/>
        <v/>
      </c>
      <c r="AF80" s="22"/>
      <c r="AG80" s="31" t="str">
        <f t="shared" si="6"/>
        <v/>
      </c>
      <c r="AH80" s="28"/>
      <c r="AI80" s="31" t="str">
        <f t="shared" si="7"/>
        <v/>
      </c>
      <c r="AJ80" s="22"/>
      <c r="AK80" s="31" t="str">
        <f t="shared" si="8"/>
        <v/>
      </c>
      <c r="AL80" s="28"/>
      <c r="AM80" s="31" t="str">
        <f t="shared" si="9"/>
        <v/>
      </c>
      <c r="AN80" s="22"/>
      <c r="AO80" s="31" t="str">
        <f t="shared" si="10"/>
        <v/>
      </c>
      <c r="AP80" s="28"/>
      <c r="AQ80" s="28"/>
      <c r="AR80" s="28"/>
      <c r="AS80" s="37">
        <f t="shared" si="11"/>
        <v>0</v>
      </c>
      <c r="AT80" s="31">
        <v>0</v>
      </c>
    </row>
    <row r="81" spans="1:46">
      <c r="A81" s="28" t="s">
        <v>114</v>
      </c>
      <c r="B81" s="28"/>
      <c r="C81" s="28"/>
      <c r="D81" s="29"/>
      <c r="E81" s="30"/>
      <c r="F81" s="28"/>
      <c r="G81" s="31" t="str">
        <f t="shared" si="0"/>
        <v/>
      </c>
      <c r="H81" s="28"/>
      <c r="I81" s="28"/>
      <c r="J81" s="28"/>
      <c r="K81" s="31" t="str">
        <f t="shared" si="1"/>
        <v/>
      </c>
      <c r="L81" s="28"/>
      <c r="M81" s="33" t="str">
        <f>Sheet2!E35</f>
        <v/>
      </c>
      <c r="N81" s="28" t="s">
        <v>82</v>
      </c>
      <c r="O81" s="28"/>
      <c r="P81" s="28"/>
      <c r="Q81" s="28"/>
      <c r="R81" s="28"/>
      <c r="S81" s="36"/>
      <c r="T81" s="37">
        <f t="shared" si="2"/>
        <v>0</v>
      </c>
      <c r="U81" s="31" t="str">
        <f>Sheet2!K35</f>
        <v/>
      </c>
      <c r="V81" s="22" t="s">
        <v>82</v>
      </c>
      <c r="W81" s="22"/>
      <c r="X81" s="38" t="str">
        <f t="shared" si="3"/>
        <v/>
      </c>
      <c r="Y81" s="28"/>
      <c r="Z81" s="31" t="str">
        <f>Sheet2!N35</f>
        <v/>
      </c>
      <c r="AA81" s="28"/>
      <c r="AB81" s="28"/>
      <c r="AC81" s="31" t="str">
        <f t="shared" si="4"/>
        <v/>
      </c>
      <c r="AD81" s="40" t="str">
        <f>IFERROR(HLOOKUP(AB81,Sheet3!$K$1:$T$2,2),"")</f>
        <v/>
      </c>
      <c r="AE81" s="31" t="str">
        <f t="shared" si="5"/>
        <v/>
      </c>
      <c r="AF81" s="22"/>
      <c r="AG81" s="31" t="str">
        <f t="shared" si="6"/>
        <v/>
      </c>
      <c r="AH81" s="28"/>
      <c r="AI81" s="31" t="str">
        <f t="shared" si="7"/>
        <v/>
      </c>
      <c r="AJ81" s="22"/>
      <c r="AK81" s="31" t="str">
        <f t="shared" si="8"/>
        <v/>
      </c>
      <c r="AL81" s="28"/>
      <c r="AM81" s="31" t="str">
        <f t="shared" si="9"/>
        <v/>
      </c>
      <c r="AN81" s="22"/>
      <c r="AO81" s="31" t="str">
        <f t="shared" si="10"/>
        <v/>
      </c>
      <c r="AP81" s="28"/>
      <c r="AQ81" s="28"/>
      <c r="AR81" s="28"/>
      <c r="AS81" s="37">
        <f t="shared" si="11"/>
        <v>0</v>
      </c>
      <c r="AT81" s="31">
        <v>0</v>
      </c>
    </row>
    <row r="82" spans="1:46">
      <c r="A82" s="28" t="s">
        <v>115</v>
      </c>
      <c r="B82" s="28"/>
      <c r="C82" s="28"/>
      <c r="D82" s="29"/>
      <c r="E82" s="30"/>
      <c r="F82" s="28"/>
      <c r="G82" s="31" t="str">
        <f t="shared" si="0"/>
        <v/>
      </c>
      <c r="H82" s="28"/>
      <c r="I82" s="28"/>
      <c r="J82" s="28"/>
      <c r="K82" s="31" t="str">
        <f t="shared" si="1"/>
        <v/>
      </c>
      <c r="L82" s="28"/>
      <c r="M82" s="33" t="str">
        <f>Sheet2!E36</f>
        <v/>
      </c>
      <c r="N82" s="28" t="s">
        <v>82</v>
      </c>
      <c r="O82" s="28"/>
      <c r="P82" s="28"/>
      <c r="Q82" s="28"/>
      <c r="R82" s="28"/>
      <c r="S82" s="36"/>
      <c r="T82" s="37">
        <f t="shared" si="2"/>
        <v>0</v>
      </c>
      <c r="U82" s="31" t="str">
        <f>Sheet2!K36</f>
        <v/>
      </c>
      <c r="V82" s="22" t="s">
        <v>82</v>
      </c>
      <c r="W82" s="22"/>
      <c r="X82" s="38" t="str">
        <f t="shared" si="3"/>
        <v/>
      </c>
      <c r="Y82" s="28"/>
      <c r="Z82" s="31" t="str">
        <f>Sheet2!N36</f>
        <v/>
      </c>
      <c r="AA82" s="28"/>
      <c r="AB82" s="28"/>
      <c r="AC82" s="31" t="str">
        <f t="shared" si="4"/>
        <v/>
      </c>
      <c r="AD82" s="40" t="str">
        <f>IFERROR(HLOOKUP(AB82,Sheet3!$K$1:$T$2,2),"")</f>
        <v/>
      </c>
      <c r="AE82" s="31" t="str">
        <f t="shared" si="5"/>
        <v/>
      </c>
      <c r="AF82" s="22"/>
      <c r="AG82" s="31" t="str">
        <f t="shared" si="6"/>
        <v/>
      </c>
      <c r="AH82" s="28"/>
      <c r="AI82" s="31" t="str">
        <f t="shared" si="7"/>
        <v/>
      </c>
      <c r="AJ82" s="22"/>
      <c r="AK82" s="31" t="str">
        <f t="shared" si="8"/>
        <v/>
      </c>
      <c r="AL82" s="28"/>
      <c r="AM82" s="31" t="str">
        <f t="shared" si="9"/>
        <v/>
      </c>
      <c r="AN82" s="22"/>
      <c r="AO82" s="31" t="str">
        <f t="shared" si="10"/>
        <v/>
      </c>
      <c r="AP82" s="28"/>
      <c r="AQ82" s="28"/>
      <c r="AR82" s="28"/>
      <c r="AS82" s="37">
        <f t="shared" si="11"/>
        <v>0</v>
      </c>
      <c r="AT82" s="31">
        <v>0</v>
      </c>
    </row>
    <row r="83" spans="1:46">
      <c r="A83" s="28" t="s">
        <v>116</v>
      </c>
      <c r="B83" s="28"/>
      <c r="C83" s="28"/>
      <c r="D83" s="29"/>
      <c r="E83" s="30"/>
      <c r="F83" s="28"/>
      <c r="G83" s="31" t="str">
        <f t="shared" si="0"/>
        <v/>
      </c>
      <c r="H83" s="28"/>
      <c r="I83" s="28"/>
      <c r="J83" s="28"/>
      <c r="K83" s="31" t="str">
        <f t="shared" si="1"/>
        <v/>
      </c>
      <c r="L83" s="28"/>
      <c r="M83" s="33" t="str">
        <f>Sheet2!E37</f>
        <v/>
      </c>
      <c r="N83" s="28" t="s">
        <v>82</v>
      </c>
      <c r="O83" s="28"/>
      <c r="P83" s="28"/>
      <c r="Q83" s="28"/>
      <c r="R83" s="28"/>
      <c r="S83" s="36"/>
      <c r="T83" s="37">
        <f t="shared" si="2"/>
        <v>0</v>
      </c>
      <c r="U83" s="31" t="str">
        <f>Sheet2!K37</f>
        <v/>
      </c>
      <c r="V83" s="22" t="s">
        <v>82</v>
      </c>
      <c r="W83" s="22"/>
      <c r="X83" s="38" t="str">
        <f t="shared" si="3"/>
        <v/>
      </c>
      <c r="Y83" s="28"/>
      <c r="Z83" s="31" t="str">
        <f>Sheet2!N37</f>
        <v/>
      </c>
      <c r="AA83" s="28"/>
      <c r="AB83" s="28"/>
      <c r="AC83" s="31" t="str">
        <f t="shared" si="4"/>
        <v/>
      </c>
      <c r="AD83" s="40" t="str">
        <f>IFERROR(HLOOKUP(AB83,Sheet3!$K$1:$T$2,2),"")</f>
        <v/>
      </c>
      <c r="AE83" s="31" t="str">
        <f t="shared" si="5"/>
        <v/>
      </c>
      <c r="AF83" s="22"/>
      <c r="AG83" s="31" t="str">
        <f t="shared" si="6"/>
        <v/>
      </c>
      <c r="AH83" s="28"/>
      <c r="AI83" s="31" t="str">
        <f t="shared" si="7"/>
        <v/>
      </c>
      <c r="AJ83" s="22"/>
      <c r="AK83" s="31" t="str">
        <f t="shared" si="8"/>
        <v/>
      </c>
      <c r="AL83" s="28"/>
      <c r="AM83" s="31" t="str">
        <f t="shared" si="9"/>
        <v/>
      </c>
      <c r="AN83" s="22"/>
      <c r="AO83" s="31" t="str">
        <f t="shared" si="10"/>
        <v/>
      </c>
      <c r="AP83" s="28"/>
      <c r="AQ83" s="28"/>
      <c r="AR83" s="28"/>
      <c r="AS83" s="37">
        <f t="shared" si="11"/>
        <v>0</v>
      </c>
      <c r="AT83" s="31">
        <v>0</v>
      </c>
    </row>
    <row r="84" spans="1:46">
      <c r="A84" s="28" t="s">
        <v>117</v>
      </c>
      <c r="B84" s="28"/>
      <c r="C84" s="28"/>
      <c r="D84" s="29"/>
      <c r="E84" s="30"/>
      <c r="F84" s="28"/>
      <c r="G84" s="31" t="str">
        <f t="shared" si="0"/>
        <v/>
      </c>
      <c r="H84" s="28"/>
      <c r="I84" s="28"/>
      <c r="J84" s="28"/>
      <c r="K84" s="31" t="str">
        <f t="shared" si="1"/>
        <v/>
      </c>
      <c r="L84" s="28"/>
      <c r="M84" s="33" t="str">
        <f>Sheet2!E38</f>
        <v/>
      </c>
      <c r="N84" s="28" t="s">
        <v>82</v>
      </c>
      <c r="O84" s="28"/>
      <c r="P84" s="28"/>
      <c r="Q84" s="28"/>
      <c r="R84" s="28"/>
      <c r="S84" s="36"/>
      <c r="T84" s="37">
        <f t="shared" si="2"/>
        <v>0</v>
      </c>
      <c r="U84" s="31" t="str">
        <f>Sheet2!K38</f>
        <v/>
      </c>
      <c r="V84" s="22" t="s">
        <v>82</v>
      </c>
      <c r="W84" s="22"/>
      <c r="X84" s="38" t="str">
        <f t="shared" si="3"/>
        <v/>
      </c>
      <c r="Y84" s="28"/>
      <c r="Z84" s="31" t="str">
        <f>Sheet2!N38</f>
        <v/>
      </c>
      <c r="AA84" s="28"/>
      <c r="AB84" s="28"/>
      <c r="AC84" s="31" t="str">
        <f t="shared" si="4"/>
        <v/>
      </c>
      <c r="AD84" s="40" t="str">
        <f>IFERROR(HLOOKUP(AB84,Sheet3!$K$1:$T$2,2),"")</f>
        <v/>
      </c>
      <c r="AE84" s="31" t="str">
        <f t="shared" si="5"/>
        <v/>
      </c>
      <c r="AF84" s="22"/>
      <c r="AG84" s="31" t="str">
        <f t="shared" si="6"/>
        <v/>
      </c>
      <c r="AH84" s="28"/>
      <c r="AI84" s="31" t="str">
        <f t="shared" si="7"/>
        <v/>
      </c>
      <c r="AJ84" s="22"/>
      <c r="AK84" s="31" t="str">
        <f t="shared" si="8"/>
        <v/>
      </c>
      <c r="AL84" s="28"/>
      <c r="AM84" s="31" t="str">
        <f t="shared" si="9"/>
        <v/>
      </c>
      <c r="AN84" s="22"/>
      <c r="AO84" s="31" t="str">
        <f t="shared" si="10"/>
        <v/>
      </c>
      <c r="AP84" s="28"/>
      <c r="AQ84" s="28"/>
      <c r="AR84" s="28"/>
      <c r="AS84" s="37">
        <f t="shared" si="11"/>
        <v>0</v>
      </c>
      <c r="AT84" s="31">
        <v>0</v>
      </c>
    </row>
    <row r="85" spans="1:46">
      <c r="A85" s="28" t="s">
        <v>118</v>
      </c>
      <c r="B85" s="28"/>
      <c r="C85" s="28"/>
      <c r="D85" s="29"/>
      <c r="E85" s="30"/>
      <c r="F85" s="28"/>
      <c r="G85" s="31" t="str">
        <f t="shared" si="0"/>
        <v/>
      </c>
      <c r="H85" s="28"/>
      <c r="I85" s="28"/>
      <c r="J85" s="28"/>
      <c r="K85" s="31" t="str">
        <f t="shared" si="1"/>
        <v/>
      </c>
      <c r="L85" s="28"/>
      <c r="M85" s="33" t="str">
        <f>Sheet2!E39</f>
        <v/>
      </c>
      <c r="N85" s="28" t="s">
        <v>82</v>
      </c>
      <c r="O85" s="28"/>
      <c r="P85" s="28"/>
      <c r="Q85" s="28"/>
      <c r="R85" s="28"/>
      <c r="S85" s="36"/>
      <c r="T85" s="37">
        <f t="shared" si="2"/>
        <v>0</v>
      </c>
      <c r="U85" s="31" t="str">
        <f>Sheet2!K39</f>
        <v/>
      </c>
      <c r="V85" s="22" t="s">
        <v>82</v>
      </c>
      <c r="W85" s="22"/>
      <c r="X85" s="38" t="str">
        <f t="shared" si="3"/>
        <v/>
      </c>
      <c r="Y85" s="28"/>
      <c r="Z85" s="31" t="str">
        <f>Sheet2!N39</f>
        <v/>
      </c>
      <c r="AA85" s="28"/>
      <c r="AB85" s="28"/>
      <c r="AC85" s="31" t="str">
        <f t="shared" si="4"/>
        <v/>
      </c>
      <c r="AD85" s="40" t="str">
        <f>IFERROR(HLOOKUP(AB85,Sheet3!$K$1:$T$2,2),"")</f>
        <v/>
      </c>
      <c r="AE85" s="31" t="str">
        <f t="shared" si="5"/>
        <v/>
      </c>
      <c r="AF85" s="22"/>
      <c r="AG85" s="31" t="str">
        <f t="shared" si="6"/>
        <v/>
      </c>
      <c r="AH85" s="28"/>
      <c r="AI85" s="31" t="str">
        <f t="shared" si="7"/>
        <v/>
      </c>
      <c r="AJ85" s="22"/>
      <c r="AK85" s="31" t="str">
        <f t="shared" si="8"/>
        <v/>
      </c>
      <c r="AL85" s="28"/>
      <c r="AM85" s="31" t="str">
        <f t="shared" si="9"/>
        <v/>
      </c>
      <c r="AN85" s="22"/>
      <c r="AO85" s="31" t="str">
        <f t="shared" si="10"/>
        <v/>
      </c>
      <c r="AP85" s="28"/>
      <c r="AQ85" s="28"/>
      <c r="AR85" s="28"/>
      <c r="AS85" s="37">
        <f t="shared" si="11"/>
        <v>0</v>
      </c>
      <c r="AT85" s="31">
        <v>0</v>
      </c>
    </row>
    <row r="86" spans="1:46">
      <c r="A86" s="28" t="s">
        <v>119</v>
      </c>
      <c r="B86" s="28"/>
      <c r="C86" s="28"/>
      <c r="D86" s="29"/>
      <c r="E86" s="30"/>
      <c r="F86" s="28"/>
      <c r="G86" s="31" t="str">
        <f t="shared" si="0"/>
        <v/>
      </c>
      <c r="H86" s="28"/>
      <c r="I86" s="28"/>
      <c r="J86" s="28"/>
      <c r="K86" s="31" t="str">
        <f t="shared" si="1"/>
        <v/>
      </c>
      <c r="L86" s="28"/>
      <c r="M86" s="33" t="str">
        <f>Sheet2!E40</f>
        <v/>
      </c>
      <c r="N86" s="28" t="s">
        <v>82</v>
      </c>
      <c r="O86" s="28"/>
      <c r="P86" s="28"/>
      <c r="Q86" s="28"/>
      <c r="R86" s="28"/>
      <c r="S86" s="36"/>
      <c r="T86" s="37">
        <f t="shared" si="2"/>
        <v>0</v>
      </c>
      <c r="U86" s="31" t="str">
        <f>Sheet2!K40</f>
        <v/>
      </c>
      <c r="V86" s="22" t="s">
        <v>82</v>
      </c>
      <c r="W86" s="22"/>
      <c r="X86" s="38" t="str">
        <f t="shared" si="3"/>
        <v/>
      </c>
      <c r="Y86" s="28"/>
      <c r="Z86" s="31" t="str">
        <f>Sheet2!N40</f>
        <v/>
      </c>
      <c r="AA86" s="28"/>
      <c r="AB86" s="28"/>
      <c r="AC86" s="31" t="str">
        <f t="shared" si="4"/>
        <v/>
      </c>
      <c r="AD86" s="40" t="str">
        <f>IFERROR(HLOOKUP(AB86,Sheet3!$K$1:$T$2,2),"")</f>
        <v/>
      </c>
      <c r="AE86" s="31" t="str">
        <f t="shared" si="5"/>
        <v/>
      </c>
      <c r="AF86" s="22"/>
      <c r="AG86" s="31" t="str">
        <f t="shared" si="6"/>
        <v/>
      </c>
      <c r="AH86" s="28"/>
      <c r="AI86" s="31" t="str">
        <f t="shared" si="7"/>
        <v/>
      </c>
      <c r="AJ86" s="22"/>
      <c r="AK86" s="31" t="str">
        <f t="shared" si="8"/>
        <v/>
      </c>
      <c r="AL86" s="28"/>
      <c r="AM86" s="31" t="str">
        <f t="shared" si="9"/>
        <v/>
      </c>
      <c r="AN86" s="22"/>
      <c r="AO86" s="31" t="str">
        <f t="shared" si="10"/>
        <v/>
      </c>
      <c r="AP86" s="28"/>
      <c r="AQ86" s="28"/>
      <c r="AR86" s="28"/>
      <c r="AS86" s="37">
        <f t="shared" si="11"/>
        <v>0</v>
      </c>
      <c r="AT86" s="31">
        <v>0</v>
      </c>
    </row>
    <row r="87" spans="1:46">
      <c r="A87" s="28" t="s">
        <v>120</v>
      </c>
      <c r="B87" s="28"/>
      <c r="C87" s="28"/>
      <c r="D87" s="29"/>
      <c r="E87" s="30"/>
      <c r="F87" s="28"/>
      <c r="G87" s="31" t="str">
        <f>IFERROR(VLOOKUP(H87,$A$1:$B$40,2,FALSE),"")</f>
        <v/>
      </c>
      <c r="H87" s="28"/>
      <c r="I87" s="28"/>
      <c r="J87" s="28"/>
      <c r="K87" s="31" t="str">
        <f t="shared" si="1"/>
        <v/>
      </c>
      <c r="L87" s="28"/>
      <c r="M87" s="33" t="str">
        <f>Sheet2!E41</f>
        <v/>
      </c>
      <c r="N87" s="28" t="s">
        <v>82</v>
      </c>
      <c r="O87" s="28"/>
      <c r="P87" s="28"/>
      <c r="Q87" s="28"/>
      <c r="R87" s="28"/>
      <c r="S87" s="36"/>
      <c r="T87" s="37">
        <f t="shared" si="2"/>
        <v>0</v>
      </c>
      <c r="U87" s="31" t="str">
        <f>Sheet2!K41</f>
        <v/>
      </c>
      <c r="V87" s="22" t="s">
        <v>82</v>
      </c>
      <c r="W87" s="22"/>
      <c r="X87" s="38" t="str">
        <f t="shared" si="3"/>
        <v/>
      </c>
      <c r="Y87" s="28"/>
      <c r="Z87" s="31" t="str">
        <f>Sheet2!N41</f>
        <v/>
      </c>
      <c r="AA87" s="28"/>
      <c r="AB87" s="28"/>
      <c r="AC87" s="31" t="str">
        <f t="shared" si="4"/>
        <v/>
      </c>
      <c r="AD87" s="40" t="str">
        <f>IFERROR(HLOOKUP(AB87,Sheet3!$K$1:$T$2,2),"")</f>
        <v/>
      </c>
      <c r="AE87" s="31" t="str">
        <f t="shared" si="5"/>
        <v/>
      </c>
      <c r="AF87" s="22"/>
      <c r="AG87" s="31" t="str">
        <f t="shared" si="6"/>
        <v/>
      </c>
      <c r="AH87" s="28"/>
      <c r="AI87" s="31" t="str">
        <f t="shared" si="7"/>
        <v/>
      </c>
      <c r="AJ87" s="22"/>
      <c r="AK87" s="31" t="str">
        <f t="shared" si="8"/>
        <v/>
      </c>
      <c r="AL87" s="28"/>
      <c r="AM87" s="31" t="str">
        <f t="shared" si="9"/>
        <v/>
      </c>
      <c r="AN87" s="22"/>
      <c r="AO87" s="31" t="str">
        <f t="shared" si="10"/>
        <v/>
      </c>
      <c r="AP87" s="28"/>
      <c r="AQ87" s="28"/>
      <c r="AR87" s="28"/>
      <c r="AS87" s="37">
        <f t="shared" si="11"/>
        <v>0</v>
      </c>
      <c r="AT87" s="31">
        <v>0</v>
      </c>
    </row>
    <row r="88" spans="1:46">
      <c r="A88" s="28" t="s">
        <v>121</v>
      </c>
      <c r="B88" s="28"/>
      <c r="C88" s="28"/>
      <c r="D88" s="29"/>
      <c r="E88" s="30"/>
      <c r="F88" s="28"/>
      <c r="G88" s="31" t="str">
        <f t="shared" si="0"/>
        <v/>
      </c>
      <c r="H88" s="28"/>
      <c r="I88" s="28"/>
      <c r="J88" s="28"/>
      <c r="K88" s="31" t="str">
        <f t="shared" si="1"/>
        <v/>
      </c>
      <c r="L88" s="28"/>
      <c r="M88" s="33" t="str">
        <f>Sheet2!E42</f>
        <v/>
      </c>
      <c r="N88" s="28" t="s">
        <v>82</v>
      </c>
      <c r="O88" s="28"/>
      <c r="P88" s="28"/>
      <c r="Q88" s="28"/>
      <c r="R88" s="28"/>
      <c r="S88" s="36"/>
      <c r="T88" s="37">
        <f t="shared" si="2"/>
        <v>0</v>
      </c>
      <c r="U88" s="31" t="str">
        <f>Sheet2!K42</f>
        <v/>
      </c>
      <c r="V88" s="22" t="s">
        <v>82</v>
      </c>
      <c r="W88" s="22"/>
      <c r="X88" s="38" t="str">
        <f t="shared" si="3"/>
        <v/>
      </c>
      <c r="Y88" s="28"/>
      <c r="Z88" s="31" t="str">
        <f>Sheet2!N42</f>
        <v/>
      </c>
      <c r="AA88" s="28"/>
      <c r="AB88" s="28"/>
      <c r="AC88" s="31" t="str">
        <f t="shared" si="4"/>
        <v/>
      </c>
      <c r="AD88" s="40" t="str">
        <f>IFERROR(HLOOKUP(AB88,Sheet3!$K$1:$T$2,2),"")</f>
        <v/>
      </c>
      <c r="AE88" s="31" t="str">
        <f t="shared" si="5"/>
        <v/>
      </c>
      <c r="AF88" s="22"/>
      <c r="AG88" s="31" t="str">
        <f t="shared" si="6"/>
        <v/>
      </c>
      <c r="AH88" s="28"/>
      <c r="AI88" s="31" t="str">
        <f t="shared" si="7"/>
        <v/>
      </c>
      <c r="AJ88" s="22"/>
      <c r="AK88" s="31" t="str">
        <f t="shared" si="8"/>
        <v/>
      </c>
      <c r="AL88" s="28"/>
      <c r="AM88" s="31" t="str">
        <f t="shared" si="9"/>
        <v/>
      </c>
      <c r="AN88" s="22"/>
      <c r="AO88" s="31" t="str">
        <f t="shared" si="10"/>
        <v/>
      </c>
      <c r="AP88" s="28"/>
      <c r="AQ88" s="28"/>
      <c r="AR88" s="28"/>
      <c r="AS88" s="37">
        <f t="shared" si="11"/>
        <v>0</v>
      </c>
      <c r="AT88" s="31">
        <v>0</v>
      </c>
    </row>
    <row r="89" spans="1:46">
      <c r="A89" s="28" t="s">
        <v>122</v>
      </c>
      <c r="B89" s="28"/>
      <c r="C89" s="28"/>
      <c r="D89" s="29"/>
      <c r="E89" s="30"/>
      <c r="F89" s="28"/>
      <c r="G89" s="31" t="str">
        <f t="shared" si="0"/>
        <v/>
      </c>
      <c r="H89" s="28"/>
      <c r="I89" s="28"/>
      <c r="J89" s="28"/>
      <c r="K89" s="31" t="str">
        <f t="shared" si="1"/>
        <v/>
      </c>
      <c r="L89" s="28"/>
      <c r="M89" s="33" t="str">
        <f>Sheet2!E43</f>
        <v/>
      </c>
      <c r="N89" s="28" t="s">
        <v>82</v>
      </c>
      <c r="O89" s="28"/>
      <c r="P89" s="28"/>
      <c r="Q89" s="28"/>
      <c r="R89" s="28"/>
      <c r="S89" s="36"/>
      <c r="T89" s="37">
        <f t="shared" si="2"/>
        <v>0</v>
      </c>
      <c r="U89" s="31" t="str">
        <f>Sheet2!K43</f>
        <v/>
      </c>
      <c r="V89" s="22" t="s">
        <v>82</v>
      </c>
      <c r="W89" s="22"/>
      <c r="X89" s="38" t="str">
        <f t="shared" si="3"/>
        <v/>
      </c>
      <c r="Y89" s="28"/>
      <c r="Z89" s="31" t="str">
        <f>Sheet2!N43</f>
        <v/>
      </c>
      <c r="AA89" s="28"/>
      <c r="AB89" s="28"/>
      <c r="AC89" s="31" t="str">
        <f t="shared" si="4"/>
        <v/>
      </c>
      <c r="AD89" s="40" t="str">
        <f>IFERROR(HLOOKUP(AB89,Sheet3!$K$1:$T$2,2),"")</f>
        <v/>
      </c>
      <c r="AE89" s="31" t="str">
        <f t="shared" si="5"/>
        <v/>
      </c>
      <c r="AF89" s="22"/>
      <c r="AG89" s="31" t="str">
        <f t="shared" si="6"/>
        <v/>
      </c>
      <c r="AH89" s="28"/>
      <c r="AI89" s="31" t="str">
        <f t="shared" si="7"/>
        <v/>
      </c>
      <c r="AJ89" s="22"/>
      <c r="AK89" s="31" t="str">
        <f t="shared" si="8"/>
        <v/>
      </c>
      <c r="AL89" s="28"/>
      <c r="AM89" s="31" t="str">
        <f t="shared" si="9"/>
        <v/>
      </c>
      <c r="AN89" s="22"/>
      <c r="AO89" s="31" t="str">
        <f t="shared" si="10"/>
        <v/>
      </c>
      <c r="AP89" s="28"/>
      <c r="AQ89" s="28"/>
      <c r="AR89" s="28"/>
      <c r="AS89" s="37">
        <f t="shared" si="11"/>
        <v>0</v>
      </c>
      <c r="AT89" s="31">
        <v>0</v>
      </c>
    </row>
    <row r="90" spans="1:46">
      <c r="A90" s="28" t="s">
        <v>123</v>
      </c>
      <c r="B90" s="28"/>
      <c r="C90" s="28"/>
      <c r="D90" s="29"/>
      <c r="E90" s="30"/>
      <c r="F90" s="28"/>
      <c r="G90" s="31" t="str">
        <f t="shared" si="0"/>
        <v/>
      </c>
      <c r="H90" s="28"/>
      <c r="I90" s="28"/>
      <c r="J90" s="28"/>
      <c r="K90" s="31" t="str">
        <f t="shared" si="1"/>
        <v/>
      </c>
      <c r="L90" s="28"/>
      <c r="M90" s="33" t="str">
        <f>Sheet2!E44</f>
        <v/>
      </c>
      <c r="N90" s="28" t="s">
        <v>82</v>
      </c>
      <c r="O90" s="28"/>
      <c r="P90" s="28"/>
      <c r="Q90" s="28"/>
      <c r="R90" s="28"/>
      <c r="S90" s="36"/>
      <c r="T90" s="37">
        <f t="shared" si="2"/>
        <v>0</v>
      </c>
      <c r="U90" s="31" t="str">
        <f>Sheet2!K44</f>
        <v/>
      </c>
      <c r="V90" s="22" t="s">
        <v>82</v>
      </c>
      <c r="W90" s="22"/>
      <c r="X90" s="38" t="str">
        <f t="shared" si="3"/>
        <v/>
      </c>
      <c r="Y90" s="28"/>
      <c r="Z90" s="31" t="str">
        <f>Sheet2!N44</f>
        <v/>
      </c>
      <c r="AA90" s="28"/>
      <c r="AB90" s="28"/>
      <c r="AC90" s="31" t="str">
        <f t="shared" si="4"/>
        <v/>
      </c>
      <c r="AD90" s="40" t="str">
        <f>IFERROR(HLOOKUP(AB90,Sheet3!$K$1:$T$2,2),"")</f>
        <v/>
      </c>
      <c r="AE90" s="31" t="str">
        <f t="shared" si="5"/>
        <v/>
      </c>
      <c r="AF90" s="22"/>
      <c r="AG90" s="31" t="str">
        <f t="shared" si="6"/>
        <v/>
      </c>
      <c r="AH90" s="28"/>
      <c r="AI90" s="31" t="str">
        <f t="shared" si="7"/>
        <v/>
      </c>
      <c r="AJ90" s="22"/>
      <c r="AK90" s="31" t="str">
        <f t="shared" si="8"/>
        <v/>
      </c>
      <c r="AL90" s="28"/>
      <c r="AM90" s="31" t="str">
        <f t="shared" si="9"/>
        <v/>
      </c>
      <c r="AN90" s="22"/>
      <c r="AO90" s="31" t="str">
        <f t="shared" si="10"/>
        <v/>
      </c>
      <c r="AP90" s="28"/>
      <c r="AQ90" s="28"/>
      <c r="AR90" s="28"/>
      <c r="AS90" s="37">
        <f t="shared" si="11"/>
        <v>0</v>
      </c>
      <c r="AT90" s="31">
        <v>0</v>
      </c>
    </row>
    <row r="91" spans="1:46">
      <c r="A91" s="28" t="s">
        <v>124</v>
      </c>
      <c r="B91" s="28"/>
      <c r="C91" s="28"/>
      <c r="D91" s="29"/>
      <c r="E91" s="30"/>
      <c r="F91" s="28"/>
      <c r="G91" s="31" t="str">
        <f t="shared" si="0"/>
        <v/>
      </c>
      <c r="H91" s="28"/>
      <c r="I91" s="28"/>
      <c r="J91" s="28"/>
      <c r="K91" s="31" t="str">
        <f t="shared" si="1"/>
        <v/>
      </c>
      <c r="L91" s="28"/>
      <c r="M91" s="33" t="str">
        <f>Sheet2!E45</f>
        <v/>
      </c>
      <c r="N91" s="28" t="s">
        <v>82</v>
      </c>
      <c r="O91" s="28"/>
      <c r="P91" s="28"/>
      <c r="Q91" s="28"/>
      <c r="R91" s="28"/>
      <c r="S91" s="36"/>
      <c r="T91" s="37">
        <f t="shared" si="2"/>
        <v>0</v>
      </c>
      <c r="U91" s="31" t="str">
        <f>Sheet2!K45</f>
        <v/>
      </c>
      <c r="V91" s="22" t="s">
        <v>82</v>
      </c>
      <c r="W91" s="22"/>
      <c r="X91" s="38" t="str">
        <f t="shared" si="3"/>
        <v/>
      </c>
      <c r="Y91" s="28"/>
      <c r="Z91" s="31" t="str">
        <f>Sheet2!N45</f>
        <v/>
      </c>
      <c r="AA91" s="28"/>
      <c r="AB91" s="28"/>
      <c r="AC91" s="31" t="str">
        <f t="shared" si="4"/>
        <v/>
      </c>
      <c r="AD91" s="40" t="str">
        <f>IFERROR(HLOOKUP(AB91,Sheet3!$K$1:$T$2,2),"")</f>
        <v/>
      </c>
      <c r="AE91" s="31" t="str">
        <f t="shared" si="5"/>
        <v/>
      </c>
      <c r="AF91" s="22"/>
      <c r="AG91" s="31" t="str">
        <f t="shared" si="6"/>
        <v/>
      </c>
      <c r="AH91" s="28"/>
      <c r="AI91" s="31" t="str">
        <f t="shared" si="7"/>
        <v/>
      </c>
      <c r="AJ91" s="22"/>
      <c r="AK91" s="31" t="str">
        <f t="shared" si="8"/>
        <v/>
      </c>
      <c r="AL91" s="28"/>
      <c r="AM91" s="31" t="str">
        <f t="shared" si="9"/>
        <v/>
      </c>
      <c r="AN91" s="22"/>
      <c r="AO91" s="31" t="str">
        <f t="shared" si="10"/>
        <v/>
      </c>
      <c r="AP91" s="28"/>
      <c r="AQ91" s="28"/>
      <c r="AR91" s="28"/>
      <c r="AS91" s="37">
        <f t="shared" si="11"/>
        <v>0</v>
      </c>
      <c r="AT91" s="31">
        <v>0</v>
      </c>
    </row>
    <row r="92" spans="1:46">
      <c r="A92" s="28" t="s">
        <v>125</v>
      </c>
      <c r="B92" s="28"/>
      <c r="C92" s="28"/>
      <c r="D92" s="29"/>
      <c r="E92" s="30"/>
      <c r="F92" s="28"/>
      <c r="G92" s="31" t="str">
        <f t="shared" si="0"/>
        <v/>
      </c>
      <c r="H92" s="28"/>
      <c r="I92" s="28"/>
      <c r="J92" s="28"/>
      <c r="K92" s="31" t="str">
        <f t="shared" si="1"/>
        <v/>
      </c>
      <c r="L92" s="28"/>
      <c r="M92" s="33" t="str">
        <f>Sheet2!E46</f>
        <v/>
      </c>
      <c r="N92" s="28" t="s">
        <v>82</v>
      </c>
      <c r="O92" s="28"/>
      <c r="P92" s="28"/>
      <c r="Q92" s="28"/>
      <c r="R92" s="28"/>
      <c r="S92" s="36"/>
      <c r="T92" s="37">
        <f t="shared" si="2"/>
        <v>0</v>
      </c>
      <c r="U92" s="31" t="str">
        <f>Sheet2!K46</f>
        <v/>
      </c>
      <c r="V92" s="22" t="s">
        <v>82</v>
      </c>
      <c r="W92" s="22"/>
      <c r="X92" s="38" t="str">
        <f t="shared" si="3"/>
        <v/>
      </c>
      <c r="Y92" s="28"/>
      <c r="Z92" s="31" t="str">
        <f>Sheet2!N46</f>
        <v/>
      </c>
      <c r="AA92" s="28"/>
      <c r="AB92" s="28"/>
      <c r="AC92" s="31" t="str">
        <f t="shared" si="4"/>
        <v/>
      </c>
      <c r="AD92" s="40" t="str">
        <f>IFERROR(HLOOKUP(AB92,Sheet3!$K$1:$T$2,2),"")</f>
        <v/>
      </c>
      <c r="AE92" s="31" t="str">
        <f t="shared" si="5"/>
        <v/>
      </c>
      <c r="AF92" s="22"/>
      <c r="AG92" s="31" t="str">
        <f t="shared" si="6"/>
        <v/>
      </c>
      <c r="AH92" s="28"/>
      <c r="AI92" s="31" t="str">
        <f t="shared" si="7"/>
        <v/>
      </c>
      <c r="AJ92" s="22"/>
      <c r="AK92" s="31" t="str">
        <f t="shared" si="8"/>
        <v/>
      </c>
      <c r="AL92" s="28"/>
      <c r="AM92" s="31" t="str">
        <f t="shared" si="9"/>
        <v/>
      </c>
      <c r="AN92" s="22"/>
      <c r="AO92" s="31" t="str">
        <f t="shared" si="10"/>
        <v/>
      </c>
      <c r="AP92" s="28"/>
      <c r="AQ92" s="28"/>
      <c r="AR92" s="28"/>
      <c r="AS92" s="37">
        <f t="shared" si="11"/>
        <v>0</v>
      </c>
      <c r="AT92" s="31">
        <v>0</v>
      </c>
    </row>
    <row r="93" spans="1:46">
      <c r="A93" s="28" t="s">
        <v>126</v>
      </c>
      <c r="B93" s="28"/>
      <c r="C93" s="28"/>
      <c r="D93" s="29"/>
      <c r="E93" s="30"/>
      <c r="F93" s="28"/>
      <c r="G93" s="31" t="str">
        <f t="shared" si="0"/>
        <v/>
      </c>
      <c r="H93" s="28"/>
      <c r="I93" s="28"/>
      <c r="J93" s="28"/>
      <c r="K93" s="31" t="str">
        <f t="shared" si="1"/>
        <v/>
      </c>
      <c r="L93" s="28"/>
      <c r="M93" s="33" t="str">
        <f>Sheet2!E47</f>
        <v/>
      </c>
      <c r="N93" s="28" t="s">
        <v>82</v>
      </c>
      <c r="O93" s="28"/>
      <c r="P93" s="28"/>
      <c r="Q93" s="28"/>
      <c r="R93" s="28"/>
      <c r="S93" s="36"/>
      <c r="T93" s="37">
        <f t="shared" si="2"/>
        <v>0</v>
      </c>
      <c r="U93" s="31" t="str">
        <f>Sheet2!K47</f>
        <v/>
      </c>
      <c r="V93" s="22" t="s">
        <v>82</v>
      </c>
      <c r="W93" s="22"/>
      <c r="X93" s="38" t="str">
        <f t="shared" si="3"/>
        <v/>
      </c>
      <c r="Y93" s="28"/>
      <c r="Z93" s="31" t="str">
        <f>Sheet2!N47</f>
        <v/>
      </c>
      <c r="AA93" s="28"/>
      <c r="AB93" s="28"/>
      <c r="AC93" s="31" t="str">
        <f t="shared" si="4"/>
        <v/>
      </c>
      <c r="AD93" s="40" t="str">
        <f>IFERROR(HLOOKUP(AB93,Sheet3!$K$1:$T$2,2),"")</f>
        <v/>
      </c>
      <c r="AE93" s="31" t="str">
        <f t="shared" si="5"/>
        <v/>
      </c>
      <c r="AF93" s="22"/>
      <c r="AG93" s="31" t="str">
        <f t="shared" si="6"/>
        <v/>
      </c>
      <c r="AH93" s="28"/>
      <c r="AI93" s="31" t="str">
        <f t="shared" si="7"/>
        <v/>
      </c>
      <c r="AJ93" s="22"/>
      <c r="AK93" s="31" t="str">
        <f t="shared" si="8"/>
        <v/>
      </c>
      <c r="AL93" s="28"/>
      <c r="AM93" s="31" t="str">
        <f t="shared" si="9"/>
        <v/>
      </c>
      <c r="AN93" s="22"/>
      <c r="AO93" s="31" t="str">
        <f t="shared" si="10"/>
        <v/>
      </c>
      <c r="AP93" s="28"/>
      <c r="AQ93" s="28"/>
      <c r="AR93" s="28"/>
      <c r="AS93" s="37">
        <f t="shared" si="11"/>
        <v>0</v>
      </c>
      <c r="AT93" s="31">
        <v>0</v>
      </c>
    </row>
    <row r="94" spans="1:46">
      <c r="A94" s="28" t="s">
        <v>127</v>
      </c>
      <c r="B94" s="28"/>
      <c r="C94" s="28"/>
      <c r="D94" s="29"/>
      <c r="E94" s="30"/>
      <c r="F94" s="28"/>
      <c r="G94" s="31" t="str">
        <f t="shared" si="0"/>
        <v/>
      </c>
      <c r="H94" s="28"/>
      <c r="I94" s="28"/>
      <c r="J94" s="28"/>
      <c r="K94" s="31" t="str">
        <f t="shared" si="1"/>
        <v/>
      </c>
      <c r="L94" s="28"/>
      <c r="M94" s="33" t="str">
        <f>Sheet2!E48</f>
        <v/>
      </c>
      <c r="N94" s="28" t="s">
        <v>82</v>
      </c>
      <c r="O94" s="28"/>
      <c r="P94" s="28"/>
      <c r="Q94" s="28"/>
      <c r="R94" s="28"/>
      <c r="S94" s="36"/>
      <c r="T94" s="37">
        <f t="shared" si="2"/>
        <v>0</v>
      </c>
      <c r="U94" s="31" t="str">
        <f>Sheet2!K48</f>
        <v/>
      </c>
      <c r="V94" s="22" t="s">
        <v>82</v>
      </c>
      <c r="W94" s="22"/>
      <c r="X94" s="38" t="str">
        <f t="shared" si="3"/>
        <v/>
      </c>
      <c r="Y94" s="28"/>
      <c r="Z94" s="31" t="str">
        <f>Sheet2!N48</f>
        <v/>
      </c>
      <c r="AA94" s="28"/>
      <c r="AB94" s="28"/>
      <c r="AC94" s="31" t="str">
        <f t="shared" si="4"/>
        <v/>
      </c>
      <c r="AD94" s="40" t="str">
        <f>IFERROR(HLOOKUP(AB94,Sheet3!$K$1:$T$2,2),"")</f>
        <v/>
      </c>
      <c r="AE94" s="31" t="str">
        <f t="shared" si="5"/>
        <v/>
      </c>
      <c r="AF94" s="22"/>
      <c r="AG94" s="31" t="str">
        <f t="shared" si="6"/>
        <v/>
      </c>
      <c r="AH94" s="28"/>
      <c r="AI94" s="31" t="str">
        <f t="shared" si="7"/>
        <v/>
      </c>
      <c r="AJ94" s="22"/>
      <c r="AK94" s="31" t="str">
        <f t="shared" si="8"/>
        <v/>
      </c>
      <c r="AL94" s="28"/>
      <c r="AM94" s="31" t="str">
        <f t="shared" si="9"/>
        <v/>
      </c>
      <c r="AN94" s="22"/>
      <c r="AO94" s="31" t="str">
        <f t="shared" si="10"/>
        <v/>
      </c>
      <c r="AP94" s="28"/>
      <c r="AQ94" s="28"/>
      <c r="AR94" s="28"/>
      <c r="AS94" s="37">
        <f t="shared" si="11"/>
        <v>0</v>
      </c>
      <c r="AT94" s="31">
        <v>0</v>
      </c>
    </row>
    <row r="95" spans="1:46">
      <c r="A95" s="28" t="s">
        <v>128</v>
      </c>
      <c r="B95" s="28"/>
      <c r="C95" s="28"/>
      <c r="D95" s="29"/>
      <c r="E95" s="30"/>
      <c r="F95" s="28"/>
      <c r="G95" s="31" t="str">
        <f t="shared" si="0"/>
        <v/>
      </c>
      <c r="H95" s="28"/>
      <c r="I95" s="28"/>
      <c r="J95" s="28"/>
      <c r="K95" s="31" t="str">
        <f t="shared" si="1"/>
        <v/>
      </c>
      <c r="L95" s="28"/>
      <c r="M95" s="33" t="str">
        <f>Sheet2!E49</f>
        <v/>
      </c>
      <c r="N95" s="28" t="s">
        <v>82</v>
      </c>
      <c r="O95" s="28"/>
      <c r="P95" s="28"/>
      <c r="Q95" s="28"/>
      <c r="R95" s="28"/>
      <c r="S95" s="36"/>
      <c r="T95" s="37">
        <f t="shared" si="2"/>
        <v>0</v>
      </c>
      <c r="U95" s="31" t="str">
        <f>Sheet2!K49</f>
        <v/>
      </c>
      <c r="V95" s="22" t="s">
        <v>82</v>
      </c>
      <c r="W95" s="22"/>
      <c r="X95" s="38" t="str">
        <f t="shared" si="3"/>
        <v/>
      </c>
      <c r="Y95" s="28"/>
      <c r="Z95" s="31" t="str">
        <f>Sheet2!N49</f>
        <v/>
      </c>
      <c r="AA95" s="28"/>
      <c r="AB95" s="28"/>
      <c r="AC95" s="31" t="str">
        <f t="shared" si="4"/>
        <v/>
      </c>
      <c r="AD95" s="40" t="str">
        <f>IFERROR(HLOOKUP(AB95,Sheet3!$K$1:$T$2,2),"")</f>
        <v/>
      </c>
      <c r="AE95" s="31" t="str">
        <f t="shared" si="5"/>
        <v/>
      </c>
      <c r="AF95" s="22"/>
      <c r="AG95" s="31" t="str">
        <f t="shared" si="6"/>
        <v/>
      </c>
      <c r="AH95" s="28"/>
      <c r="AI95" s="31" t="str">
        <f t="shared" si="7"/>
        <v/>
      </c>
      <c r="AJ95" s="22"/>
      <c r="AK95" s="31" t="str">
        <f t="shared" si="8"/>
        <v/>
      </c>
      <c r="AL95" s="28"/>
      <c r="AM95" s="31" t="str">
        <f t="shared" si="9"/>
        <v/>
      </c>
      <c r="AN95" s="22"/>
      <c r="AO95" s="31" t="str">
        <f t="shared" si="10"/>
        <v/>
      </c>
      <c r="AP95" s="28"/>
      <c r="AQ95" s="28"/>
      <c r="AR95" s="28"/>
      <c r="AS95" s="37">
        <f t="shared" si="11"/>
        <v>0</v>
      </c>
      <c r="AT95" s="31">
        <v>0</v>
      </c>
    </row>
    <row r="96" spans="1:46">
      <c r="A96" s="28" t="s">
        <v>129</v>
      </c>
      <c r="B96" s="28"/>
      <c r="C96" s="28"/>
      <c r="D96" s="29"/>
      <c r="E96" s="30"/>
      <c r="F96" s="28"/>
      <c r="G96" s="31" t="str">
        <f t="shared" si="0"/>
        <v/>
      </c>
      <c r="H96" s="28"/>
      <c r="I96" s="28"/>
      <c r="J96" s="28"/>
      <c r="K96" s="31" t="str">
        <f t="shared" si="1"/>
        <v/>
      </c>
      <c r="L96" s="28"/>
      <c r="M96" s="33" t="str">
        <f>Sheet2!E50</f>
        <v/>
      </c>
      <c r="N96" s="28" t="s">
        <v>82</v>
      </c>
      <c r="O96" s="28"/>
      <c r="P96" s="28"/>
      <c r="Q96" s="28"/>
      <c r="R96" s="28"/>
      <c r="S96" s="36"/>
      <c r="T96" s="37">
        <f t="shared" si="2"/>
        <v>0</v>
      </c>
      <c r="U96" s="31" t="str">
        <f>Sheet2!K50</f>
        <v/>
      </c>
      <c r="V96" s="22" t="s">
        <v>82</v>
      </c>
      <c r="W96" s="22"/>
      <c r="X96" s="38" t="str">
        <f t="shared" si="3"/>
        <v/>
      </c>
      <c r="Y96" s="28"/>
      <c r="Z96" s="31" t="str">
        <f>Sheet2!N50</f>
        <v/>
      </c>
      <c r="AA96" s="28"/>
      <c r="AB96" s="28"/>
      <c r="AC96" s="31" t="str">
        <f t="shared" si="4"/>
        <v/>
      </c>
      <c r="AD96" s="40" t="str">
        <f>IFERROR(HLOOKUP(AB96,Sheet3!$K$1:$T$2,2),"")</f>
        <v/>
      </c>
      <c r="AE96" s="31" t="str">
        <f t="shared" si="5"/>
        <v/>
      </c>
      <c r="AF96" s="22"/>
      <c r="AG96" s="31" t="str">
        <f t="shared" si="6"/>
        <v/>
      </c>
      <c r="AH96" s="28"/>
      <c r="AI96" s="31" t="str">
        <f t="shared" si="7"/>
        <v/>
      </c>
      <c r="AJ96" s="22"/>
      <c r="AK96" s="31" t="str">
        <f t="shared" si="8"/>
        <v/>
      </c>
      <c r="AL96" s="28"/>
      <c r="AM96" s="31" t="str">
        <f t="shared" si="9"/>
        <v/>
      </c>
      <c r="AN96" s="22"/>
      <c r="AO96" s="31" t="str">
        <f t="shared" si="10"/>
        <v/>
      </c>
      <c r="AP96" s="28"/>
      <c r="AQ96" s="28"/>
      <c r="AR96" s="28"/>
      <c r="AS96" s="37">
        <f t="shared" si="11"/>
        <v>0</v>
      </c>
      <c r="AT96" s="31">
        <v>0</v>
      </c>
    </row>
    <row r="97" spans="1:46">
      <c r="A97" s="28" t="s">
        <v>130</v>
      </c>
      <c r="B97" s="28"/>
      <c r="C97" s="28"/>
      <c r="D97" s="29"/>
      <c r="E97" s="30"/>
      <c r="F97" s="28"/>
      <c r="G97" s="31" t="str">
        <f t="shared" si="0"/>
        <v/>
      </c>
      <c r="H97" s="28"/>
      <c r="I97" s="28"/>
      <c r="J97" s="28"/>
      <c r="K97" s="31" t="str">
        <f t="shared" si="1"/>
        <v/>
      </c>
      <c r="L97" s="28"/>
      <c r="M97" s="33" t="str">
        <f>Sheet2!E51</f>
        <v/>
      </c>
      <c r="N97" s="28" t="s">
        <v>82</v>
      </c>
      <c r="O97" s="28"/>
      <c r="P97" s="28"/>
      <c r="Q97" s="28"/>
      <c r="R97" s="28"/>
      <c r="S97" s="36"/>
      <c r="T97" s="37">
        <f t="shared" si="2"/>
        <v>0</v>
      </c>
      <c r="U97" s="31" t="str">
        <f>Sheet2!K51</f>
        <v/>
      </c>
      <c r="V97" s="22" t="s">
        <v>82</v>
      </c>
      <c r="W97" s="22"/>
      <c r="X97" s="38" t="str">
        <f t="shared" si="3"/>
        <v/>
      </c>
      <c r="Y97" s="28"/>
      <c r="Z97" s="31" t="str">
        <f>Sheet2!N51</f>
        <v/>
      </c>
      <c r="AA97" s="28"/>
      <c r="AB97" s="28"/>
      <c r="AC97" s="31" t="str">
        <f t="shared" si="4"/>
        <v/>
      </c>
      <c r="AD97" s="40" t="str">
        <f>IFERROR(HLOOKUP(AB97,Sheet3!$K$1:$T$2,2),"")</f>
        <v/>
      </c>
      <c r="AE97" s="31" t="str">
        <f t="shared" si="5"/>
        <v/>
      </c>
      <c r="AF97" s="22"/>
      <c r="AG97" s="31" t="str">
        <f t="shared" si="6"/>
        <v/>
      </c>
      <c r="AH97" s="28"/>
      <c r="AI97" s="31" t="str">
        <f t="shared" si="7"/>
        <v/>
      </c>
      <c r="AJ97" s="22"/>
      <c r="AK97" s="31" t="str">
        <f t="shared" si="8"/>
        <v/>
      </c>
      <c r="AL97" s="28"/>
      <c r="AM97" s="31" t="str">
        <f t="shared" si="9"/>
        <v/>
      </c>
      <c r="AN97" s="22"/>
      <c r="AO97" s="31" t="str">
        <f t="shared" si="10"/>
        <v/>
      </c>
      <c r="AP97" s="28"/>
      <c r="AQ97" s="28"/>
      <c r="AR97" s="28"/>
      <c r="AS97" s="37">
        <f t="shared" si="11"/>
        <v>0</v>
      </c>
      <c r="AT97" s="31">
        <v>0</v>
      </c>
    </row>
    <row r="98" spans="1:46">
      <c r="A98" s="28" t="s">
        <v>131</v>
      </c>
      <c r="B98" s="28"/>
      <c r="C98" s="28"/>
      <c r="D98" s="29"/>
      <c r="E98" s="30"/>
      <c r="F98" s="28"/>
      <c r="G98" s="31" t="str">
        <f t="shared" si="0"/>
        <v/>
      </c>
      <c r="H98" s="28"/>
      <c r="I98" s="28"/>
      <c r="J98" s="28"/>
      <c r="K98" s="31" t="str">
        <f t="shared" si="1"/>
        <v/>
      </c>
      <c r="L98" s="28"/>
      <c r="M98" s="33" t="str">
        <f>Sheet2!E52</f>
        <v/>
      </c>
      <c r="N98" s="28" t="s">
        <v>82</v>
      </c>
      <c r="O98" s="28"/>
      <c r="P98" s="28"/>
      <c r="Q98" s="28"/>
      <c r="R98" s="28"/>
      <c r="S98" s="36"/>
      <c r="T98" s="37">
        <f t="shared" si="2"/>
        <v>0</v>
      </c>
      <c r="U98" s="31" t="str">
        <f>Sheet2!K52</f>
        <v/>
      </c>
      <c r="V98" s="22" t="s">
        <v>82</v>
      </c>
      <c r="W98" s="22"/>
      <c r="X98" s="38" t="str">
        <f t="shared" si="3"/>
        <v/>
      </c>
      <c r="Y98" s="28"/>
      <c r="Z98" s="31" t="str">
        <f>Sheet2!N52</f>
        <v/>
      </c>
      <c r="AA98" s="28"/>
      <c r="AB98" s="28"/>
      <c r="AC98" s="31" t="str">
        <f t="shared" si="4"/>
        <v/>
      </c>
      <c r="AD98" s="40" t="str">
        <f>IFERROR(HLOOKUP(AB98,Sheet3!$K$1:$T$2,2),"")</f>
        <v/>
      </c>
      <c r="AE98" s="31" t="str">
        <f t="shared" si="5"/>
        <v/>
      </c>
      <c r="AF98" s="22"/>
      <c r="AG98" s="31" t="str">
        <f t="shared" si="6"/>
        <v/>
      </c>
      <c r="AH98" s="28"/>
      <c r="AI98" s="31" t="str">
        <f t="shared" si="7"/>
        <v/>
      </c>
      <c r="AJ98" s="22"/>
      <c r="AK98" s="31" t="str">
        <f t="shared" si="8"/>
        <v/>
      </c>
      <c r="AL98" s="28"/>
      <c r="AM98" s="31" t="str">
        <f t="shared" si="9"/>
        <v/>
      </c>
      <c r="AN98" s="22"/>
      <c r="AO98" s="31" t="str">
        <f t="shared" si="10"/>
        <v/>
      </c>
      <c r="AP98" s="28"/>
      <c r="AQ98" s="28"/>
      <c r="AR98" s="28"/>
      <c r="AS98" s="37">
        <f t="shared" si="11"/>
        <v>0</v>
      </c>
      <c r="AT98" s="31">
        <v>0</v>
      </c>
    </row>
    <row r="99" spans="1:46">
      <c r="A99" s="28" t="s">
        <v>132</v>
      </c>
      <c r="B99" s="28"/>
      <c r="C99" s="28"/>
      <c r="D99" s="29"/>
      <c r="E99" s="30"/>
      <c r="F99" s="28"/>
      <c r="G99" s="31" t="str">
        <f t="shared" si="0"/>
        <v/>
      </c>
      <c r="H99" s="28"/>
      <c r="I99" s="28"/>
      <c r="J99" s="28"/>
      <c r="K99" s="31" t="str">
        <f t="shared" si="1"/>
        <v/>
      </c>
      <c r="L99" s="28"/>
      <c r="M99" s="33" t="str">
        <f>Sheet2!E53</f>
        <v/>
      </c>
      <c r="N99" s="28" t="s">
        <v>82</v>
      </c>
      <c r="O99" s="28"/>
      <c r="P99" s="28"/>
      <c r="Q99" s="28"/>
      <c r="R99" s="28"/>
      <c r="S99" s="36"/>
      <c r="T99" s="37">
        <f t="shared" si="2"/>
        <v>0</v>
      </c>
      <c r="U99" s="31" t="str">
        <f>Sheet2!K53</f>
        <v/>
      </c>
      <c r="V99" s="22" t="s">
        <v>82</v>
      </c>
      <c r="W99" s="22"/>
      <c r="X99" s="38" t="str">
        <f t="shared" si="3"/>
        <v/>
      </c>
      <c r="Y99" s="28"/>
      <c r="Z99" s="31" t="str">
        <f>Sheet2!N53</f>
        <v/>
      </c>
      <c r="AA99" s="28"/>
      <c r="AB99" s="28"/>
      <c r="AC99" s="31" t="str">
        <f t="shared" si="4"/>
        <v/>
      </c>
      <c r="AD99" s="40" t="str">
        <f>IFERROR(HLOOKUP(AB99,Sheet3!$K$1:$T$2,2),"")</f>
        <v/>
      </c>
      <c r="AE99" s="31" t="str">
        <f t="shared" si="5"/>
        <v/>
      </c>
      <c r="AF99" s="22"/>
      <c r="AG99" s="31" t="str">
        <f t="shared" si="6"/>
        <v/>
      </c>
      <c r="AH99" s="28"/>
      <c r="AI99" s="31" t="str">
        <f t="shared" si="7"/>
        <v/>
      </c>
      <c r="AJ99" s="22"/>
      <c r="AK99" s="31" t="str">
        <f t="shared" si="8"/>
        <v/>
      </c>
      <c r="AL99" s="28"/>
      <c r="AM99" s="31" t="str">
        <f t="shared" si="9"/>
        <v/>
      </c>
      <c r="AN99" s="22"/>
      <c r="AO99" s="31" t="str">
        <f t="shared" si="10"/>
        <v/>
      </c>
      <c r="AP99" s="28"/>
      <c r="AQ99" s="28"/>
      <c r="AR99" s="28"/>
      <c r="AS99" s="37">
        <f t="shared" si="11"/>
        <v>0</v>
      </c>
      <c r="AT99" s="31">
        <v>0</v>
      </c>
    </row>
    <row r="100" spans="1:46">
      <c r="A100" s="28" t="s">
        <v>133</v>
      </c>
      <c r="B100" s="28"/>
      <c r="C100" s="28"/>
      <c r="D100" s="29"/>
      <c r="E100" s="30"/>
      <c r="F100" s="28"/>
      <c r="G100" s="31" t="str">
        <f t="shared" si="0"/>
        <v/>
      </c>
      <c r="H100" s="28"/>
      <c r="I100" s="28"/>
      <c r="J100" s="28"/>
      <c r="K100" s="31" t="str">
        <f t="shared" si="1"/>
        <v/>
      </c>
      <c r="L100" s="28"/>
      <c r="M100" s="33" t="str">
        <f>Sheet2!E54</f>
        <v/>
      </c>
      <c r="N100" s="28" t="s">
        <v>82</v>
      </c>
      <c r="O100" s="28"/>
      <c r="P100" s="28"/>
      <c r="Q100" s="28"/>
      <c r="R100" s="28"/>
      <c r="S100" s="36"/>
      <c r="T100" s="37">
        <f t="shared" si="2"/>
        <v>0</v>
      </c>
      <c r="U100" s="31" t="str">
        <f>Sheet2!K54</f>
        <v/>
      </c>
      <c r="V100" s="22" t="s">
        <v>82</v>
      </c>
      <c r="W100" s="22"/>
      <c r="X100" s="38" t="str">
        <f t="shared" si="3"/>
        <v/>
      </c>
      <c r="Y100" s="28"/>
      <c r="Z100" s="31" t="str">
        <f>Sheet2!N54</f>
        <v/>
      </c>
      <c r="AA100" s="28"/>
      <c r="AB100" s="28"/>
      <c r="AC100" s="31" t="str">
        <f t="shared" si="4"/>
        <v/>
      </c>
      <c r="AD100" s="40" t="str">
        <f>IFERROR(HLOOKUP(AB100,Sheet3!$K$1:$T$2,2),"")</f>
        <v/>
      </c>
      <c r="AE100" s="31" t="str">
        <f t="shared" si="5"/>
        <v/>
      </c>
      <c r="AF100" s="22"/>
      <c r="AG100" s="31" t="str">
        <f t="shared" si="6"/>
        <v/>
      </c>
      <c r="AH100" s="28"/>
      <c r="AI100" s="31" t="str">
        <f t="shared" si="7"/>
        <v/>
      </c>
      <c r="AJ100" s="22"/>
      <c r="AK100" s="31" t="str">
        <f t="shared" si="8"/>
        <v/>
      </c>
      <c r="AL100" s="28"/>
      <c r="AM100" s="31" t="str">
        <f t="shared" si="9"/>
        <v/>
      </c>
      <c r="AN100" s="22"/>
      <c r="AO100" s="31" t="str">
        <f t="shared" si="10"/>
        <v/>
      </c>
      <c r="AP100" s="28"/>
      <c r="AQ100" s="28"/>
      <c r="AR100" s="28"/>
      <c r="AS100" s="37">
        <f t="shared" si="11"/>
        <v>0</v>
      </c>
      <c r="AT100" s="31">
        <v>0</v>
      </c>
    </row>
    <row r="101" spans="1:46">
      <c r="A101" s="28" t="s">
        <v>134</v>
      </c>
      <c r="B101" s="28"/>
      <c r="C101" s="28"/>
      <c r="D101" s="29"/>
      <c r="E101" s="30"/>
      <c r="F101" s="28"/>
      <c r="G101" s="31" t="str">
        <f t="shared" si="0"/>
        <v/>
      </c>
      <c r="H101" s="28"/>
      <c r="I101" s="28"/>
      <c r="J101" s="28"/>
      <c r="K101" s="31" t="str">
        <f t="shared" si="1"/>
        <v/>
      </c>
      <c r="L101" s="28"/>
      <c r="M101" s="33" t="str">
        <f>Sheet2!E55</f>
        <v/>
      </c>
      <c r="N101" s="28" t="s">
        <v>82</v>
      </c>
      <c r="O101" s="28"/>
      <c r="P101" s="28"/>
      <c r="Q101" s="28"/>
      <c r="R101" s="28"/>
      <c r="S101" s="36"/>
      <c r="T101" s="37">
        <f t="shared" si="2"/>
        <v>0</v>
      </c>
      <c r="U101" s="31" t="str">
        <f>Sheet2!K55</f>
        <v/>
      </c>
      <c r="V101" s="22" t="s">
        <v>82</v>
      </c>
      <c r="W101" s="22"/>
      <c r="X101" s="38" t="str">
        <f t="shared" si="3"/>
        <v/>
      </c>
      <c r="Y101" s="28"/>
      <c r="Z101" s="31" t="str">
        <f>Sheet2!N55</f>
        <v/>
      </c>
      <c r="AA101" s="28"/>
      <c r="AB101" s="28"/>
      <c r="AC101" s="31" t="str">
        <f t="shared" si="4"/>
        <v/>
      </c>
      <c r="AD101" s="40" t="str">
        <f>IFERROR(HLOOKUP(AB101,Sheet3!$K$1:$T$2,2),"")</f>
        <v/>
      </c>
      <c r="AE101" s="31" t="str">
        <f t="shared" si="5"/>
        <v/>
      </c>
      <c r="AF101" s="22"/>
      <c r="AG101" s="31" t="str">
        <f t="shared" si="6"/>
        <v/>
      </c>
      <c r="AH101" s="28"/>
      <c r="AI101" s="31" t="str">
        <f t="shared" si="7"/>
        <v/>
      </c>
      <c r="AJ101" s="22"/>
      <c r="AK101" s="31" t="str">
        <f t="shared" si="8"/>
        <v/>
      </c>
      <c r="AL101" s="28"/>
      <c r="AM101" s="31" t="str">
        <f t="shared" si="9"/>
        <v/>
      </c>
      <c r="AN101" s="22"/>
      <c r="AO101" s="31" t="str">
        <f t="shared" si="10"/>
        <v/>
      </c>
      <c r="AP101" s="28"/>
      <c r="AQ101" s="28"/>
      <c r="AR101" s="28"/>
      <c r="AS101" s="37">
        <f t="shared" si="11"/>
        <v>0</v>
      </c>
      <c r="AT101" s="31">
        <v>0</v>
      </c>
    </row>
    <row r="102" spans="1:46">
      <c r="A102" s="28" t="s">
        <v>135</v>
      </c>
      <c r="B102" s="28"/>
      <c r="C102" s="28"/>
      <c r="D102" s="29"/>
      <c r="E102" s="30"/>
      <c r="F102" s="28"/>
      <c r="G102" s="31" t="str">
        <f t="shared" si="0"/>
        <v/>
      </c>
      <c r="H102" s="28"/>
      <c r="I102" s="28"/>
      <c r="J102" s="28"/>
      <c r="K102" s="31" t="str">
        <f t="shared" si="1"/>
        <v/>
      </c>
      <c r="L102" s="28"/>
      <c r="M102" s="33" t="str">
        <f>Sheet2!E56</f>
        <v/>
      </c>
      <c r="N102" s="28" t="s">
        <v>82</v>
      </c>
      <c r="O102" s="28"/>
      <c r="P102" s="28"/>
      <c r="Q102" s="28"/>
      <c r="R102" s="28"/>
      <c r="S102" s="36"/>
      <c r="T102" s="37">
        <f t="shared" si="2"/>
        <v>0</v>
      </c>
      <c r="U102" s="31" t="str">
        <f>Sheet2!K56</f>
        <v/>
      </c>
      <c r="V102" s="22" t="s">
        <v>82</v>
      </c>
      <c r="W102" s="22"/>
      <c r="X102" s="38" t="str">
        <f t="shared" si="3"/>
        <v/>
      </c>
      <c r="Y102" s="28"/>
      <c r="Z102" s="31" t="str">
        <f>Sheet2!N56</f>
        <v/>
      </c>
      <c r="AA102" s="28"/>
      <c r="AB102" s="28"/>
      <c r="AC102" s="31" t="str">
        <f t="shared" si="4"/>
        <v/>
      </c>
      <c r="AD102" s="40" t="str">
        <f>IFERROR(HLOOKUP(AB102,Sheet3!$K$1:$T$2,2),"")</f>
        <v/>
      </c>
      <c r="AE102" s="31" t="str">
        <f t="shared" si="5"/>
        <v/>
      </c>
      <c r="AF102" s="22"/>
      <c r="AG102" s="31" t="str">
        <f t="shared" si="6"/>
        <v/>
      </c>
      <c r="AH102" s="28"/>
      <c r="AI102" s="31" t="str">
        <f t="shared" si="7"/>
        <v/>
      </c>
      <c r="AJ102" s="22"/>
      <c r="AK102" s="31" t="str">
        <f t="shared" si="8"/>
        <v/>
      </c>
      <c r="AL102" s="28"/>
      <c r="AM102" s="31" t="str">
        <f t="shared" si="9"/>
        <v/>
      </c>
      <c r="AN102" s="22"/>
      <c r="AO102" s="31" t="str">
        <f t="shared" si="10"/>
        <v/>
      </c>
      <c r="AP102" s="28"/>
      <c r="AQ102" s="28"/>
      <c r="AR102" s="28"/>
      <c r="AS102" s="37">
        <f t="shared" si="11"/>
        <v>0</v>
      </c>
      <c r="AT102" s="31">
        <v>0</v>
      </c>
    </row>
    <row r="103" spans="1:46">
      <c r="A103" s="28" t="s">
        <v>136</v>
      </c>
      <c r="B103" s="28"/>
      <c r="C103" s="28"/>
      <c r="D103" s="29"/>
      <c r="E103" s="30"/>
      <c r="F103" s="28"/>
      <c r="G103" s="31" t="str">
        <f t="shared" si="0"/>
        <v/>
      </c>
      <c r="H103" s="28"/>
      <c r="I103" s="28"/>
      <c r="J103" s="28"/>
      <c r="K103" s="31" t="str">
        <f t="shared" si="1"/>
        <v/>
      </c>
      <c r="L103" s="28"/>
      <c r="M103" s="33" t="str">
        <f>Sheet2!E57</f>
        <v/>
      </c>
      <c r="N103" s="28" t="s">
        <v>82</v>
      </c>
      <c r="O103" s="28"/>
      <c r="P103" s="28"/>
      <c r="Q103" s="28"/>
      <c r="R103" s="28"/>
      <c r="S103" s="36"/>
      <c r="T103" s="37">
        <f t="shared" si="2"/>
        <v>0</v>
      </c>
      <c r="U103" s="31" t="str">
        <f>Sheet2!K57</f>
        <v/>
      </c>
      <c r="V103" s="22" t="s">
        <v>82</v>
      </c>
      <c r="W103" s="22"/>
      <c r="X103" s="38" t="str">
        <f t="shared" si="3"/>
        <v/>
      </c>
      <c r="Y103" s="28"/>
      <c r="Z103" s="31" t="str">
        <f>Sheet2!N57</f>
        <v/>
      </c>
      <c r="AA103" s="28"/>
      <c r="AB103" s="28"/>
      <c r="AC103" s="31" t="str">
        <f t="shared" si="4"/>
        <v/>
      </c>
      <c r="AD103" s="40" t="str">
        <f>IFERROR(HLOOKUP(AB103,Sheet3!$K$1:$T$2,2),"")</f>
        <v/>
      </c>
      <c r="AE103" s="31" t="str">
        <f t="shared" si="5"/>
        <v/>
      </c>
      <c r="AF103" s="22"/>
      <c r="AG103" s="31" t="str">
        <f t="shared" si="6"/>
        <v/>
      </c>
      <c r="AH103" s="28"/>
      <c r="AI103" s="31" t="str">
        <f t="shared" si="7"/>
        <v/>
      </c>
      <c r="AJ103" s="22"/>
      <c r="AK103" s="31" t="str">
        <f t="shared" si="8"/>
        <v/>
      </c>
      <c r="AL103" s="28"/>
      <c r="AM103" s="31" t="str">
        <f t="shared" si="9"/>
        <v/>
      </c>
      <c r="AN103" s="22"/>
      <c r="AO103" s="31" t="str">
        <f t="shared" si="10"/>
        <v/>
      </c>
      <c r="AP103" s="28"/>
      <c r="AQ103" s="28"/>
      <c r="AR103" s="28"/>
      <c r="AS103" s="37">
        <f t="shared" si="11"/>
        <v>0</v>
      </c>
      <c r="AT103" s="31">
        <v>0</v>
      </c>
    </row>
    <row r="104" spans="1:46">
      <c r="A104" s="28" t="s">
        <v>137</v>
      </c>
      <c r="B104" s="28"/>
      <c r="C104" s="28"/>
      <c r="D104" s="29"/>
      <c r="E104" s="30"/>
      <c r="F104" s="28"/>
      <c r="G104" s="31" t="str">
        <f t="shared" si="0"/>
        <v/>
      </c>
      <c r="H104" s="28"/>
      <c r="I104" s="28"/>
      <c r="J104" s="28"/>
      <c r="K104" s="31" t="str">
        <f t="shared" si="1"/>
        <v/>
      </c>
      <c r="L104" s="28"/>
      <c r="M104" s="33" t="str">
        <f>Sheet2!E58</f>
        <v/>
      </c>
      <c r="N104" s="28" t="s">
        <v>82</v>
      </c>
      <c r="O104" s="28"/>
      <c r="P104" s="28"/>
      <c r="Q104" s="28"/>
      <c r="R104" s="28"/>
      <c r="S104" s="36"/>
      <c r="T104" s="37">
        <f t="shared" si="2"/>
        <v>0</v>
      </c>
      <c r="U104" s="31" t="str">
        <f>Sheet2!K58</f>
        <v/>
      </c>
      <c r="V104" s="22" t="s">
        <v>82</v>
      </c>
      <c r="W104" s="22"/>
      <c r="X104" s="38" t="str">
        <f t="shared" si="3"/>
        <v/>
      </c>
      <c r="Y104" s="28"/>
      <c r="Z104" s="31" t="str">
        <f>Sheet2!N58</f>
        <v/>
      </c>
      <c r="AA104" s="28"/>
      <c r="AB104" s="28"/>
      <c r="AC104" s="31" t="str">
        <f t="shared" si="4"/>
        <v/>
      </c>
      <c r="AD104" s="40" t="str">
        <f>IFERROR(HLOOKUP(AB104,Sheet3!$K$1:$T$2,2),"")</f>
        <v/>
      </c>
      <c r="AE104" s="31" t="str">
        <f t="shared" si="5"/>
        <v/>
      </c>
      <c r="AF104" s="22"/>
      <c r="AG104" s="31" t="str">
        <f t="shared" si="6"/>
        <v/>
      </c>
      <c r="AH104" s="28"/>
      <c r="AI104" s="31" t="str">
        <f t="shared" si="7"/>
        <v/>
      </c>
      <c r="AJ104" s="22"/>
      <c r="AK104" s="31" t="str">
        <f t="shared" si="8"/>
        <v/>
      </c>
      <c r="AL104" s="28"/>
      <c r="AM104" s="31" t="str">
        <f t="shared" si="9"/>
        <v/>
      </c>
      <c r="AN104" s="22"/>
      <c r="AO104" s="31" t="str">
        <f t="shared" si="10"/>
        <v/>
      </c>
      <c r="AP104" s="28"/>
      <c r="AQ104" s="28"/>
      <c r="AR104" s="28"/>
      <c r="AS104" s="37">
        <f t="shared" si="11"/>
        <v>0</v>
      </c>
      <c r="AT104" s="31">
        <v>0</v>
      </c>
    </row>
    <row r="105" spans="1:46">
      <c r="A105" s="28" t="s">
        <v>138</v>
      </c>
      <c r="B105" s="28"/>
      <c r="C105" s="28"/>
      <c r="D105" s="29"/>
      <c r="E105" s="30"/>
      <c r="F105" s="28"/>
      <c r="G105" s="31" t="str">
        <f t="shared" si="0"/>
        <v/>
      </c>
      <c r="H105" s="28"/>
      <c r="I105" s="28"/>
      <c r="J105" s="28"/>
      <c r="K105" s="31" t="str">
        <f t="shared" si="1"/>
        <v/>
      </c>
      <c r="L105" s="28"/>
      <c r="M105" s="33" t="str">
        <f>Sheet2!E59</f>
        <v/>
      </c>
      <c r="N105" s="28" t="s">
        <v>82</v>
      </c>
      <c r="O105" s="28"/>
      <c r="P105" s="28"/>
      <c r="Q105" s="28"/>
      <c r="R105" s="28"/>
      <c r="S105" s="36"/>
      <c r="T105" s="37">
        <f t="shared" si="2"/>
        <v>0</v>
      </c>
      <c r="U105" s="31" t="str">
        <f>Sheet2!K59</f>
        <v/>
      </c>
      <c r="V105" s="22" t="s">
        <v>82</v>
      </c>
      <c r="W105" s="22"/>
      <c r="X105" s="38" t="str">
        <f t="shared" si="3"/>
        <v/>
      </c>
      <c r="Y105" s="28"/>
      <c r="Z105" s="31" t="str">
        <f>Sheet2!N59</f>
        <v/>
      </c>
      <c r="AA105" s="28"/>
      <c r="AB105" s="28"/>
      <c r="AC105" s="31" t="str">
        <f t="shared" si="4"/>
        <v/>
      </c>
      <c r="AD105" s="40" t="str">
        <f>IFERROR(HLOOKUP(AB105,Sheet3!$K$1:$T$2,2),"")</f>
        <v/>
      </c>
      <c r="AE105" s="31" t="str">
        <f t="shared" si="5"/>
        <v/>
      </c>
      <c r="AF105" s="22"/>
      <c r="AG105" s="31" t="str">
        <f t="shared" si="6"/>
        <v/>
      </c>
      <c r="AH105" s="28"/>
      <c r="AI105" s="31" t="str">
        <f t="shared" si="7"/>
        <v/>
      </c>
      <c r="AJ105" s="22"/>
      <c r="AK105" s="31" t="str">
        <f t="shared" si="8"/>
        <v/>
      </c>
      <c r="AL105" s="28"/>
      <c r="AM105" s="31" t="str">
        <f t="shared" si="9"/>
        <v/>
      </c>
      <c r="AN105" s="22"/>
      <c r="AO105" s="31" t="str">
        <f t="shared" si="10"/>
        <v/>
      </c>
      <c r="AP105" s="28"/>
      <c r="AQ105" s="28"/>
      <c r="AR105" s="28"/>
      <c r="AS105" s="37">
        <f t="shared" si="11"/>
        <v>0</v>
      </c>
      <c r="AT105" s="31">
        <v>0</v>
      </c>
    </row>
    <row r="106" spans="1:46">
      <c r="A106" s="28" t="s">
        <v>139</v>
      </c>
      <c r="B106" s="28"/>
      <c r="C106" s="28"/>
      <c r="D106" s="29"/>
      <c r="E106" s="30"/>
      <c r="F106" s="28"/>
      <c r="G106" s="31" t="str">
        <f t="shared" si="0"/>
        <v/>
      </c>
      <c r="H106" s="28"/>
      <c r="I106" s="28"/>
      <c r="J106" s="28"/>
      <c r="K106" s="31" t="str">
        <f t="shared" si="1"/>
        <v/>
      </c>
      <c r="L106" s="28"/>
      <c r="M106" s="33" t="str">
        <f>Sheet2!E60</f>
        <v/>
      </c>
      <c r="N106" s="28" t="s">
        <v>82</v>
      </c>
      <c r="O106" s="28"/>
      <c r="P106" s="28"/>
      <c r="Q106" s="28"/>
      <c r="R106" s="28"/>
      <c r="S106" s="36"/>
      <c r="T106" s="37">
        <f t="shared" si="2"/>
        <v>0</v>
      </c>
      <c r="U106" s="31" t="str">
        <f>Sheet2!K60</f>
        <v/>
      </c>
      <c r="V106" s="22" t="s">
        <v>82</v>
      </c>
      <c r="W106" s="22"/>
      <c r="X106" s="38" t="str">
        <f t="shared" si="3"/>
        <v/>
      </c>
      <c r="Y106" s="28"/>
      <c r="Z106" s="31" t="str">
        <f>Sheet2!N60</f>
        <v/>
      </c>
      <c r="AA106" s="28"/>
      <c r="AB106" s="28"/>
      <c r="AC106" s="31" t="str">
        <f t="shared" si="4"/>
        <v/>
      </c>
      <c r="AD106" s="40" t="str">
        <f>IFERROR(HLOOKUP(AB106,Sheet3!$K$1:$T$2,2),"")</f>
        <v/>
      </c>
      <c r="AE106" s="31" t="str">
        <f t="shared" si="5"/>
        <v/>
      </c>
      <c r="AF106" s="22"/>
      <c r="AG106" s="31" t="str">
        <f t="shared" si="6"/>
        <v/>
      </c>
      <c r="AH106" s="28"/>
      <c r="AI106" s="31" t="str">
        <f t="shared" si="7"/>
        <v/>
      </c>
      <c r="AJ106" s="22"/>
      <c r="AK106" s="31" t="str">
        <f t="shared" si="8"/>
        <v/>
      </c>
      <c r="AL106" s="28"/>
      <c r="AM106" s="31" t="str">
        <f t="shared" si="9"/>
        <v/>
      </c>
      <c r="AN106" s="22"/>
      <c r="AO106" s="31" t="str">
        <f t="shared" si="10"/>
        <v/>
      </c>
      <c r="AP106" s="28"/>
      <c r="AQ106" s="28"/>
      <c r="AR106" s="28"/>
      <c r="AS106" s="37">
        <f t="shared" si="11"/>
        <v>0</v>
      </c>
      <c r="AT106" s="31">
        <v>0</v>
      </c>
    </row>
    <row r="107" spans="1:46">
      <c r="A107" s="28" t="s">
        <v>140</v>
      </c>
      <c r="B107" s="28"/>
      <c r="C107" s="28"/>
      <c r="D107" s="29"/>
      <c r="E107" s="30"/>
      <c r="F107" s="28"/>
      <c r="G107" s="31" t="str">
        <f>IFERROR(VLOOKUP(H107,$A$1:$B$40,2,FALSE),"")</f>
        <v/>
      </c>
      <c r="H107" s="28"/>
      <c r="I107" s="28"/>
      <c r="J107" s="28"/>
      <c r="K107" s="31" t="str">
        <f t="shared" si="1"/>
        <v/>
      </c>
      <c r="L107" s="28"/>
      <c r="M107" s="33" t="str">
        <f>Sheet2!E61</f>
        <v/>
      </c>
      <c r="N107" s="28" t="s">
        <v>82</v>
      </c>
      <c r="O107" s="28"/>
      <c r="P107" s="28"/>
      <c r="Q107" s="28"/>
      <c r="R107" s="28"/>
      <c r="S107" s="36"/>
      <c r="T107" s="37">
        <f t="shared" si="2"/>
        <v>0</v>
      </c>
      <c r="U107" s="31" t="str">
        <f>Sheet2!K61</f>
        <v/>
      </c>
      <c r="V107" s="22" t="s">
        <v>82</v>
      </c>
      <c r="W107" s="22"/>
      <c r="X107" s="38" t="str">
        <f t="shared" si="3"/>
        <v/>
      </c>
      <c r="Y107" s="28"/>
      <c r="Z107" s="31" t="str">
        <f>Sheet2!N61</f>
        <v/>
      </c>
      <c r="AA107" s="28"/>
      <c r="AB107" s="28"/>
      <c r="AC107" s="31" t="str">
        <f t="shared" si="4"/>
        <v/>
      </c>
      <c r="AD107" s="40" t="str">
        <f>IFERROR(HLOOKUP(AB107,Sheet3!$K$1:$T$2,2),"")</f>
        <v/>
      </c>
      <c r="AE107" s="31" t="str">
        <f t="shared" si="5"/>
        <v/>
      </c>
      <c r="AF107" s="22"/>
      <c r="AG107" s="31" t="str">
        <f t="shared" si="6"/>
        <v/>
      </c>
      <c r="AH107" s="28"/>
      <c r="AI107" s="31" t="str">
        <f t="shared" si="7"/>
        <v/>
      </c>
      <c r="AJ107" s="22"/>
      <c r="AK107" s="31" t="str">
        <f t="shared" si="8"/>
        <v/>
      </c>
      <c r="AL107" s="28"/>
      <c r="AM107" s="31" t="str">
        <f t="shared" si="9"/>
        <v/>
      </c>
      <c r="AN107" s="22"/>
      <c r="AO107" s="31" t="str">
        <f t="shared" si="10"/>
        <v/>
      </c>
      <c r="AP107" s="28"/>
      <c r="AQ107" s="28"/>
      <c r="AR107" s="28"/>
      <c r="AS107" s="37">
        <f t="shared" si="11"/>
        <v>0</v>
      </c>
      <c r="AT107" s="31">
        <v>0</v>
      </c>
    </row>
    <row r="108" spans="1:46">
      <c r="A108" s="28" t="s">
        <v>141</v>
      </c>
      <c r="B108" s="28"/>
      <c r="C108" s="28"/>
      <c r="D108" s="29"/>
      <c r="E108" s="30"/>
      <c r="F108" s="28"/>
      <c r="G108" s="31" t="str">
        <f t="shared" si="0"/>
        <v/>
      </c>
      <c r="H108" s="28"/>
      <c r="I108" s="28"/>
      <c r="J108" s="28"/>
      <c r="K108" s="31" t="str">
        <f t="shared" si="1"/>
        <v/>
      </c>
      <c r="L108" s="28"/>
      <c r="M108" s="33" t="str">
        <f>Sheet2!E62</f>
        <v/>
      </c>
      <c r="N108" s="28" t="s">
        <v>82</v>
      </c>
      <c r="O108" s="28"/>
      <c r="P108" s="28"/>
      <c r="Q108" s="28"/>
      <c r="R108" s="28"/>
      <c r="S108" s="36"/>
      <c r="T108" s="37">
        <f t="shared" si="2"/>
        <v>0</v>
      </c>
      <c r="U108" s="31" t="str">
        <f>Sheet2!K62</f>
        <v/>
      </c>
      <c r="V108" s="22" t="s">
        <v>82</v>
      </c>
      <c r="W108" s="22"/>
      <c r="X108" s="38" t="str">
        <f t="shared" si="3"/>
        <v/>
      </c>
      <c r="Y108" s="28"/>
      <c r="Z108" s="31" t="str">
        <f>Sheet2!N62</f>
        <v/>
      </c>
      <c r="AA108" s="28"/>
      <c r="AB108" s="28"/>
      <c r="AC108" s="31" t="str">
        <f t="shared" si="4"/>
        <v/>
      </c>
      <c r="AD108" s="40" t="str">
        <f>IFERROR(HLOOKUP(AB108,Sheet3!$K$1:$T$2,2),"")</f>
        <v/>
      </c>
      <c r="AE108" s="31" t="str">
        <f t="shared" si="5"/>
        <v/>
      </c>
      <c r="AF108" s="22"/>
      <c r="AG108" s="31" t="str">
        <f t="shared" si="6"/>
        <v/>
      </c>
      <c r="AH108" s="28"/>
      <c r="AI108" s="31" t="str">
        <f t="shared" si="7"/>
        <v/>
      </c>
      <c r="AJ108" s="22"/>
      <c r="AK108" s="31" t="str">
        <f t="shared" si="8"/>
        <v/>
      </c>
      <c r="AL108" s="28"/>
      <c r="AM108" s="31" t="str">
        <f t="shared" si="9"/>
        <v/>
      </c>
      <c r="AN108" s="22"/>
      <c r="AO108" s="31" t="str">
        <f t="shared" si="10"/>
        <v/>
      </c>
      <c r="AP108" s="28"/>
      <c r="AQ108" s="28"/>
      <c r="AR108" s="28"/>
      <c r="AS108" s="37">
        <f t="shared" si="11"/>
        <v>0</v>
      </c>
      <c r="AT108" s="31">
        <v>0</v>
      </c>
    </row>
    <row r="109" spans="1:46">
      <c r="A109" s="28" t="s">
        <v>142</v>
      </c>
      <c r="B109" s="28"/>
      <c r="C109" s="28"/>
      <c r="D109" s="29"/>
      <c r="E109" s="30"/>
      <c r="F109" s="28"/>
      <c r="G109" s="31" t="str">
        <f t="shared" si="0"/>
        <v/>
      </c>
      <c r="H109" s="28"/>
      <c r="I109" s="28"/>
      <c r="J109" s="28"/>
      <c r="K109" s="31" t="str">
        <f t="shared" si="1"/>
        <v/>
      </c>
      <c r="L109" s="28"/>
      <c r="M109" s="33" t="str">
        <f>Sheet2!E63</f>
        <v/>
      </c>
      <c r="N109" s="28" t="s">
        <v>82</v>
      </c>
      <c r="O109" s="28"/>
      <c r="P109" s="28"/>
      <c r="Q109" s="28"/>
      <c r="R109" s="28"/>
      <c r="S109" s="36"/>
      <c r="T109" s="37">
        <f t="shared" si="2"/>
        <v>0</v>
      </c>
      <c r="U109" s="31" t="str">
        <f>Sheet2!K63</f>
        <v/>
      </c>
      <c r="V109" s="22" t="s">
        <v>82</v>
      </c>
      <c r="W109" s="22"/>
      <c r="X109" s="38" t="str">
        <f t="shared" si="3"/>
        <v/>
      </c>
      <c r="Y109" s="28"/>
      <c r="Z109" s="31" t="str">
        <f>Sheet2!N63</f>
        <v/>
      </c>
      <c r="AA109" s="28"/>
      <c r="AB109" s="28"/>
      <c r="AC109" s="31" t="str">
        <f t="shared" si="4"/>
        <v/>
      </c>
      <c r="AD109" s="40" t="str">
        <f>IFERROR(HLOOKUP(AB109,Sheet3!$K$1:$T$2,2),"")</f>
        <v/>
      </c>
      <c r="AE109" s="31" t="str">
        <f t="shared" si="5"/>
        <v/>
      </c>
      <c r="AF109" s="22"/>
      <c r="AG109" s="31" t="str">
        <f t="shared" si="6"/>
        <v/>
      </c>
      <c r="AH109" s="28"/>
      <c r="AI109" s="31" t="str">
        <f t="shared" si="7"/>
        <v/>
      </c>
      <c r="AJ109" s="22"/>
      <c r="AK109" s="31" t="str">
        <f t="shared" si="8"/>
        <v/>
      </c>
      <c r="AL109" s="28"/>
      <c r="AM109" s="31" t="str">
        <f t="shared" si="9"/>
        <v/>
      </c>
      <c r="AN109" s="22"/>
      <c r="AO109" s="31" t="str">
        <f t="shared" si="10"/>
        <v/>
      </c>
      <c r="AP109" s="28"/>
      <c r="AQ109" s="28"/>
      <c r="AR109" s="28"/>
      <c r="AS109" s="37">
        <f t="shared" si="11"/>
        <v>0</v>
      </c>
      <c r="AT109" s="31">
        <v>0</v>
      </c>
    </row>
    <row r="110" spans="1:46">
      <c r="A110" s="28" t="s">
        <v>143</v>
      </c>
      <c r="B110" s="28"/>
      <c r="C110" s="28"/>
      <c r="D110" s="29"/>
      <c r="E110" s="30"/>
      <c r="F110" s="28"/>
      <c r="G110" s="31" t="str">
        <f t="shared" si="0"/>
        <v/>
      </c>
      <c r="H110" s="28"/>
      <c r="I110" s="28"/>
      <c r="J110" s="28"/>
      <c r="K110" s="31" t="str">
        <f t="shared" si="1"/>
        <v/>
      </c>
      <c r="L110" s="28"/>
      <c r="M110" s="33" t="str">
        <f>Sheet2!E64</f>
        <v/>
      </c>
      <c r="N110" s="28" t="s">
        <v>82</v>
      </c>
      <c r="O110" s="28"/>
      <c r="P110" s="28"/>
      <c r="Q110" s="28"/>
      <c r="R110" s="28"/>
      <c r="S110" s="36"/>
      <c r="T110" s="37">
        <f t="shared" si="2"/>
        <v>0</v>
      </c>
      <c r="U110" s="31" t="str">
        <f>Sheet2!K64</f>
        <v/>
      </c>
      <c r="V110" s="22" t="s">
        <v>82</v>
      </c>
      <c r="W110" s="22"/>
      <c r="X110" s="38" t="str">
        <f t="shared" si="3"/>
        <v/>
      </c>
      <c r="Y110" s="28"/>
      <c r="Z110" s="31" t="str">
        <f>Sheet2!N64</f>
        <v/>
      </c>
      <c r="AA110" s="28"/>
      <c r="AB110" s="28"/>
      <c r="AC110" s="31" t="str">
        <f t="shared" si="4"/>
        <v/>
      </c>
      <c r="AD110" s="40" t="str">
        <f>IFERROR(HLOOKUP(AB110,Sheet3!$K$1:$T$2,2),"")</f>
        <v/>
      </c>
      <c r="AE110" s="31" t="str">
        <f t="shared" si="5"/>
        <v/>
      </c>
      <c r="AF110" s="22"/>
      <c r="AG110" s="31" t="str">
        <f t="shared" si="6"/>
        <v/>
      </c>
      <c r="AH110" s="28"/>
      <c r="AI110" s="31" t="str">
        <f t="shared" si="7"/>
        <v/>
      </c>
      <c r="AJ110" s="22"/>
      <c r="AK110" s="31" t="str">
        <f t="shared" si="8"/>
        <v/>
      </c>
      <c r="AL110" s="28"/>
      <c r="AM110" s="31" t="str">
        <f t="shared" si="9"/>
        <v/>
      </c>
      <c r="AN110" s="22"/>
      <c r="AO110" s="31" t="str">
        <f t="shared" si="10"/>
        <v/>
      </c>
      <c r="AP110" s="28"/>
      <c r="AQ110" s="28"/>
      <c r="AR110" s="28"/>
      <c r="AS110" s="37">
        <f t="shared" si="11"/>
        <v>0</v>
      </c>
      <c r="AT110" s="31">
        <v>0</v>
      </c>
    </row>
    <row r="111" spans="1:46">
      <c r="A111" s="28" t="s">
        <v>144</v>
      </c>
      <c r="B111" s="28"/>
      <c r="C111" s="28"/>
      <c r="D111" s="29"/>
      <c r="E111" s="30"/>
      <c r="F111" s="28"/>
      <c r="G111" s="31" t="str">
        <f t="shared" si="0"/>
        <v/>
      </c>
      <c r="H111" s="28"/>
      <c r="I111" s="28"/>
      <c r="J111" s="28"/>
      <c r="K111" s="31" t="str">
        <f t="shared" si="1"/>
        <v/>
      </c>
      <c r="L111" s="28"/>
      <c r="M111" s="33" t="str">
        <f>Sheet2!E65</f>
        <v/>
      </c>
      <c r="N111" s="28" t="s">
        <v>82</v>
      </c>
      <c r="O111" s="28"/>
      <c r="P111" s="28"/>
      <c r="Q111" s="28"/>
      <c r="R111" s="28"/>
      <c r="S111" s="36"/>
      <c r="T111" s="37">
        <f t="shared" si="2"/>
        <v>0</v>
      </c>
      <c r="U111" s="31" t="str">
        <f>Sheet2!K65</f>
        <v/>
      </c>
      <c r="V111" s="22" t="s">
        <v>82</v>
      </c>
      <c r="W111" s="22"/>
      <c r="X111" s="38" t="str">
        <f t="shared" si="3"/>
        <v/>
      </c>
      <c r="Y111" s="28"/>
      <c r="Z111" s="31" t="str">
        <f>Sheet2!N65</f>
        <v/>
      </c>
      <c r="AA111" s="28"/>
      <c r="AB111" s="28"/>
      <c r="AC111" s="31" t="str">
        <f t="shared" si="4"/>
        <v/>
      </c>
      <c r="AD111" s="40" t="str">
        <f>IFERROR(HLOOKUP(AB111,Sheet3!$K$1:$T$2,2),"")</f>
        <v/>
      </c>
      <c r="AE111" s="31" t="str">
        <f t="shared" si="5"/>
        <v/>
      </c>
      <c r="AF111" s="22"/>
      <c r="AG111" s="31" t="str">
        <f t="shared" si="6"/>
        <v/>
      </c>
      <c r="AH111" s="28"/>
      <c r="AI111" s="31" t="str">
        <f t="shared" si="7"/>
        <v/>
      </c>
      <c r="AJ111" s="22"/>
      <c r="AK111" s="31" t="str">
        <f t="shared" si="8"/>
        <v/>
      </c>
      <c r="AL111" s="28"/>
      <c r="AM111" s="31" t="str">
        <f t="shared" si="9"/>
        <v/>
      </c>
      <c r="AN111" s="22"/>
      <c r="AO111" s="31" t="str">
        <f t="shared" si="10"/>
        <v/>
      </c>
      <c r="AP111" s="28"/>
      <c r="AQ111" s="28"/>
      <c r="AR111" s="28"/>
      <c r="AS111" s="37">
        <f t="shared" si="11"/>
        <v>0</v>
      </c>
      <c r="AT111" s="31">
        <v>0</v>
      </c>
    </row>
    <row r="112" spans="1:46">
      <c r="A112" s="28" t="s">
        <v>145</v>
      </c>
      <c r="B112" s="28"/>
      <c r="C112" s="28"/>
      <c r="D112" s="29"/>
      <c r="E112" s="30"/>
      <c r="F112" s="28"/>
      <c r="G112" s="31" t="str">
        <f t="shared" si="0"/>
        <v/>
      </c>
      <c r="H112" s="28"/>
      <c r="I112" s="28"/>
      <c r="J112" s="28"/>
      <c r="K112" s="31" t="str">
        <f t="shared" si="1"/>
        <v/>
      </c>
      <c r="L112" s="28"/>
      <c r="M112" s="33" t="str">
        <f>Sheet2!E66</f>
        <v/>
      </c>
      <c r="N112" s="28" t="s">
        <v>82</v>
      </c>
      <c r="O112" s="28"/>
      <c r="P112" s="28"/>
      <c r="Q112" s="28"/>
      <c r="R112" s="28"/>
      <c r="S112" s="36"/>
      <c r="T112" s="37">
        <f t="shared" si="2"/>
        <v>0</v>
      </c>
      <c r="U112" s="31" t="str">
        <f>Sheet2!K66</f>
        <v/>
      </c>
      <c r="V112" s="22" t="s">
        <v>82</v>
      </c>
      <c r="W112" s="22"/>
      <c r="X112" s="38" t="str">
        <f t="shared" si="3"/>
        <v/>
      </c>
      <c r="Y112" s="28"/>
      <c r="Z112" s="31" t="str">
        <f>Sheet2!N66</f>
        <v/>
      </c>
      <c r="AA112" s="28"/>
      <c r="AB112" s="28"/>
      <c r="AC112" s="31" t="str">
        <f t="shared" si="4"/>
        <v/>
      </c>
      <c r="AD112" s="40" t="str">
        <f>IFERROR(HLOOKUP(AB112,Sheet3!$K$1:$T$2,2),"")</f>
        <v/>
      </c>
      <c r="AE112" s="31" t="str">
        <f t="shared" si="5"/>
        <v/>
      </c>
      <c r="AF112" s="22"/>
      <c r="AG112" s="31" t="str">
        <f t="shared" si="6"/>
        <v/>
      </c>
      <c r="AH112" s="28"/>
      <c r="AI112" s="31" t="str">
        <f t="shared" si="7"/>
        <v/>
      </c>
      <c r="AJ112" s="22"/>
      <c r="AK112" s="31" t="str">
        <f t="shared" si="8"/>
        <v/>
      </c>
      <c r="AL112" s="28"/>
      <c r="AM112" s="31" t="str">
        <f t="shared" si="9"/>
        <v/>
      </c>
      <c r="AN112" s="22"/>
      <c r="AO112" s="31" t="str">
        <f t="shared" si="10"/>
        <v/>
      </c>
      <c r="AP112" s="28"/>
      <c r="AQ112" s="28"/>
      <c r="AR112" s="28"/>
      <c r="AS112" s="37">
        <f t="shared" si="11"/>
        <v>0</v>
      </c>
      <c r="AT112" s="31">
        <v>0</v>
      </c>
    </row>
    <row r="113" spans="1:46">
      <c r="A113" s="28" t="s">
        <v>146</v>
      </c>
      <c r="B113" s="28"/>
      <c r="C113" s="28"/>
      <c r="D113" s="29"/>
      <c r="E113" s="30"/>
      <c r="F113" s="28"/>
      <c r="G113" s="31" t="str">
        <f t="shared" ref="G113:G120" si="12">IFERROR(VLOOKUP(H113,$A$1:$B$40,2,FALSE),"")</f>
        <v/>
      </c>
      <c r="H113" s="28"/>
      <c r="I113" s="28"/>
      <c r="J113" s="28"/>
      <c r="K113" s="31" t="str">
        <f t="shared" ref="K113:K147" si="13">IFERROR(VLOOKUP(L113,$A$1:$B$40,2,FALSE),"")</f>
        <v/>
      </c>
      <c r="L113" s="28"/>
      <c r="M113" s="33" t="str">
        <f>Sheet2!E67</f>
        <v/>
      </c>
      <c r="N113" s="28" t="s">
        <v>82</v>
      </c>
      <c r="O113" s="28"/>
      <c r="P113" s="28"/>
      <c r="Q113" s="28"/>
      <c r="R113" s="28"/>
      <c r="S113" s="36"/>
      <c r="T113" s="37">
        <f t="shared" ref="T113:T147" si="14">IFERROR(ROUND(S113/((R113/100)*(R113/100)),1),0)</f>
        <v>0</v>
      </c>
      <c r="U113" s="31" t="str">
        <f>Sheet2!K67</f>
        <v/>
      </c>
      <c r="V113" s="22" t="s">
        <v>82</v>
      </c>
      <c r="W113" s="22"/>
      <c r="X113" s="38" t="str">
        <f t="shared" ref="X113:X147" si="15">IFERROR(VLOOKUP(Y113,$A$1:$B$40,2,FALSE),"")</f>
        <v/>
      </c>
      <c r="Y113" s="28"/>
      <c r="Z113" s="31" t="str">
        <f>Sheet2!N67</f>
        <v/>
      </c>
      <c r="AA113" s="28"/>
      <c r="AB113" s="28"/>
      <c r="AC113" s="31" t="str">
        <f t="shared" ref="AC113:AC147" si="16">IFERROR(VLOOKUP(AD113,$A$1:$B$40,2,FALSE),"")</f>
        <v/>
      </c>
      <c r="AD113" s="40" t="str">
        <f>IFERROR(HLOOKUP(AB113,Sheet3!$K$1:$T$2,2),"")</f>
        <v/>
      </c>
      <c r="AE113" s="31" t="str">
        <f t="shared" ref="AE113:AE147" si="17">IFERROR(VLOOKUP(AF113,$A$23:$B$26,2,FALSE),"")</f>
        <v/>
      </c>
      <c r="AF113" s="22"/>
      <c r="AG113" s="31" t="str">
        <f t="shared" ref="AG113:AG147" si="18">IFERROR(VLOOKUP(AH113,$A$1:$B$42,2,FALSE),"")</f>
        <v/>
      </c>
      <c r="AH113" s="28"/>
      <c r="AI113" s="31" t="str">
        <f t="shared" ref="AI113:AI147" si="19">IFERROR(VLOOKUP(AJ113,$A$1:$B$40,2,FALSE),"")</f>
        <v/>
      </c>
      <c r="AJ113" s="22"/>
      <c r="AK113" s="31" t="str">
        <f t="shared" ref="AK113:AK147" si="20">IFERROR(VLOOKUP(AL113,$A$1:$B$40,2,FALSE),"")</f>
        <v/>
      </c>
      <c r="AL113" s="28"/>
      <c r="AM113" s="31" t="str">
        <f t="shared" ref="AM113:AM147" si="21">IFERROR(VLOOKUP(AN113,$A$1:$B$40,2,FALSE),"")</f>
        <v/>
      </c>
      <c r="AN113" s="22"/>
      <c r="AO113" s="31" t="str">
        <f t="shared" ref="AO113:AO147" si="22">IFERROR(VLOOKUP(AP113,$A$1:$B$40,2,FALSE),"")</f>
        <v/>
      </c>
      <c r="AP113" s="28"/>
      <c r="AQ113" s="28"/>
      <c r="AR113" s="28"/>
      <c r="AS113" s="37">
        <f t="shared" ref="AS113:AS147" si="23">IFERROR(ROUND(AQ113/AR113*1000,1),0)</f>
        <v>0</v>
      </c>
      <c r="AT113" s="31">
        <v>0</v>
      </c>
    </row>
    <row r="114" spans="1:46">
      <c r="A114" s="28" t="s">
        <v>147</v>
      </c>
      <c r="B114" s="28"/>
      <c r="C114" s="28"/>
      <c r="D114" s="29"/>
      <c r="E114" s="30"/>
      <c r="F114" s="28"/>
      <c r="G114" s="31" t="str">
        <f t="shared" si="12"/>
        <v/>
      </c>
      <c r="H114" s="28"/>
      <c r="I114" s="28"/>
      <c r="J114" s="28"/>
      <c r="K114" s="31" t="str">
        <f t="shared" si="13"/>
        <v/>
      </c>
      <c r="L114" s="28"/>
      <c r="M114" s="33" t="str">
        <f>Sheet2!E68</f>
        <v/>
      </c>
      <c r="N114" s="28" t="s">
        <v>82</v>
      </c>
      <c r="O114" s="28"/>
      <c r="P114" s="28"/>
      <c r="Q114" s="28"/>
      <c r="R114" s="28"/>
      <c r="S114" s="36"/>
      <c r="T114" s="37">
        <f t="shared" si="14"/>
        <v>0</v>
      </c>
      <c r="U114" s="31" t="str">
        <f>Sheet2!K68</f>
        <v/>
      </c>
      <c r="V114" s="22" t="s">
        <v>82</v>
      </c>
      <c r="W114" s="22"/>
      <c r="X114" s="38" t="str">
        <f t="shared" si="15"/>
        <v/>
      </c>
      <c r="Y114" s="28"/>
      <c r="Z114" s="31" t="str">
        <f>Sheet2!N68</f>
        <v/>
      </c>
      <c r="AA114" s="28"/>
      <c r="AB114" s="28"/>
      <c r="AC114" s="31" t="str">
        <f t="shared" si="16"/>
        <v/>
      </c>
      <c r="AD114" s="40" t="str">
        <f>IFERROR(HLOOKUP(AB114,Sheet3!$K$1:$T$2,2),"")</f>
        <v/>
      </c>
      <c r="AE114" s="31" t="str">
        <f t="shared" si="17"/>
        <v/>
      </c>
      <c r="AF114" s="22"/>
      <c r="AG114" s="31" t="str">
        <f t="shared" si="18"/>
        <v/>
      </c>
      <c r="AH114" s="28"/>
      <c r="AI114" s="31" t="str">
        <f t="shared" si="19"/>
        <v/>
      </c>
      <c r="AJ114" s="22"/>
      <c r="AK114" s="31" t="str">
        <f t="shared" si="20"/>
        <v/>
      </c>
      <c r="AL114" s="28"/>
      <c r="AM114" s="31" t="str">
        <f t="shared" si="21"/>
        <v/>
      </c>
      <c r="AN114" s="22"/>
      <c r="AO114" s="31" t="str">
        <f t="shared" si="22"/>
        <v/>
      </c>
      <c r="AP114" s="28"/>
      <c r="AQ114" s="28"/>
      <c r="AR114" s="28"/>
      <c r="AS114" s="37">
        <f t="shared" si="23"/>
        <v>0</v>
      </c>
      <c r="AT114" s="31">
        <v>0</v>
      </c>
    </row>
    <row r="115" spans="1:46">
      <c r="A115" s="28" t="s">
        <v>148</v>
      </c>
      <c r="B115" s="28"/>
      <c r="C115" s="28"/>
      <c r="D115" s="29"/>
      <c r="E115" s="30"/>
      <c r="F115" s="28"/>
      <c r="G115" s="31" t="str">
        <f t="shared" si="12"/>
        <v/>
      </c>
      <c r="H115" s="28"/>
      <c r="I115" s="28"/>
      <c r="J115" s="28"/>
      <c r="K115" s="31" t="str">
        <f t="shared" si="13"/>
        <v/>
      </c>
      <c r="L115" s="28"/>
      <c r="M115" s="33" t="str">
        <f>Sheet2!E69</f>
        <v/>
      </c>
      <c r="N115" s="28" t="s">
        <v>82</v>
      </c>
      <c r="O115" s="28"/>
      <c r="P115" s="28"/>
      <c r="Q115" s="28"/>
      <c r="R115" s="28"/>
      <c r="S115" s="36"/>
      <c r="T115" s="37">
        <f t="shared" si="14"/>
        <v>0</v>
      </c>
      <c r="U115" s="31" t="str">
        <f>Sheet2!K69</f>
        <v/>
      </c>
      <c r="V115" s="22" t="s">
        <v>82</v>
      </c>
      <c r="W115" s="22"/>
      <c r="X115" s="38" t="str">
        <f t="shared" si="15"/>
        <v/>
      </c>
      <c r="Y115" s="28"/>
      <c r="Z115" s="31" t="str">
        <f>Sheet2!N69</f>
        <v/>
      </c>
      <c r="AA115" s="28"/>
      <c r="AB115" s="28"/>
      <c r="AC115" s="31" t="str">
        <f t="shared" si="16"/>
        <v/>
      </c>
      <c r="AD115" s="40" t="str">
        <f>IFERROR(HLOOKUP(AB115,Sheet3!$K$1:$T$2,2),"")</f>
        <v/>
      </c>
      <c r="AE115" s="31" t="str">
        <f t="shared" si="17"/>
        <v/>
      </c>
      <c r="AF115" s="22"/>
      <c r="AG115" s="31" t="str">
        <f t="shared" si="18"/>
        <v/>
      </c>
      <c r="AH115" s="28"/>
      <c r="AI115" s="31" t="str">
        <f t="shared" si="19"/>
        <v/>
      </c>
      <c r="AJ115" s="22"/>
      <c r="AK115" s="31" t="str">
        <f t="shared" si="20"/>
        <v/>
      </c>
      <c r="AL115" s="28"/>
      <c r="AM115" s="31" t="str">
        <f t="shared" si="21"/>
        <v/>
      </c>
      <c r="AN115" s="22"/>
      <c r="AO115" s="31" t="str">
        <f t="shared" si="22"/>
        <v/>
      </c>
      <c r="AP115" s="28"/>
      <c r="AQ115" s="28"/>
      <c r="AR115" s="28"/>
      <c r="AS115" s="37">
        <f t="shared" si="23"/>
        <v>0</v>
      </c>
      <c r="AT115" s="31">
        <v>0</v>
      </c>
    </row>
    <row r="116" spans="1:46">
      <c r="A116" s="28" t="s">
        <v>149</v>
      </c>
      <c r="B116" s="28"/>
      <c r="C116" s="28"/>
      <c r="D116" s="29"/>
      <c r="E116" s="30"/>
      <c r="F116" s="28"/>
      <c r="G116" s="31" t="str">
        <f t="shared" si="12"/>
        <v/>
      </c>
      <c r="H116" s="28"/>
      <c r="I116" s="28"/>
      <c r="J116" s="28"/>
      <c r="K116" s="31" t="str">
        <f t="shared" si="13"/>
        <v/>
      </c>
      <c r="L116" s="28"/>
      <c r="M116" s="33" t="str">
        <f>Sheet2!E70</f>
        <v/>
      </c>
      <c r="N116" s="28" t="s">
        <v>82</v>
      </c>
      <c r="O116" s="28"/>
      <c r="P116" s="28"/>
      <c r="Q116" s="28"/>
      <c r="R116" s="28"/>
      <c r="S116" s="36"/>
      <c r="T116" s="37">
        <f t="shared" si="14"/>
        <v>0</v>
      </c>
      <c r="U116" s="31" t="str">
        <f>Sheet2!K70</f>
        <v/>
      </c>
      <c r="V116" s="22" t="s">
        <v>82</v>
      </c>
      <c r="W116" s="22"/>
      <c r="X116" s="38" t="str">
        <f t="shared" si="15"/>
        <v/>
      </c>
      <c r="Y116" s="28"/>
      <c r="Z116" s="31" t="str">
        <f>Sheet2!N70</f>
        <v/>
      </c>
      <c r="AA116" s="28"/>
      <c r="AB116" s="28"/>
      <c r="AC116" s="31" t="str">
        <f t="shared" si="16"/>
        <v/>
      </c>
      <c r="AD116" s="40" t="str">
        <f>IFERROR(HLOOKUP(AB116,Sheet3!$K$1:$T$2,2),"")</f>
        <v/>
      </c>
      <c r="AE116" s="31" t="str">
        <f t="shared" si="17"/>
        <v/>
      </c>
      <c r="AF116" s="22"/>
      <c r="AG116" s="31" t="str">
        <f t="shared" si="18"/>
        <v/>
      </c>
      <c r="AH116" s="28"/>
      <c r="AI116" s="31" t="str">
        <f t="shared" si="19"/>
        <v/>
      </c>
      <c r="AJ116" s="22"/>
      <c r="AK116" s="31" t="str">
        <f t="shared" si="20"/>
        <v/>
      </c>
      <c r="AL116" s="28"/>
      <c r="AM116" s="31" t="str">
        <f t="shared" si="21"/>
        <v/>
      </c>
      <c r="AN116" s="22"/>
      <c r="AO116" s="31" t="str">
        <f t="shared" si="22"/>
        <v/>
      </c>
      <c r="AP116" s="28"/>
      <c r="AQ116" s="28"/>
      <c r="AR116" s="28"/>
      <c r="AS116" s="37">
        <f t="shared" si="23"/>
        <v>0</v>
      </c>
      <c r="AT116" s="31">
        <v>0</v>
      </c>
    </row>
    <row r="117" spans="1:46">
      <c r="A117" s="28" t="s">
        <v>150</v>
      </c>
      <c r="B117" s="28"/>
      <c r="C117" s="28"/>
      <c r="D117" s="29"/>
      <c r="E117" s="30"/>
      <c r="F117" s="28"/>
      <c r="G117" s="31" t="str">
        <f t="shared" si="12"/>
        <v/>
      </c>
      <c r="H117" s="28"/>
      <c r="I117" s="28"/>
      <c r="J117" s="28"/>
      <c r="K117" s="31" t="str">
        <f t="shared" si="13"/>
        <v/>
      </c>
      <c r="L117" s="28"/>
      <c r="M117" s="33" t="str">
        <f>Sheet2!E71</f>
        <v/>
      </c>
      <c r="N117" s="28" t="s">
        <v>82</v>
      </c>
      <c r="O117" s="28"/>
      <c r="P117" s="28"/>
      <c r="Q117" s="28"/>
      <c r="R117" s="28"/>
      <c r="S117" s="36"/>
      <c r="T117" s="37">
        <f t="shared" si="14"/>
        <v>0</v>
      </c>
      <c r="U117" s="31" t="str">
        <f>Sheet2!K71</f>
        <v/>
      </c>
      <c r="V117" s="22" t="s">
        <v>82</v>
      </c>
      <c r="W117" s="22"/>
      <c r="X117" s="38" t="str">
        <f t="shared" si="15"/>
        <v/>
      </c>
      <c r="Y117" s="28"/>
      <c r="Z117" s="31" t="str">
        <f>Sheet2!N71</f>
        <v/>
      </c>
      <c r="AA117" s="28"/>
      <c r="AB117" s="28"/>
      <c r="AC117" s="31" t="str">
        <f t="shared" si="16"/>
        <v/>
      </c>
      <c r="AD117" s="40" t="str">
        <f>IFERROR(HLOOKUP(AB117,Sheet3!$K$1:$T$2,2),"")</f>
        <v/>
      </c>
      <c r="AE117" s="31" t="str">
        <f t="shared" si="17"/>
        <v/>
      </c>
      <c r="AF117" s="22"/>
      <c r="AG117" s="31" t="str">
        <f t="shared" si="18"/>
        <v/>
      </c>
      <c r="AH117" s="28"/>
      <c r="AI117" s="31" t="str">
        <f t="shared" si="19"/>
        <v/>
      </c>
      <c r="AJ117" s="22"/>
      <c r="AK117" s="31" t="str">
        <f t="shared" si="20"/>
        <v/>
      </c>
      <c r="AL117" s="28"/>
      <c r="AM117" s="31" t="str">
        <f t="shared" si="21"/>
        <v/>
      </c>
      <c r="AN117" s="22"/>
      <c r="AO117" s="31" t="str">
        <f t="shared" si="22"/>
        <v/>
      </c>
      <c r="AP117" s="28"/>
      <c r="AQ117" s="28"/>
      <c r="AR117" s="28"/>
      <c r="AS117" s="37">
        <f t="shared" si="23"/>
        <v>0</v>
      </c>
      <c r="AT117" s="31">
        <v>0</v>
      </c>
    </row>
    <row r="118" spans="1:46">
      <c r="A118" s="28" t="s">
        <v>151</v>
      </c>
      <c r="B118" s="28"/>
      <c r="C118" s="28"/>
      <c r="D118" s="29"/>
      <c r="E118" s="30"/>
      <c r="F118" s="28"/>
      <c r="G118" s="31" t="str">
        <f t="shared" si="12"/>
        <v/>
      </c>
      <c r="H118" s="28"/>
      <c r="I118" s="28"/>
      <c r="J118" s="28"/>
      <c r="K118" s="31" t="str">
        <f t="shared" si="13"/>
        <v/>
      </c>
      <c r="L118" s="28"/>
      <c r="M118" s="33" t="str">
        <f>Sheet2!E72</f>
        <v/>
      </c>
      <c r="N118" s="28" t="s">
        <v>82</v>
      </c>
      <c r="O118" s="28"/>
      <c r="P118" s="28"/>
      <c r="Q118" s="28"/>
      <c r="R118" s="28"/>
      <c r="S118" s="36"/>
      <c r="T118" s="37">
        <f t="shared" si="14"/>
        <v>0</v>
      </c>
      <c r="U118" s="31" t="str">
        <f>Sheet2!K72</f>
        <v/>
      </c>
      <c r="V118" s="22" t="s">
        <v>82</v>
      </c>
      <c r="W118" s="22"/>
      <c r="X118" s="38" t="str">
        <f t="shared" si="15"/>
        <v/>
      </c>
      <c r="Y118" s="28"/>
      <c r="Z118" s="31" t="str">
        <f>Sheet2!N72</f>
        <v/>
      </c>
      <c r="AA118" s="28"/>
      <c r="AB118" s="28"/>
      <c r="AC118" s="31" t="str">
        <f t="shared" si="16"/>
        <v/>
      </c>
      <c r="AD118" s="40" t="str">
        <f>IFERROR(HLOOKUP(AB118,Sheet3!$K$1:$T$2,2),"")</f>
        <v/>
      </c>
      <c r="AE118" s="31" t="str">
        <f t="shared" si="17"/>
        <v/>
      </c>
      <c r="AF118" s="22"/>
      <c r="AG118" s="31" t="str">
        <f t="shared" si="18"/>
        <v/>
      </c>
      <c r="AH118" s="28"/>
      <c r="AI118" s="31" t="str">
        <f t="shared" si="19"/>
        <v/>
      </c>
      <c r="AJ118" s="22"/>
      <c r="AK118" s="31" t="str">
        <f t="shared" si="20"/>
        <v/>
      </c>
      <c r="AL118" s="28"/>
      <c r="AM118" s="31" t="str">
        <f t="shared" si="21"/>
        <v/>
      </c>
      <c r="AN118" s="22"/>
      <c r="AO118" s="31" t="str">
        <f t="shared" si="22"/>
        <v/>
      </c>
      <c r="AP118" s="28"/>
      <c r="AQ118" s="28"/>
      <c r="AR118" s="28"/>
      <c r="AS118" s="37">
        <f t="shared" si="23"/>
        <v>0</v>
      </c>
      <c r="AT118" s="31">
        <v>0</v>
      </c>
    </row>
    <row r="119" spans="1:46">
      <c r="A119" s="28" t="s">
        <v>152</v>
      </c>
      <c r="B119" s="28"/>
      <c r="C119" s="28"/>
      <c r="D119" s="29"/>
      <c r="E119" s="30"/>
      <c r="F119" s="28"/>
      <c r="G119" s="31" t="str">
        <f t="shared" si="12"/>
        <v/>
      </c>
      <c r="H119" s="28"/>
      <c r="I119" s="28"/>
      <c r="J119" s="28"/>
      <c r="K119" s="31" t="str">
        <f t="shared" si="13"/>
        <v/>
      </c>
      <c r="L119" s="28"/>
      <c r="M119" s="33" t="str">
        <f>Sheet2!E73</f>
        <v/>
      </c>
      <c r="N119" s="28" t="s">
        <v>82</v>
      </c>
      <c r="O119" s="28"/>
      <c r="P119" s="28"/>
      <c r="Q119" s="28"/>
      <c r="R119" s="28"/>
      <c r="S119" s="36"/>
      <c r="T119" s="37">
        <f t="shared" si="14"/>
        <v>0</v>
      </c>
      <c r="U119" s="31" t="str">
        <f>Sheet2!K73</f>
        <v/>
      </c>
      <c r="V119" s="22" t="s">
        <v>82</v>
      </c>
      <c r="W119" s="22"/>
      <c r="X119" s="38" t="str">
        <f t="shared" si="15"/>
        <v/>
      </c>
      <c r="Y119" s="28"/>
      <c r="Z119" s="31" t="str">
        <f>Sheet2!N73</f>
        <v/>
      </c>
      <c r="AA119" s="28"/>
      <c r="AB119" s="28"/>
      <c r="AC119" s="31" t="str">
        <f t="shared" si="16"/>
        <v/>
      </c>
      <c r="AD119" s="40" t="str">
        <f>IFERROR(HLOOKUP(AB119,Sheet3!$K$1:$T$2,2),"")</f>
        <v/>
      </c>
      <c r="AE119" s="31" t="str">
        <f t="shared" si="17"/>
        <v/>
      </c>
      <c r="AF119" s="22"/>
      <c r="AG119" s="31" t="str">
        <f t="shared" si="18"/>
        <v/>
      </c>
      <c r="AH119" s="28"/>
      <c r="AI119" s="31" t="str">
        <f t="shared" si="19"/>
        <v/>
      </c>
      <c r="AJ119" s="22"/>
      <c r="AK119" s="31" t="str">
        <f t="shared" si="20"/>
        <v/>
      </c>
      <c r="AL119" s="28"/>
      <c r="AM119" s="31" t="str">
        <f t="shared" si="21"/>
        <v/>
      </c>
      <c r="AN119" s="22"/>
      <c r="AO119" s="31" t="str">
        <f t="shared" si="22"/>
        <v/>
      </c>
      <c r="AP119" s="28"/>
      <c r="AQ119" s="28"/>
      <c r="AR119" s="28"/>
      <c r="AS119" s="37">
        <f t="shared" si="23"/>
        <v>0</v>
      </c>
      <c r="AT119" s="31">
        <v>0</v>
      </c>
    </row>
    <row r="120" spans="1:46">
      <c r="A120" s="28" t="s">
        <v>153</v>
      </c>
      <c r="B120" s="28"/>
      <c r="C120" s="28"/>
      <c r="D120" s="29"/>
      <c r="E120" s="30"/>
      <c r="F120" s="28"/>
      <c r="G120" s="31" t="str">
        <f t="shared" si="12"/>
        <v/>
      </c>
      <c r="H120" s="28"/>
      <c r="I120" s="28"/>
      <c r="J120" s="28"/>
      <c r="K120" s="31" t="str">
        <f t="shared" si="13"/>
        <v/>
      </c>
      <c r="L120" s="28"/>
      <c r="M120" s="33" t="str">
        <f>Sheet2!E74</f>
        <v/>
      </c>
      <c r="N120" s="28" t="s">
        <v>82</v>
      </c>
      <c r="O120" s="28"/>
      <c r="P120" s="28"/>
      <c r="Q120" s="28"/>
      <c r="R120" s="28"/>
      <c r="S120" s="36"/>
      <c r="T120" s="37">
        <f t="shared" si="14"/>
        <v>0</v>
      </c>
      <c r="U120" s="31" t="str">
        <f>Sheet2!K74</f>
        <v/>
      </c>
      <c r="V120" s="22" t="s">
        <v>82</v>
      </c>
      <c r="W120" s="22"/>
      <c r="X120" s="38" t="str">
        <f t="shared" si="15"/>
        <v/>
      </c>
      <c r="Y120" s="28"/>
      <c r="Z120" s="31" t="str">
        <f>Sheet2!N74</f>
        <v/>
      </c>
      <c r="AA120" s="28"/>
      <c r="AB120" s="28"/>
      <c r="AC120" s="31" t="str">
        <f t="shared" si="16"/>
        <v/>
      </c>
      <c r="AD120" s="40" t="str">
        <f>IFERROR(HLOOKUP(AB120,Sheet3!$K$1:$T$2,2),"")</f>
        <v/>
      </c>
      <c r="AE120" s="31" t="str">
        <f t="shared" si="17"/>
        <v/>
      </c>
      <c r="AF120" s="22"/>
      <c r="AG120" s="31" t="str">
        <f t="shared" si="18"/>
        <v/>
      </c>
      <c r="AH120" s="28"/>
      <c r="AI120" s="31" t="str">
        <f t="shared" si="19"/>
        <v/>
      </c>
      <c r="AJ120" s="22"/>
      <c r="AK120" s="31" t="str">
        <f t="shared" si="20"/>
        <v/>
      </c>
      <c r="AL120" s="28"/>
      <c r="AM120" s="31" t="str">
        <f t="shared" si="21"/>
        <v/>
      </c>
      <c r="AN120" s="22"/>
      <c r="AO120" s="31" t="str">
        <f t="shared" si="22"/>
        <v/>
      </c>
      <c r="AP120" s="28"/>
      <c r="AQ120" s="28"/>
      <c r="AR120" s="28"/>
      <c r="AS120" s="37">
        <f t="shared" si="23"/>
        <v>0</v>
      </c>
      <c r="AT120" s="31">
        <v>0</v>
      </c>
    </row>
    <row r="121" spans="1:46">
      <c r="A121" s="28" t="s">
        <v>154</v>
      </c>
      <c r="B121" s="28"/>
      <c r="C121" s="28"/>
      <c r="D121" s="29"/>
      <c r="E121" s="30"/>
      <c r="F121" s="28"/>
      <c r="G121" s="31" t="str">
        <f>IFERROR(VLOOKUP(H121,$A$1:$B$40,2,FALSE),"")</f>
        <v/>
      </c>
      <c r="H121" s="28"/>
      <c r="I121" s="28"/>
      <c r="J121" s="28"/>
      <c r="K121" s="31" t="str">
        <f t="shared" si="13"/>
        <v/>
      </c>
      <c r="L121" s="28"/>
      <c r="M121" s="33" t="str">
        <f>Sheet2!E75</f>
        <v/>
      </c>
      <c r="N121" s="28" t="s">
        <v>82</v>
      </c>
      <c r="O121" s="28"/>
      <c r="P121" s="28"/>
      <c r="Q121" s="28"/>
      <c r="R121" s="28"/>
      <c r="S121" s="36"/>
      <c r="T121" s="37">
        <f t="shared" si="14"/>
        <v>0</v>
      </c>
      <c r="U121" s="31" t="str">
        <f>Sheet2!K75</f>
        <v/>
      </c>
      <c r="V121" s="22" t="s">
        <v>82</v>
      </c>
      <c r="W121" s="22"/>
      <c r="X121" s="38" t="str">
        <f t="shared" si="15"/>
        <v/>
      </c>
      <c r="Y121" s="28"/>
      <c r="Z121" s="31" t="str">
        <f>Sheet2!N75</f>
        <v/>
      </c>
      <c r="AA121" s="28"/>
      <c r="AB121" s="28"/>
      <c r="AC121" s="31" t="str">
        <f t="shared" si="16"/>
        <v/>
      </c>
      <c r="AD121" s="40" t="str">
        <f>IFERROR(HLOOKUP(AB121,Sheet3!$K$1:$T$2,2),"")</f>
        <v/>
      </c>
      <c r="AE121" s="31" t="str">
        <f t="shared" si="17"/>
        <v/>
      </c>
      <c r="AF121" s="22"/>
      <c r="AG121" s="31" t="str">
        <f t="shared" si="18"/>
        <v/>
      </c>
      <c r="AH121" s="28"/>
      <c r="AI121" s="31" t="str">
        <f t="shared" si="19"/>
        <v/>
      </c>
      <c r="AJ121" s="22"/>
      <c r="AK121" s="31" t="str">
        <f t="shared" si="20"/>
        <v/>
      </c>
      <c r="AL121" s="28"/>
      <c r="AM121" s="31" t="str">
        <f t="shared" si="21"/>
        <v/>
      </c>
      <c r="AN121" s="22"/>
      <c r="AO121" s="31" t="str">
        <f t="shared" si="22"/>
        <v/>
      </c>
      <c r="AP121" s="28"/>
      <c r="AQ121" s="28"/>
      <c r="AR121" s="28"/>
      <c r="AS121" s="37">
        <f t="shared" si="23"/>
        <v>0</v>
      </c>
      <c r="AT121" s="31">
        <v>0</v>
      </c>
    </row>
    <row r="122" spans="1:46">
      <c r="A122" s="28" t="s">
        <v>155</v>
      </c>
      <c r="B122" s="28"/>
      <c r="C122" s="28"/>
      <c r="D122" s="29"/>
      <c r="E122" s="30"/>
      <c r="F122" s="28"/>
      <c r="G122" s="31" t="str">
        <f t="shared" ref="G122:G133" si="24">IFERROR(VLOOKUP(H122,$A$1:$B$40,2,FALSE),"")</f>
        <v/>
      </c>
      <c r="H122" s="28"/>
      <c r="I122" s="28"/>
      <c r="J122" s="28"/>
      <c r="K122" s="31" t="str">
        <f t="shared" si="13"/>
        <v/>
      </c>
      <c r="L122" s="28"/>
      <c r="M122" s="33" t="str">
        <f>Sheet2!E76</f>
        <v/>
      </c>
      <c r="N122" s="28" t="s">
        <v>82</v>
      </c>
      <c r="O122" s="28"/>
      <c r="P122" s="28"/>
      <c r="Q122" s="28"/>
      <c r="R122" s="28"/>
      <c r="S122" s="36"/>
      <c r="T122" s="37">
        <f t="shared" si="14"/>
        <v>0</v>
      </c>
      <c r="U122" s="31" t="str">
        <f>Sheet2!K76</f>
        <v/>
      </c>
      <c r="V122" s="22" t="s">
        <v>82</v>
      </c>
      <c r="W122" s="22"/>
      <c r="X122" s="38" t="str">
        <f t="shared" si="15"/>
        <v/>
      </c>
      <c r="Y122" s="28"/>
      <c r="Z122" s="31" t="str">
        <f>Sheet2!N76</f>
        <v/>
      </c>
      <c r="AA122" s="28"/>
      <c r="AB122" s="28"/>
      <c r="AC122" s="31" t="str">
        <f t="shared" si="16"/>
        <v/>
      </c>
      <c r="AD122" s="40" t="str">
        <f>IFERROR(HLOOKUP(AB122,Sheet3!$K$1:$T$2,2),"")</f>
        <v/>
      </c>
      <c r="AE122" s="31" t="str">
        <f t="shared" si="17"/>
        <v/>
      </c>
      <c r="AF122" s="22"/>
      <c r="AG122" s="31" t="str">
        <f t="shared" si="18"/>
        <v/>
      </c>
      <c r="AH122" s="28"/>
      <c r="AI122" s="31" t="str">
        <f t="shared" si="19"/>
        <v/>
      </c>
      <c r="AJ122" s="22"/>
      <c r="AK122" s="31" t="str">
        <f t="shared" si="20"/>
        <v/>
      </c>
      <c r="AL122" s="28"/>
      <c r="AM122" s="31" t="str">
        <f t="shared" si="21"/>
        <v/>
      </c>
      <c r="AN122" s="22"/>
      <c r="AO122" s="31" t="str">
        <f t="shared" si="22"/>
        <v/>
      </c>
      <c r="AP122" s="28"/>
      <c r="AQ122" s="28"/>
      <c r="AR122" s="28"/>
      <c r="AS122" s="37">
        <f t="shared" si="23"/>
        <v>0</v>
      </c>
      <c r="AT122" s="31">
        <v>0</v>
      </c>
    </row>
    <row r="123" spans="1:46">
      <c r="A123" s="28" t="s">
        <v>156</v>
      </c>
      <c r="B123" s="28"/>
      <c r="C123" s="28"/>
      <c r="D123" s="29"/>
      <c r="E123" s="30"/>
      <c r="F123" s="28"/>
      <c r="G123" s="31" t="str">
        <f t="shared" si="24"/>
        <v/>
      </c>
      <c r="H123" s="28"/>
      <c r="I123" s="28"/>
      <c r="J123" s="28"/>
      <c r="K123" s="31" t="str">
        <f t="shared" si="13"/>
        <v/>
      </c>
      <c r="L123" s="28"/>
      <c r="M123" s="33" t="str">
        <f>Sheet2!E77</f>
        <v/>
      </c>
      <c r="N123" s="28" t="s">
        <v>82</v>
      </c>
      <c r="O123" s="28"/>
      <c r="P123" s="28"/>
      <c r="Q123" s="28"/>
      <c r="R123" s="28"/>
      <c r="S123" s="36"/>
      <c r="T123" s="37">
        <f t="shared" si="14"/>
        <v>0</v>
      </c>
      <c r="U123" s="31" t="str">
        <f>Sheet2!K77</f>
        <v/>
      </c>
      <c r="V123" s="22" t="s">
        <v>82</v>
      </c>
      <c r="W123" s="22"/>
      <c r="X123" s="38" t="str">
        <f t="shared" si="15"/>
        <v/>
      </c>
      <c r="Y123" s="28"/>
      <c r="Z123" s="31" t="str">
        <f>Sheet2!N77</f>
        <v/>
      </c>
      <c r="AA123" s="28"/>
      <c r="AB123" s="28"/>
      <c r="AC123" s="31" t="str">
        <f t="shared" si="16"/>
        <v/>
      </c>
      <c r="AD123" s="40" t="str">
        <f>IFERROR(HLOOKUP(AB123,Sheet3!$K$1:$T$2,2),"")</f>
        <v/>
      </c>
      <c r="AE123" s="31" t="str">
        <f t="shared" si="17"/>
        <v/>
      </c>
      <c r="AF123" s="22"/>
      <c r="AG123" s="31" t="str">
        <f t="shared" si="18"/>
        <v/>
      </c>
      <c r="AH123" s="28"/>
      <c r="AI123" s="31" t="str">
        <f t="shared" si="19"/>
        <v/>
      </c>
      <c r="AJ123" s="22"/>
      <c r="AK123" s="31" t="str">
        <f t="shared" si="20"/>
        <v/>
      </c>
      <c r="AL123" s="28"/>
      <c r="AM123" s="31" t="str">
        <f t="shared" si="21"/>
        <v/>
      </c>
      <c r="AN123" s="22"/>
      <c r="AO123" s="31" t="str">
        <f t="shared" si="22"/>
        <v/>
      </c>
      <c r="AP123" s="28"/>
      <c r="AQ123" s="28"/>
      <c r="AR123" s="28"/>
      <c r="AS123" s="37">
        <f t="shared" si="23"/>
        <v>0</v>
      </c>
      <c r="AT123" s="31">
        <v>0</v>
      </c>
    </row>
    <row r="124" spans="1:46">
      <c r="A124" s="28" t="s">
        <v>157</v>
      </c>
      <c r="B124" s="28"/>
      <c r="C124" s="28"/>
      <c r="D124" s="29"/>
      <c r="E124" s="30"/>
      <c r="F124" s="28"/>
      <c r="G124" s="31" t="str">
        <f t="shared" si="24"/>
        <v/>
      </c>
      <c r="H124" s="28"/>
      <c r="I124" s="28"/>
      <c r="J124" s="28"/>
      <c r="K124" s="31" t="str">
        <f t="shared" si="13"/>
        <v/>
      </c>
      <c r="L124" s="28"/>
      <c r="M124" s="33" t="str">
        <f>Sheet2!E78</f>
        <v/>
      </c>
      <c r="N124" s="28" t="s">
        <v>82</v>
      </c>
      <c r="O124" s="28"/>
      <c r="P124" s="28"/>
      <c r="Q124" s="28"/>
      <c r="R124" s="28"/>
      <c r="S124" s="36"/>
      <c r="T124" s="37">
        <f t="shared" si="14"/>
        <v>0</v>
      </c>
      <c r="U124" s="31" t="str">
        <f>Sheet2!K78</f>
        <v/>
      </c>
      <c r="V124" s="22" t="s">
        <v>82</v>
      </c>
      <c r="W124" s="22"/>
      <c r="X124" s="38" t="str">
        <f t="shared" si="15"/>
        <v/>
      </c>
      <c r="Y124" s="28"/>
      <c r="Z124" s="31" t="str">
        <f>Sheet2!N78</f>
        <v/>
      </c>
      <c r="AA124" s="28"/>
      <c r="AB124" s="28"/>
      <c r="AC124" s="31" t="str">
        <f t="shared" si="16"/>
        <v/>
      </c>
      <c r="AD124" s="40" t="str">
        <f>IFERROR(HLOOKUP(AB124,Sheet3!$K$1:$T$2,2),"")</f>
        <v/>
      </c>
      <c r="AE124" s="31" t="str">
        <f t="shared" si="17"/>
        <v/>
      </c>
      <c r="AF124" s="22"/>
      <c r="AG124" s="31" t="str">
        <f t="shared" si="18"/>
        <v/>
      </c>
      <c r="AH124" s="28"/>
      <c r="AI124" s="31" t="str">
        <f t="shared" si="19"/>
        <v/>
      </c>
      <c r="AJ124" s="22"/>
      <c r="AK124" s="31" t="str">
        <f t="shared" si="20"/>
        <v/>
      </c>
      <c r="AL124" s="28"/>
      <c r="AM124" s="31" t="str">
        <f t="shared" si="21"/>
        <v/>
      </c>
      <c r="AN124" s="22"/>
      <c r="AO124" s="31" t="str">
        <f t="shared" si="22"/>
        <v/>
      </c>
      <c r="AP124" s="28"/>
      <c r="AQ124" s="28"/>
      <c r="AR124" s="28"/>
      <c r="AS124" s="37">
        <f t="shared" si="23"/>
        <v>0</v>
      </c>
      <c r="AT124" s="31">
        <v>0</v>
      </c>
    </row>
    <row r="125" spans="1:46">
      <c r="A125" s="28" t="s">
        <v>158</v>
      </c>
      <c r="B125" s="28"/>
      <c r="C125" s="28"/>
      <c r="D125" s="29"/>
      <c r="E125" s="30"/>
      <c r="F125" s="28"/>
      <c r="G125" s="31" t="str">
        <f t="shared" si="24"/>
        <v/>
      </c>
      <c r="H125" s="28"/>
      <c r="I125" s="28"/>
      <c r="J125" s="28"/>
      <c r="K125" s="31" t="str">
        <f t="shared" si="13"/>
        <v/>
      </c>
      <c r="L125" s="28"/>
      <c r="M125" s="33" t="str">
        <f>Sheet2!E79</f>
        <v/>
      </c>
      <c r="N125" s="28" t="s">
        <v>82</v>
      </c>
      <c r="O125" s="28"/>
      <c r="P125" s="28"/>
      <c r="Q125" s="28"/>
      <c r="R125" s="28"/>
      <c r="S125" s="36"/>
      <c r="T125" s="37">
        <f t="shared" si="14"/>
        <v>0</v>
      </c>
      <c r="U125" s="31" t="str">
        <f>Sheet2!K79</f>
        <v/>
      </c>
      <c r="V125" s="22" t="s">
        <v>82</v>
      </c>
      <c r="W125" s="22"/>
      <c r="X125" s="38" t="str">
        <f t="shared" si="15"/>
        <v/>
      </c>
      <c r="Y125" s="28"/>
      <c r="Z125" s="31" t="str">
        <f>Sheet2!N79</f>
        <v/>
      </c>
      <c r="AA125" s="28"/>
      <c r="AB125" s="28"/>
      <c r="AC125" s="31" t="str">
        <f t="shared" si="16"/>
        <v/>
      </c>
      <c r="AD125" s="40" t="str">
        <f>IFERROR(HLOOKUP(AB125,Sheet3!$K$1:$T$2,2),"")</f>
        <v/>
      </c>
      <c r="AE125" s="31" t="str">
        <f t="shared" si="17"/>
        <v/>
      </c>
      <c r="AF125" s="22"/>
      <c r="AG125" s="31" t="str">
        <f t="shared" si="18"/>
        <v/>
      </c>
      <c r="AH125" s="28"/>
      <c r="AI125" s="31" t="str">
        <f t="shared" si="19"/>
        <v/>
      </c>
      <c r="AJ125" s="22"/>
      <c r="AK125" s="31" t="str">
        <f t="shared" si="20"/>
        <v/>
      </c>
      <c r="AL125" s="28"/>
      <c r="AM125" s="31" t="str">
        <f t="shared" si="21"/>
        <v/>
      </c>
      <c r="AN125" s="22"/>
      <c r="AO125" s="31" t="str">
        <f t="shared" si="22"/>
        <v/>
      </c>
      <c r="AP125" s="28"/>
      <c r="AQ125" s="28"/>
      <c r="AR125" s="28"/>
      <c r="AS125" s="37">
        <f t="shared" si="23"/>
        <v>0</v>
      </c>
      <c r="AT125" s="31">
        <v>0</v>
      </c>
    </row>
    <row r="126" spans="1:46">
      <c r="A126" s="28" t="s">
        <v>159</v>
      </c>
      <c r="B126" s="28"/>
      <c r="C126" s="28"/>
      <c r="D126" s="29"/>
      <c r="E126" s="30"/>
      <c r="F126" s="28"/>
      <c r="G126" s="31" t="str">
        <f t="shared" si="24"/>
        <v/>
      </c>
      <c r="H126" s="28"/>
      <c r="I126" s="28"/>
      <c r="J126" s="28"/>
      <c r="K126" s="31" t="str">
        <f t="shared" si="13"/>
        <v/>
      </c>
      <c r="L126" s="28"/>
      <c r="M126" s="33" t="str">
        <f>Sheet2!E80</f>
        <v/>
      </c>
      <c r="N126" s="28" t="s">
        <v>82</v>
      </c>
      <c r="O126" s="28"/>
      <c r="P126" s="28"/>
      <c r="Q126" s="28"/>
      <c r="R126" s="28"/>
      <c r="S126" s="36"/>
      <c r="T126" s="37">
        <f t="shared" si="14"/>
        <v>0</v>
      </c>
      <c r="U126" s="31" t="str">
        <f>Sheet2!K80</f>
        <v/>
      </c>
      <c r="V126" s="22" t="s">
        <v>82</v>
      </c>
      <c r="W126" s="22"/>
      <c r="X126" s="38" t="str">
        <f t="shared" si="15"/>
        <v/>
      </c>
      <c r="Y126" s="28"/>
      <c r="Z126" s="31" t="str">
        <f>Sheet2!N80</f>
        <v/>
      </c>
      <c r="AA126" s="28"/>
      <c r="AB126" s="28"/>
      <c r="AC126" s="31" t="str">
        <f t="shared" si="16"/>
        <v/>
      </c>
      <c r="AD126" s="40" t="str">
        <f>IFERROR(HLOOKUP(AB126,Sheet3!$K$1:$T$2,2),"")</f>
        <v/>
      </c>
      <c r="AE126" s="31" t="str">
        <f t="shared" si="17"/>
        <v/>
      </c>
      <c r="AF126" s="22"/>
      <c r="AG126" s="31" t="str">
        <f t="shared" si="18"/>
        <v/>
      </c>
      <c r="AH126" s="28"/>
      <c r="AI126" s="31" t="str">
        <f t="shared" si="19"/>
        <v/>
      </c>
      <c r="AJ126" s="22"/>
      <c r="AK126" s="31" t="str">
        <f t="shared" si="20"/>
        <v/>
      </c>
      <c r="AL126" s="28"/>
      <c r="AM126" s="31" t="str">
        <f t="shared" si="21"/>
        <v/>
      </c>
      <c r="AN126" s="22"/>
      <c r="AO126" s="31" t="str">
        <f t="shared" si="22"/>
        <v/>
      </c>
      <c r="AP126" s="28"/>
      <c r="AQ126" s="28"/>
      <c r="AR126" s="28"/>
      <c r="AS126" s="37">
        <f t="shared" si="23"/>
        <v>0</v>
      </c>
      <c r="AT126" s="31">
        <v>0</v>
      </c>
    </row>
    <row r="127" spans="1:46">
      <c r="A127" s="28" t="s">
        <v>160</v>
      </c>
      <c r="B127" s="28"/>
      <c r="C127" s="28"/>
      <c r="D127" s="29"/>
      <c r="E127" s="30"/>
      <c r="F127" s="28"/>
      <c r="G127" s="31" t="str">
        <f t="shared" si="24"/>
        <v/>
      </c>
      <c r="H127" s="28"/>
      <c r="I127" s="28"/>
      <c r="J127" s="28"/>
      <c r="K127" s="31" t="str">
        <f t="shared" si="13"/>
        <v/>
      </c>
      <c r="L127" s="28"/>
      <c r="M127" s="33" t="str">
        <f>Sheet2!E81</f>
        <v/>
      </c>
      <c r="N127" s="28" t="s">
        <v>82</v>
      </c>
      <c r="O127" s="28"/>
      <c r="P127" s="28"/>
      <c r="Q127" s="28"/>
      <c r="R127" s="28"/>
      <c r="S127" s="36"/>
      <c r="T127" s="37">
        <f t="shared" si="14"/>
        <v>0</v>
      </c>
      <c r="U127" s="31" t="str">
        <f>Sheet2!K81</f>
        <v/>
      </c>
      <c r="V127" s="22" t="s">
        <v>82</v>
      </c>
      <c r="W127" s="22"/>
      <c r="X127" s="38" t="str">
        <f t="shared" si="15"/>
        <v/>
      </c>
      <c r="Y127" s="28"/>
      <c r="Z127" s="31" t="str">
        <f>Sheet2!N81</f>
        <v/>
      </c>
      <c r="AA127" s="28"/>
      <c r="AB127" s="28"/>
      <c r="AC127" s="31" t="str">
        <f t="shared" si="16"/>
        <v/>
      </c>
      <c r="AD127" s="40" t="str">
        <f>IFERROR(HLOOKUP(AB127,Sheet3!$K$1:$T$2,2),"")</f>
        <v/>
      </c>
      <c r="AE127" s="31" t="str">
        <f t="shared" si="17"/>
        <v/>
      </c>
      <c r="AF127" s="22"/>
      <c r="AG127" s="31" t="str">
        <f t="shared" si="18"/>
        <v/>
      </c>
      <c r="AH127" s="28"/>
      <c r="AI127" s="31" t="str">
        <f t="shared" si="19"/>
        <v/>
      </c>
      <c r="AJ127" s="22"/>
      <c r="AK127" s="31" t="str">
        <f t="shared" si="20"/>
        <v/>
      </c>
      <c r="AL127" s="28"/>
      <c r="AM127" s="31" t="str">
        <f t="shared" si="21"/>
        <v/>
      </c>
      <c r="AN127" s="22"/>
      <c r="AO127" s="31" t="str">
        <f t="shared" si="22"/>
        <v/>
      </c>
      <c r="AP127" s="28"/>
      <c r="AQ127" s="28"/>
      <c r="AR127" s="28"/>
      <c r="AS127" s="37">
        <f t="shared" si="23"/>
        <v>0</v>
      </c>
      <c r="AT127" s="31">
        <v>0</v>
      </c>
    </row>
    <row r="128" spans="1:46">
      <c r="A128" s="28" t="s">
        <v>161</v>
      </c>
      <c r="B128" s="28"/>
      <c r="C128" s="28"/>
      <c r="D128" s="29"/>
      <c r="E128" s="30"/>
      <c r="F128" s="28"/>
      <c r="G128" s="31" t="str">
        <f t="shared" si="24"/>
        <v/>
      </c>
      <c r="H128" s="28"/>
      <c r="I128" s="28"/>
      <c r="J128" s="28"/>
      <c r="K128" s="31" t="str">
        <f t="shared" si="13"/>
        <v/>
      </c>
      <c r="L128" s="28"/>
      <c r="M128" s="33" t="str">
        <f>Sheet2!E82</f>
        <v/>
      </c>
      <c r="N128" s="28" t="s">
        <v>82</v>
      </c>
      <c r="O128" s="28"/>
      <c r="P128" s="28"/>
      <c r="Q128" s="28"/>
      <c r="R128" s="28"/>
      <c r="S128" s="36"/>
      <c r="T128" s="37">
        <f t="shared" si="14"/>
        <v>0</v>
      </c>
      <c r="U128" s="31" t="str">
        <f>Sheet2!K82</f>
        <v/>
      </c>
      <c r="V128" s="22" t="s">
        <v>82</v>
      </c>
      <c r="W128" s="22"/>
      <c r="X128" s="38" t="str">
        <f t="shared" si="15"/>
        <v/>
      </c>
      <c r="Y128" s="28"/>
      <c r="Z128" s="31" t="str">
        <f>Sheet2!N82</f>
        <v/>
      </c>
      <c r="AA128" s="28"/>
      <c r="AB128" s="28"/>
      <c r="AC128" s="31" t="str">
        <f t="shared" si="16"/>
        <v/>
      </c>
      <c r="AD128" s="40" t="str">
        <f>IFERROR(HLOOKUP(AB128,Sheet3!$K$1:$T$2,2),"")</f>
        <v/>
      </c>
      <c r="AE128" s="31" t="str">
        <f t="shared" si="17"/>
        <v/>
      </c>
      <c r="AF128" s="22"/>
      <c r="AG128" s="31" t="str">
        <f t="shared" si="18"/>
        <v/>
      </c>
      <c r="AH128" s="28"/>
      <c r="AI128" s="31" t="str">
        <f t="shared" si="19"/>
        <v/>
      </c>
      <c r="AJ128" s="22"/>
      <c r="AK128" s="31" t="str">
        <f t="shared" si="20"/>
        <v/>
      </c>
      <c r="AL128" s="28"/>
      <c r="AM128" s="31" t="str">
        <f t="shared" si="21"/>
        <v/>
      </c>
      <c r="AN128" s="22"/>
      <c r="AO128" s="31" t="str">
        <f t="shared" si="22"/>
        <v/>
      </c>
      <c r="AP128" s="28"/>
      <c r="AQ128" s="28"/>
      <c r="AR128" s="28"/>
      <c r="AS128" s="37">
        <f t="shared" si="23"/>
        <v>0</v>
      </c>
      <c r="AT128" s="31">
        <v>0</v>
      </c>
    </row>
    <row r="129" spans="1:46">
      <c r="A129" s="28" t="s">
        <v>162</v>
      </c>
      <c r="B129" s="28"/>
      <c r="C129" s="28"/>
      <c r="D129" s="29"/>
      <c r="E129" s="30"/>
      <c r="F129" s="28"/>
      <c r="G129" s="31" t="str">
        <f t="shared" si="24"/>
        <v/>
      </c>
      <c r="H129" s="28"/>
      <c r="I129" s="28"/>
      <c r="J129" s="28"/>
      <c r="K129" s="31" t="str">
        <f t="shared" si="13"/>
        <v/>
      </c>
      <c r="L129" s="28"/>
      <c r="M129" s="33" t="str">
        <f>Sheet2!E83</f>
        <v/>
      </c>
      <c r="N129" s="28" t="s">
        <v>82</v>
      </c>
      <c r="O129" s="28"/>
      <c r="P129" s="28"/>
      <c r="Q129" s="28"/>
      <c r="R129" s="28"/>
      <c r="S129" s="36"/>
      <c r="T129" s="37">
        <f t="shared" si="14"/>
        <v>0</v>
      </c>
      <c r="U129" s="31" t="str">
        <f>Sheet2!K83</f>
        <v/>
      </c>
      <c r="V129" s="22" t="s">
        <v>82</v>
      </c>
      <c r="W129" s="22"/>
      <c r="X129" s="38" t="str">
        <f t="shared" si="15"/>
        <v/>
      </c>
      <c r="Y129" s="28"/>
      <c r="Z129" s="31" t="str">
        <f>Sheet2!N83</f>
        <v/>
      </c>
      <c r="AA129" s="28"/>
      <c r="AB129" s="28"/>
      <c r="AC129" s="31" t="str">
        <f t="shared" si="16"/>
        <v/>
      </c>
      <c r="AD129" s="40" t="str">
        <f>IFERROR(HLOOKUP(AB129,Sheet3!$K$1:$T$2,2),"")</f>
        <v/>
      </c>
      <c r="AE129" s="31" t="str">
        <f t="shared" si="17"/>
        <v/>
      </c>
      <c r="AF129" s="22"/>
      <c r="AG129" s="31" t="str">
        <f t="shared" si="18"/>
        <v/>
      </c>
      <c r="AH129" s="28"/>
      <c r="AI129" s="31" t="str">
        <f t="shared" si="19"/>
        <v/>
      </c>
      <c r="AJ129" s="22"/>
      <c r="AK129" s="31" t="str">
        <f t="shared" si="20"/>
        <v/>
      </c>
      <c r="AL129" s="28"/>
      <c r="AM129" s="31" t="str">
        <f t="shared" si="21"/>
        <v/>
      </c>
      <c r="AN129" s="22"/>
      <c r="AO129" s="31" t="str">
        <f t="shared" si="22"/>
        <v/>
      </c>
      <c r="AP129" s="28"/>
      <c r="AQ129" s="28"/>
      <c r="AR129" s="28"/>
      <c r="AS129" s="37">
        <f t="shared" si="23"/>
        <v>0</v>
      </c>
      <c r="AT129" s="31">
        <v>0</v>
      </c>
    </row>
    <row r="130" spans="1:46">
      <c r="A130" s="28" t="s">
        <v>163</v>
      </c>
      <c r="B130" s="28"/>
      <c r="C130" s="28"/>
      <c r="D130" s="29"/>
      <c r="E130" s="30"/>
      <c r="F130" s="28"/>
      <c r="G130" s="31" t="str">
        <f t="shared" si="24"/>
        <v/>
      </c>
      <c r="H130" s="28"/>
      <c r="I130" s="28"/>
      <c r="J130" s="28"/>
      <c r="K130" s="31" t="str">
        <f t="shared" si="13"/>
        <v/>
      </c>
      <c r="L130" s="28"/>
      <c r="M130" s="33" t="str">
        <f>Sheet2!E84</f>
        <v/>
      </c>
      <c r="N130" s="28" t="s">
        <v>82</v>
      </c>
      <c r="O130" s="28"/>
      <c r="P130" s="28"/>
      <c r="Q130" s="28"/>
      <c r="R130" s="28"/>
      <c r="S130" s="36"/>
      <c r="T130" s="37">
        <f t="shared" si="14"/>
        <v>0</v>
      </c>
      <c r="U130" s="31" t="str">
        <f>Sheet2!K84</f>
        <v/>
      </c>
      <c r="V130" s="22" t="s">
        <v>82</v>
      </c>
      <c r="W130" s="22"/>
      <c r="X130" s="38" t="str">
        <f t="shared" si="15"/>
        <v/>
      </c>
      <c r="Y130" s="28"/>
      <c r="Z130" s="31" t="str">
        <f>Sheet2!N84</f>
        <v/>
      </c>
      <c r="AA130" s="28"/>
      <c r="AB130" s="28"/>
      <c r="AC130" s="31" t="str">
        <f t="shared" si="16"/>
        <v/>
      </c>
      <c r="AD130" s="40" t="str">
        <f>IFERROR(HLOOKUP(AB130,Sheet3!$K$1:$T$2,2),"")</f>
        <v/>
      </c>
      <c r="AE130" s="31" t="str">
        <f t="shared" si="17"/>
        <v/>
      </c>
      <c r="AF130" s="22"/>
      <c r="AG130" s="31" t="str">
        <f t="shared" si="18"/>
        <v/>
      </c>
      <c r="AH130" s="28"/>
      <c r="AI130" s="31" t="str">
        <f t="shared" si="19"/>
        <v/>
      </c>
      <c r="AJ130" s="22"/>
      <c r="AK130" s="31" t="str">
        <f t="shared" si="20"/>
        <v/>
      </c>
      <c r="AL130" s="28"/>
      <c r="AM130" s="31" t="str">
        <f t="shared" si="21"/>
        <v/>
      </c>
      <c r="AN130" s="22"/>
      <c r="AO130" s="31" t="str">
        <f t="shared" si="22"/>
        <v/>
      </c>
      <c r="AP130" s="28"/>
      <c r="AQ130" s="28"/>
      <c r="AR130" s="28"/>
      <c r="AS130" s="37">
        <f t="shared" si="23"/>
        <v>0</v>
      </c>
      <c r="AT130" s="31">
        <v>0</v>
      </c>
    </row>
    <row r="131" spans="1:46">
      <c r="A131" s="28" t="s">
        <v>164</v>
      </c>
      <c r="B131" s="28"/>
      <c r="C131" s="28"/>
      <c r="D131" s="29"/>
      <c r="E131" s="30"/>
      <c r="F131" s="28"/>
      <c r="G131" s="31" t="str">
        <f t="shared" si="24"/>
        <v/>
      </c>
      <c r="H131" s="28"/>
      <c r="I131" s="28"/>
      <c r="J131" s="28"/>
      <c r="K131" s="31" t="str">
        <f t="shared" si="13"/>
        <v/>
      </c>
      <c r="L131" s="28"/>
      <c r="M131" s="33" t="str">
        <f>Sheet2!E85</f>
        <v/>
      </c>
      <c r="N131" s="28" t="s">
        <v>82</v>
      </c>
      <c r="O131" s="28"/>
      <c r="P131" s="28"/>
      <c r="Q131" s="28"/>
      <c r="R131" s="28"/>
      <c r="S131" s="36"/>
      <c r="T131" s="37">
        <f t="shared" si="14"/>
        <v>0</v>
      </c>
      <c r="U131" s="31" t="str">
        <f>Sheet2!K85</f>
        <v/>
      </c>
      <c r="V131" s="22" t="s">
        <v>82</v>
      </c>
      <c r="W131" s="22"/>
      <c r="X131" s="38" t="str">
        <f t="shared" si="15"/>
        <v/>
      </c>
      <c r="Y131" s="28"/>
      <c r="Z131" s="31" t="str">
        <f>Sheet2!N85</f>
        <v/>
      </c>
      <c r="AA131" s="28"/>
      <c r="AB131" s="28"/>
      <c r="AC131" s="31" t="str">
        <f t="shared" si="16"/>
        <v/>
      </c>
      <c r="AD131" s="40" t="str">
        <f>IFERROR(HLOOKUP(AB131,Sheet3!$K$1:$T$2,2),"")</f>
        <v/>
      </c>
      <c r="AE131" s="31" t="str">
        <f t="shared" si="17"/>
        <v/>
      </c>
      <c r="AF131" s="22"/>
      <c r="AG131" s="31" t="str">
        <f t="shared" si="18"/>
        <v/>
      </c>
      <c r="AH131" s="28"/>
      <c r="AI131" s="31" t="str">
        <f t="shared" si="19"/>
        <v/>
      </c>
      <c r="AJ131" s="22"/>
      <c r="AK131" s="31" t="str">
        <f t="shared" si="20"/>
        <v/>
      </c>
      <c r="AL131" s="28"/>
      <c r="AM131" s="31" t="str">
        <f t="shared" si="21"/>
        <v/>
      </c>
      <c r="AN131" s="22"/>
      <c r="AO131" s="31" t="str">
        <f t="shared" si="22"/>
        <v/>
      </c>
      <c r="AP131" s="28"/>
      <c r="AQ131" s="28"/>
      <c r="AR131" s="28"/>
      <c r="AS131" s="37">
        <f t="shared" si="23"/>
        <v>0</v>
      </c>
      <c r="AT131" s="31">
        <v>0</v>
      </c>
    </row>
    <row r="132" spans="1:46">
      <c r="A132" s="28" t="s">
        <v>165</v>
      </c>
      <c r="B132" s="28"/>
      <c r="C132" s="28"/>
      <c r="D132" s="29"/>
      <c r="E132" s="30"/>
      <c r="F132" s="28"/>
      <c r="G132" s="31" t="str">
        <f t="shared" si="24"/>
        <v/>
      </c>
      <c r="H132" s="28"/>
      <c r="I132" s="28"/>
      <c r="J132" s="28"/>
      <c r="K132" s="31" t="str">
        <f t="shared" si="13"/>
        <v/>
      </c>
      <c r="L132" s="28"/>
      <c r="M132" s="33" t="str">
        <f>Sheet2!E86</f>
        <v/>
      </c>
      <c r="N132" s="28" t="s">
        <v>82</v>
      </c>
      <c r="O132" s="28"/>
      <c r="P132" s="28"/>
      <c r="Q132" s="28"/>
      <c r="R132" s="28"/>
      <c r="S132" s="36"/>
      <c r="T132" s="37">
        <f t="shared" si="14"/>
        <v>0</v>
      </c>
      <c r="U132" s="31" t="str">
        <f>Sheet2!K86</f>
        <v/>
      </c>
      <c r="V132" s="22" t="s">
        <v>82</v>
      </c>
      <c r="W132" s="22"/>
      <c r="X132" s="38" t="str">
        <f t="shared" si="15"/>
        <v/>
      </c>
      <c r="Y132" s="28"/>
      <c r="Z132" s="31" t="str">
        <f>Sheet2!N86</f>
        <v/>
      </c>
      <c r="AA132" s="28"/>
      <c r="AB132" s="28"/>
      <c r="AC132" s="31" t="str">
        <f t="shared" si="16"/>
        <v/>
      </c>
      <c r="AD132" s="40" t="str">
        <f>IFERROR(HLOOKUP(AB132,Sheet3!$K$1:$T$2,2),"")</f>
        <v/>
      </c>
      <c r="AE132" s="31" t="str">
        <f t="shared" si="17"/>
        <v/>
      </c>
      <c r="AF132" s="22"/>
      <c r="AG132" s="31" t="str">
        <f t="shared" si="18"/>
        <v/>
      </c>
      <c r="AH132" s="28"/>
      <c r="AI132" s="31" t="str">
        <f t="shared" si="19"/>
        <v/>
      </c>
      <c r="AJ132" s="22"/>
      <c r="AK132" s="31" t="str">
        <f t="shared" si="20"/>
        <v/>
      </c>
      <c r="AL132" s="28"/>
      <c r="AM132" s="31" t="str">
        <f t="shared" si="21"/>
        <v/>
      </c>
      <c r="AN132" s="22"/>
      <c r="AO132" s="31" t="str">
        <f t="shared" si="22"/>
        <v/>
      </c>
      <c r="AP132" s="28"/>
      <c r="AQ132" s="28"/>
      <c r="AR132" s="28"/>
      <c r="AS132" s="37">
        <f t="shared" si="23"/>
        <v>0</v>
      </c>
      <c r="AT132" s="31">
        <v>0</v>
      </c>
    </row>
    <row r="133" spans="1:46">
      <c r="A133" s="28" t="s">
        <v>166</v>
      </c>
      <c r="B133" s="28"/>
      <c r="C133" s="28"/>
      <c r="D133" s="29"/>
      <c r="E133" s="30"/>
      <c r="F133" s="28"/>
      <c r="G133" s="31" t="str">
        <f t="shared" si="24"/>
        <v/>
      </c>
      <c r="H133" s="28"/>
      <c r="I133" s="28"/>
      <c r="J133" s="28"/>
      <c r="K133" s="31" t="str">
        <f t="shared" si="13"/>
        <v/>
      </c>
      <c r="L133" s="28"/>
      <c r="M133" s="33" t="str">
        <f>Sheet2!E87</f>
        <v/>
      </c>
      <c r="N133" s="28" t="s">
        <v>82</v>
      </c>
      <c r="O133" s="28"/>
      <c r="P133" s="28"/>
      <c r="Q133" s="28"/>
      <c r="R133" s="28"/>
      <c r="S133" s="36"/>
      <c r="T133" s="37">
        <f t="shared" si="14"/>
        <v>0</v>
      </c>
      <c r="U133" s="31" t="str">
        <f>Sheet2!K87</f>
        <v/>
      </c>
      <c r="V133" s="22" t="s">
        <v>82</v>
      </c>
      <c r="W133" s="22"/>
      <c r="X133" s="38" t="str">
        <f t="shared" si="15"/>
        <v/>
      </c>
      <c r="Y133" s="28"/>
      <c r="Z133" s="31" t="str">
        <f>Sheet2!N87</f>
        <v/>
      </c>
      <c r="AA133" s="28"/>
      <c r="AB133" s="28"/>
      <c r="AC133" s="31" t="str">
        <f t="shared" si="16"/>
        <v/>
      </c>
      <c r="AD133" s="40" t="str">
        <f>IFERROR(HLOOKUP(AB133,Sheet3!$K$1:$T$2,2),"")</f>
        <v/>
      </c>
      <c r="AE133" s="31" t="str">
        <f t="shared" si="17"/>
        <v/>
      </c>
      <c r="AF133" s="22"/>
      <c r="AG133" s="31" t="str">
        <f t="shared" si="18"/>
        <v/>
      </c>
      <c r="AH133" s="28"/>
      <c r="AI133" s="31" t="str">
        <f t="shared" si="19"/>
        <v/>
      </c>
      <c r="AJ133" s="22"/>
      <c r="AK133" s="31" t="str">
        <f t="shared" si="20"/>
        <v/>
      </c>
      <c r="AL133" s="28"/>
      <c r="AM133" s="31" t="str">
        <f t="shared" si="21"/>
        <v/>
      </c>
      <c r="AN133" s="22"/>
      <c r="AO133" s="31" t="str">
        <f t="shared" si="22"/>
        <v/>
      </c>
      <c r="AP133" s="28"/>
      <c r="AQ133" s="28"/>
      <c r="AR133" s="28"/>
      <c r="AS133" s="37">
        <f t="shared" si="23"/>
        <v>0</v>
      </c>
      <c r="AT133" s="31">
        <v>0</v>
      </c>
    </row>
    <row r="134" spans="1:46">
      <c r="A134" s="28" t="s">
        <v>167</v>
      </c>
      <c r="B134" s="28"/>
      <c r="C134" s="28"/>
      <c r="D134" s="29"/>
      <c r="E134" s="30"/>
      <c r="F134" s="28"/>
      <c r="G134" s="31" t="str">
        <f>IFERROR(VLOOKUP(H134,$A$1:$B$40,2,FALSE),"")</f>
        <v/>
      </c>
      <c r="H134" s="28"/>
      <c r="I134" s="28"/>
      <c r="J134" s="28"/>
      <c r="K134" s="31" t="str">
        <f t="shared" si="13"/>
        <v/>
      </c>
      <c r="L134" s="28"/>
      <c r="M134" s="33" t="str">
        <f>Sheet2!E88</f>
        <v/>
      </c>
      <c r="N134" s="28" t="s">
        <v>82</v>
      </c>
      <c r="O134" s="28"/>
      <c r="P134" s="28"/>
      <c r="Q134" s="28"/>
      <c r="R134" s="28"/>
      <c r="S134" s="36"/>
      <c r="T134" s="37">
        <f t="shared" si="14"/>
        <v>0</v>
      </c>
      <c r="U134" s="31" t="str">
        <f>Sheet2!K88</f>
        <v/>
      </c>
      <c r="V134" s="22" t="s">
        <v>82</v>
      </c>
      <c r="W134" s="22"/>
      <c r="X134" s="38" t="str">
        <f t="shared" si="15"/>
        <v/>
      </c>
      <c r="Y134" s="28"/>
      <c r="Z134" s="31" t="str">
        <f>Sheet2!N88</f>
        <v/>
      </c>
      <c r="AA134" s="28"/>
      <c r="AB134" s="28"/>
      <c r="AC134" s="31" t="str">
        <f t="shared" si="16"/>
        <v/>
      </c>
      <c r="AD134" s="40" t="str">
        <f>IFERROR(HLOOKUP(AB134,Sheet3!$K$1:$T$2,2),"")</f>
        <v/>
      </c>
      <c r="AE134" s="31" t="str">
        <f t="shared" si="17"/>
        <v/>
      </c>
      <c r="AF134" s="22"/>
      <c r="AG134" s="31" t="str">
        <f t="shared" si="18"/>
        <v/>
      </c>
      <c r="AH134" s="28"/>
      <c r="AI134" s="31" t="str">
        <f t="shared" si="19"/>
        <v/>
      </c>
      <c r="AJ134" s="22"/>
      <c r="AK134" s="31" t="str">
        <f t="shared" si="20"/>
        <v/>
      </c>
      <c r="AL134" s="28"/>
      <c r="AM134" s="31" t="str">
        <f t="shared" si="21"/>
        <v/>
      </c>
      <c r="AN134" s="22"/>
      <c r="AO134" s="31" t="str">
        <f t="shared" si="22"/>
        <v/>
      </c>
      <c r="AP134" s="28"/>
      <c r="AQ134" s="28"/>
      <c r="AR134" s="28"/>
      <c r="AS134" s="37">
        <f t="shared" si="23"/>
        <v>0</v>
      </c>
      <c r="AT134" s="31">
        <v>0</v>
      </c>
    </row>
    <row r="135" spans="1:46">
      <c r="A135" s="28" t="s">
        <v>168</v>
      </c>
      <c r="B135" s="28"/>
      <c r="C135" s="28"/>
      <c r="D135" s="29"/>
      <c r="E135" s="30"/>
      <c r="F135" s="28"/>
      <c r="G135" s="31" t="str">
        <f t="shared" ref="G135:G147" si="25">IFERROR(VLOOKUP(H135,$A$1:$B$40,2,FALSE),"")</f>
        <v/>
      </c>
      <c r="H135" s="28"/>
      <c r="I135" s="28"/>
      <c r="J135" s="28"/>
      <c r="K135" s="31" t="str">
        <f t="shared" si="13"/>
        <v/>
      </c>
      <c r="L135" s="28"/>
      <c r="M135" s="33" t="str">
        <f>Sheet2!E89</f>
        <v/>
      </c>
      <c r="N135" s="28" t="s">
        <v>82</v>
      </c>
      <c r="O135" s="28"/>
      <c r="P135" s="28"/>
      <c r="Q135" s="28"/>
      <c r="R135" s="28"/>
      <c r="S135" s="36"/>
      <c r="T135" s="37">
        <f t="shared" si="14"/>
        <v>0</v>
      </c>
      <c r="U135" s="31" t="str">
        <f>Sheet2!K89</f>
        <v/>
      </c>
      <c r="V135" s="22" t="s">
        <v>82</v>
      </c>
      <c r="W135" s="22"/>
      <c r="X135" s="38" t="str">
        <f t="shared" si="15"/>
        <v/>
      </c>
      <c r="Y135" s="28"/>
      <c r="Z135" s="31" t="str">
        <f>Sheet2!N89</f>
        <v/>
      </c>
      <c r="AA135" s="28"/>
      <c r="AB135" s="28"/>
      <c r="AC135" s="31" t="str">
        <f t="shared" si="16"/>
        <v/>
      </c>
      <c r="AD135" s="40" t="str">
        <f>IFERROR(HLOOKUP(AB135,Sheet3!$K$1:$T$2,2),"")</f>
        <v/>
      </c>
      <c r="AE135" s="31" t="str">
        <f t="shared" si="17"/>
        <v/>
      </c>
      <c r="AF135" s="22"/>
      <c r="AG135" s="31" t="str">
        <f t="shared" si="18"/>
        <v/>
      </c>
      <c r="AH135" s="28"/>
      <c r="AI135" s="31" t="str">
        <f t="shared" si="19"/>
        <v/>
      </c>
      <c r="AJ135" s="22"/>
      <c r="AK135" s="31" t="str">
        <f t="shared" si="20"/>
        <v/>
      </c>
      <c r="AL135" s="28"/>
      <c r="AM135" s="31" t="str">
        <f t="shared" si="21"/>
        <v/>
      </c>
      <c r="AN135" s="22"/>
      <c r="AO135" s="31" t="str">
        <f t="shared" si="22"/>
        <v/>
      </c>
      <c r="AP135" s="28"/>
      <c r="AQ135" s="28"/>
      <c r="AR135" s="28"/>
      <c r="AS135" s="37">
        <f t="shared" si="23"/>
        <v>0</v>
      </c>
      <c r="AT135" s="31">
        <v>0</v>
      </c>
    </row>
    <row r="136" spans="1:46">
      <c r="A136" s="28" t="s">
        <v>169</v>
      </c>
      <c r="B136" s="28"/>
      <c r="C136" s="28"/>
      <c r="D136" s="29"/>
      <c r="E136" s="30"/>
      <c r="F136" s="28"/>
      <c r="G136" s="31" t="str">
        <f t="shared" si="25"/>
        <v/>
      </c>
      <c r="H136" s="28"/>
      <c r="I136" s="28"/>
      <c r="J136" s="28"/>
      <c r="K136" s="31" t="str">
        <f t="shared" si="13"/>
        <v/>
      </c>
      <c r="L136" s="28"/>
      <c r="M136" s="33" t="str">
        <f>Sheet2!E90</f>
        <v/>
      </c>
      <c r="N136" s="28" t="s">
        <v>82</v>
      </c>
      <c r="O136" s="28"/>
      <c r="P136" s="28"/>
      <c r="Q136" s="28"/>
      <c r="R136" s="28"/>
      <c r="S136" s="36"/>
      <c r="T136" s="37">
        <f t="shared" si="14"/>
        <v>0</v>
      </c>
      <c r="U136" s="31" t="str">
        <f>Sheet2!K90</f>
        <v/>
      </c>
      <c r="V136" s="22" t="s">
        <v>82</v>
      </c>
      <c r="W136" s="22"/>
      <c r="X136" s="38" t="str">
        <f t="shared" si="15"/>
        <v/>
      </c>
      <c r="Y136" s="28"/>
      <c r="Z136" s="31" t="str">
        <f>Sheet2!N90</f>
        <v/>
      </c>
      <c r="AA136" s="28"/>
      <c r="AB136" s="28"/>
      <c r="AC136" s="31" t="str">
        <f t="shared" si="16"/>
        <v/>
      </c>
      <c r="AD136" s="40" t="str">
        <f>IFERROR(HLOOKUP(AB136,Sheet3!$K$1:$T$2,2),"")</f>
        <v/>
      </c>
      <c r="AE136" s="31" t="str">
        <f t="shared" si="17"/>
        <v/>
      </c>
      <c r="AF136" s="22"/>
      <c r="AG136" s="31" t="str">
        <f t="shared" si="18"/>
        <v/>
      </c>
      <c r="AH136" s="28"/>
      <c r="AI136" s="31" t="str">
        <f t="shared" si="19"/>
        <v/>
      </c>
      <c r="AJ136" s="22"/>
      <c r="AK136" s="31" t="str">
        <f t="shared" si="20"/>
        <v/>
      </c>
      <c r="AL136" s="28"/>
      <c r="AM136" s="31" t="str">
        <f t="shared" si="21"/>
        <v/>
      </c>
      <c r="AN136" s="22"/>
      <c r="AO136" s="31" t="str">
        <f t="shared" si="22"/>
        <v/>
      </c>
      <c r="AP136" s="28"/>
      <c r="AQ136" s="28"/>
      <c r="AR136" s="28"/>
      <c r="AS136" s="37">
        <f t="shared" si="23"/>
        <v>0</v>
      </c>
      <c r="AT136" s="31">
        <v>0</v>
      </c>
    </row>
    <row r="137" spans="1:46">
      <c r="A137" s="28" t="s">
        <v>170</v>
      </c>
      <c r="B137" s="28"/>
      <c r="C137" s="28"/>
      <c r="D137" s="29"/>
      <c r="E137" s="30"/>
      <c r="F137" s="28"/>
      <c r="G137" s="31" t="str">
        <f t="shared" si="25"/>
        <v/>
      </c>
      <c r="H137" s="28"/>
      <c r="I137" s="28"/>
      <c r="J137" s="28"/>
      <c r="K137" s="31" t="str">
        <f t="shared" si="13"/>
        <v/>
      </c>
      <c r="L137" s="28"/>
      <c r="M137" s="33" t="str">
        <f>Sheet2!E91</f>
        <v/>
      </c>
      <c r="N137" s="28" t="s">
        <v>82</v>
      </c>
      <c r="O137" s="28"/>
      <c r="P137" s="28"/>
      <c r="Q137" s="28"/>
      <c r="R137" s="28"/>
      <c r="S137" s="36"/>
      <c r="T137" s="37">
        <f t="shared" si="14"/>
        <v>0</v>
      </c>
      <c r="U137" s="31" t="str">
        <f>Sheet2!K91</f>
        <v/>
      </c>
      <c r="V137" s="22" t="s">
        <v>82</v>
      </c>
      <c r="W137" s="22"/>
      <c r="X137" s="38" t="str">
        <f t="shared" si="15"/>
        <v/>
      </c>
      <c r="Y137" s="28"/>
      <c r="Z137" s="31" t="str">
        <f>Sheet2!N91</f>
        <v/>
      </c>
      <c r="AA137" s="28"/>
      <c r="AB137" s="28"/>
      <c r="AC137" s="31" t="str">
        <f t="shared" si="16"/>
        <v/>
      </c>
      <c r="AD137" s="40" t="str">
        <f>IFERROR(HLOOKUP(AB137,Sheet3!$K$1:$T$2,2),"")</f>
        <v/>
      </c>
      <c r="AE137" s="31" t="str">
        <f t="shared" si="17"/>
        <v/>
      </c>
      <c r="AF137" s="22"/>
      <c r="AG137" s="31" t="str">
        <f t="shared" si="18"/>
        <v/>
      </c>
      <c r="AH137" s="28"/>
      <c r="AI137" s="31" t="str">
        <f t="shared" si="19"/>
        <v/>
      </c>
      <c r="AJ137" s="22"/>
      <c r="AK137" s="31" t="str">
        <f t="shared" si="20"/>
        <v/>
      </c>
      <c r="AL137" s="28"/>
      <c r="AM137" s="31" t="str">
        <f t="shared" si="21"/>
        <v/>
      </c>
      <c r="AN137" s="22"/>
      <c r="AO137" s="31" t="str">
        <f t="shared" si="22"/>
        <v/>
      </c>
      <c r="AP137" s="28"/>
      <c r="AQ137" s="28"/>
      <c r="AR137" s="28"/>
      <c r="AS137" s="37">
        <f t="shared" si="23"/>
        <v>0</v>
      </c>
      <c r="AT137" s="31">
        <v>0</v>
      </c>
    </row>
    <row r="138" spans="1:46">
      <c r="A138" s="28" t="s">
        <v>171</v>
      </c>
      <c r="B138" s="28"/>
      <c r="C138" s="28"/>
      <c r="D138" s="29"/>
      <c r="E138" s="30"/>
      <c r="F138" s="28"/>
      <c r="G138" s="31" t="str">
        <f t="shared" si="25"/>
        <v/>
      </c>
      <c r="H138" s="28"/>
      <c r="I138" s="28"/>
      <c r="J138" s="28"/>
      <c r="K138" s="31" t="str">
        <f t="shared" si="13"/>
        <v/>
      </c>
      <c r="L138" s="28"/>
      <c r="M138" s="33" t="str">
        <f>Sheet2!E92</f>
        <v/>
      </c>
      <c r="N138" s="28" t="s">
        <v>82</v>
      </c>
      <c r="O138" s="28"/>
      <c r="P138" s="28"/>
      <c r="Q138" s="28"/>
      <c r="R138" s="28"/>
      <c r="S138" s="36"/>
      <c r="T138" s="37">
        <f t="shared" si="14"/>
        <v>0</v>
      </c>
      <c r="U138" s="31" t="str">
        <f>Sheet2!K92</f>
        <v/>
      </c>
      <c r="V138" s="22" t="s">
        <v>82</v>
      </c>
      <c r="W138" s="22"/>
      <c r="X138" s="38" t="str">
        <f t="shared" si="15"/>
        <v/>
      </c>
      <c r="Y138" s="28"/>
      <c r="Z138" s="31" t="str">
        <f>Sheet2!N92</f>
        <v/>
      </c>
      <c r="AA138" s="28"/>
      <c r="AB138" s="28"/>
      <c r="AC138" s="31" t="str">
        <f t="shared" si="16"/>
        <v/>
      </c>
      <c r="AD138" s="40" t="str">
        <f>IFERROR(HLOOKUP(AB138,Sheet3!$K$1:$T$2,2),"")</f>
        <v/>
      </c>
      <c r="AE138" s="31" t="str">
        <f t="shared" si="17"/>
        <v/>
      </c>
      <c r="AF138" s="22"/>
      <c r="AG138" s="31" t="str">
        <f t="shared" si="18"/>
        <v/>
      </c>
      <c r="AH138" s="28"/>
      <c r="AI138" s="31" t="str">
        <f t="shared" si="19"/>
        <v/>
      </c>
      <c r="AJ138" s="22"/>
      <c r="AK138" s="31" t="str">
        <f t="shared" si="20"/>
        <v/>
      </c>
      <c r="AL138" s="28"/>
      <c r="AM138" s="31" t="str">
        <f t="shared" si="21"/>
        <v/>
      </c>
      <c r="AN138" s="22"/>
      <c r="AO138" s="31" t="str">
        <f t="shared" si="22"/>
        <v/>
      </c>
      <c r="AP138" s="28"/>
      <c r="AQ138" s="28"/>
      <c r="AR138" s="28"/>
      <c r="AS138" s="37">
        <f t="shared" si="23"/>
        <v>0</v>
      </c>
      <c r="AT138" s="31">
        <v>0</v>
      </c>
    </row>
    <row r="139" spans="1:46">
      <c r="A139" s="28" t="s">
        <v>172</v>
      </c>
      <c r="B139" s="28"/>
      <c r="C139" s="28"/>
      <c r="D139" s="29"/>
      <c r="E139" s="30"/>
      <c r="F139" s="28"/>
      <c r="G139" s="31" t="str">
        <f t="shared" si="25"/>
        <v/>
      </c>
      <c r="H139" s="28"/>
      <c r="I139" s="28"/>
      <c r="J139" s="28"/>
      <c r="K139" s="31" t="str">
        <f t="shared" si="13"/>
        <v/>
      </c>
      <c r="L139" s="28"/>
      <c r="M139" s="33" t="str">
        <f>Sheet2!E93</f>
        <v/>
      </c>
      <c r="N139" s="28" t="s">
        <v>82</v>
      </c>
      <c r="O139" s="28"/>
      <c r="P139" s="28"/>
      <c r="Q139" s="28"/>
      <c r="R139" s="28"/>
      <c r="S139" s="36"/>
      <c r="T139" s="37">
        <f t="shared" si="14"/>
        <v>0</v>
      </c>
      <c r="U139" s="31" t="str">
        <f>Sheet2!K93</f>
        <v/>
      </c>
      <c r="V139" s="22" t="s">
        <v>82</v>
      </c>
      <c r="W139" s="22"/>
      <c r="X139" s="38" t="str">
        <f t="shared" si="15"/>
        <v/>
      </c>
      <c r="Y139" s="28"/>
      <c r="Z139" s="31" t="str">
        <f>Sheet2!N93</f>
        <v/>
      </c>
      <c r="AA139" s="28"/>
      <c r="AB139" s="28"/>
      <c r="AC139" s="31" t="str">
        <f t="shared" si="16"/>
        <v/>
      </c>
      <c r="AD139" s="40" t="str">
        <f>IFERROR(HLOOKUP(AB139,Sheet3!$K$1:$T$2,2),"")</f>
        <v/>
      </c>
      <c r="AE139" s="31" t="str">
        <f t="shared" si="17"/>
        <v/>
      </c>
      <c r="AF139" s="22"/>
      <c r="AG139" s="31" t="str">
        <f t="shared" si="18"/>
        <v/>
      </c>
      <c r="AH139" s="28"/>
      <c r="AI139" s="31" t="str">
        <f t="shared" si="19"/>
        <v/>
      </c>
      <c r="AJ139" s="22"/>
      <c r="AK139" s="31" t="str">
        <f t="shared" si="20"/>
        <v/>
      </c>
      <c r="AL139" s="28"/>
      <c r="AM139" s="31" t="str">
        <f t="shared" si="21"/>
        <v/>
      </c>
      <c r="AN139" s="22"/>
      <c r="AO139" s="31" t="str">
        <f t="shared" si="22"/>
        <v/>
      </c>
      <c r="AP139" s="28"/>
      <c r="AQ139" s="28"/>
      <c r="AR139" s="28"/>
      <c r="AS139" s="37">
        <f t="shared" si="23"/>
        <v>0</v>
      </c>
      <c r="AT139" s="31">
        <v>0</v>
      </c>
    </row>
    <row r="140" spans="1:46">
      <c r="A140" s="28" t="s">
        <v>173</v>
      </c>
      <c r="B140" s="28"/>
      <c r="C140" s="28"/>
      <c r="D140" s="29"/>
      <c r="E140" s="30"/>
      <c r="F140" s="28"/>
      <c r="G140" s="31" t="str">
        <f t="shared" si="25"/>
        <v/>
      </c>
      <c r="H140" s="28"/>
      <c r="I140" s="28"/>
      <c r="J140" s="28"/>
      <c r="K140" s="31" t="str">
        <f t="shared" si="13"/>
        <v/>
      </c>
      <c r="L140" s="28"/>
      <c r="M140" s="33" t="str">
        <f>Sheet2!E94</f>
        <v/>
      </c>
      <c r="N140" s="28" t="s">
        <v>82</v>
      </c>
      <c r="O140" s="28"/>
      <c r="P140" s="28"/>
      <c r="Q140" s="28"/>
      <c r="R140" s="28"/>
      <c r="S140" s="36"/>
      <c r="T140" s="37">
        <f t="shared" si="14"/>
        <v>0</v>
      </c>
      <c r="U140" s="31" t="str">
        <f>Sheet2!K94</f>
        <v/>
      </c>
      <c r="V140" s="22" t="s">
        <v>82</v>
      </c>
      <c r="W140" s="22"/>
      <c r="X140" s="38" t="str">
        <f t="shared" si="15"/>
        <v/>
      </c>
      <c r="Y140" s="28"/>
      <c r="Z140" s="31" t="str">
        <f>Sheet2!N94</f>
        <v/>
      </c>
      <c r="AA140" s="28"/>
      <c r="AB140" s="28"/>
      <c r="AC140" s="31" t="str">
        <f t="shared" si="16"/>
        <v/>
      </c>
      <c r="AD140" s="40" t="str">
        <f>IFERROR(HLOOKUP(AB140,Sheet3!$K$1:$T$2,2),"")</f>
        <v/>
      </c>
      <c r="AE140" s="31" t="str">
        <f t="shared" si="17"/>
        <v/>
      </c>
      <c r="AF140" s="22"/>
      <c r="AG140" s="31" t="str">
        <f t="shared" si="18"/>
        <v/>
      </c>
      <c r="AH140" s="28"/>
      <c r="AI140" s="31" t="str">
        <f t="shared" si="19"/>
        <v/>
      </c>
      <c r="AJ140" s="22"/>
      <c r="AK140" s="31" t="str">
        <f t="shared" si="20"/>
        <v/>
      </c>
      <c r="AL140" s="28"/>
      <c r="AM140" s="31" t="str">
        <f t="shared" si="21"/>
        <v/>
      </c>
      <c r="AN140" s="22"/>
      <c r="AO140" s="31" t="str">
        <f t="shared" si="22"/>
        <v/>
      </c>
      <c r="AP140" s="28"/>
      <c r="AQ140" s="28"/>
      <c r="AR140" s="28"/>
      <c r="AS140" s="37">
        <f t="shared" si="23"/>
        <v>0</v>
      </c>
      <c r="AT140" s="31">
        <v>0</v>
      </c>
    </row>
    <row r="141" spans="1:46">
      <c r="A141" s="28" t="s">
        <v>174</v>
      </c>
      <c r="B141" s="28"/>
      <c r="C141" s="28"/>
      <c r="D141" s="29"/>
      <c r="E141" s="30"/>
      <c r="F141" s="28"/>
      <c r="G141" s="31" t="str">
        <f t="shared" si="25"/>
        <v/>
      </c>
      <c r="H141" s="28"/>
      <c r="I141" s="28"/>
      <c r="J141" s="28"/>
      <c r="K141" s="31" t="str">
        <f t="shared" si="13"/>
        <v/>
      </c>
      <c r="L141" s="28"/>
      <c r="M141" s="33" t="str">
        <f>Sheet2!E95</f>
        <v/>
      </c>
      <c r="N141" s="28" t="s">
        <v>82</v>
      </c>
      <c r="O141" s="28"/>
      <c r="P141" s="28"/>
      <c r="Q141" s="28"/>
      <c r="R141" s="28"/>
      <c r="S141" s="36"/>
      <c r="T141" s="37">
        <f t="shared" si="14"/>
        <v>0</v>
      </c>
      <c r="U141" s="31" t="str">
        <f>Sheet2!K95</f>
        <v/>
      </c>
      <c r="V141" s="22" t="s">
        <v>82</v>
      </c>
      <c r="W141" s="22"/>
      <c r="X141" s="38" t="str">
        <f t="shared" si="15"/>
        <v/>
      </c>
      <c r="Y141" s="28"/>
      <c r="Z141" s="31" t="str">
        <f>Sheet2!N95</f>
        <v/>
      </c>
      <c r="AA141" s="28"/>
      <c r="AB141" s="28"/>
      <c r="AC141" s="31" t="str">
        <f t="shared" si="16"/>
        <v/>
      </c>
      <c r="AD141" s="40" t="str">
        <f>IFERROR(HLOOKUP(AB141,Sheet3!$K$1:$T$2,2),"")</f>
        <v/>
      </c>
      <c r="AE141" s="31" t="str">
        <f t="shared" si="17"/>
        <v/>
      </c>
      <c r="AF141" s="22"/>
      <c r="AG141" s="31" t="str">
        <f t="shared" si="18"/>
        <v/>
      </c>
      <c r="AH141" s="28"/>
      <c r="AI141" s="31" t="str">
        <f t="shared" si="19"/>
        <v/>
      </c>
      <c r="AJ141" s="22"/>
      <c r="AK141" s="31" t="str">
        <f t="shared" si="20"/>
        <v/>
      </c>
      <c r="AL141" s="28"/>
      <c r="AM141" s="31" t="str">
        <f t="shared" si="21"/>
        <v/>
      </c>
      <c r="AN141" s="22"/>
      <c r="AO141" s="31" t="str">
        <f t="shared" si="22"/>
        <v/>
      </c>
      <c r="AP141" s="28"/>
      <c r="AQ141" s="28"/>
      <c r="AR141" s="28"/>
      <c r="AS141" s="37">
        <f t="shared" si="23"/>
        <v>0</v>
      </c>
      <c r="AT141" s="31">
        <v>0</v>
      </c>
    </row>
    <row r="142" spans="1:46">
      <c r="A142" s="28" t="s">
        <v>175</v>
      </c>
      <c r="B142" s="28"/>
      <c r="C142" s="28"/>
      <c r="D142" s="29"/>
      <c r="E142" s="30"/>
      <c r="F142" s="28"/>
      <c r="G142" s="31" t="str">
        <f t="shared" si="25"/>
        <v/>
      </c>
      <c r="H142" s="28"/>
      <c r="I142" s="28"/>
      <c r="J142" s="28"/>
      <c r="K142" s="31" t="str">
        <f t="shared" si="13"/>
        <v/>
      </c>
      <c r="L142" s="28"/>
      <c r="M142" s="33" t="str">
        <f>Sheet2!E96</f>
        <v/>
      </c>
      <c r="N142" s="28" t="s">
        <v>82</v>
      </c>
      <c r="O142" s="28"/>
      <c r="P142" s="28"/>
      <c r="Q142" s="28"/>
      <c r="R142" s="28"/>
      <c r="S142" s="36"/>
      <c r="T142" s="37">
        <f t="shared" si="14"/>
        <v>0</v>
      </c>
      <c r="U142" s="31" t="str">
        <f>Sheet2!K96</f>
        <v/>
      </c>
      <c r="V142" s="22" t="s">
        <v>82</v>
      </c>
      <c r="W142" s="22"/>
      <c r="X142" s="38" t="str">
        <f t="shared" si="15"/>
        <v/>
      </c>
      <c r="Y142" s="28"/>
      <c r="Z142" s="31" t="str">
        <f>Sheet2!N96</f>
        <v/>
      </c>
      <c r="AA142" s="28"/>
      <c r="AB142" s="28"/>
      <c r="AC142" s="31" t="str">
        <f t="shared" si="16"/>
        <v/>
      </c>
      <c r="AD142" s="40" t="str">
        <f>IFERROR(HLOOKUP(AB142,Sheet3!$K$1:$T$2,2),"")</f>
        <v/>
      </c>
      <c r="AE142" s="31" t="str">
        <f t="shared" si="17"/>
        <v/>
      </c>
      <c r="AF142" s="22"/>
      <c r="AG142" s="31" t="str">
        <f t="shared" si="18"/>
        <v/>
      </c>
      <c r="AH142" s="28"/>
      <c r="AI142" s="31" t="str">
        <f t="shared" si="19"/>
        <v/>
      </c>
      <c r="AJ142" s="22"/>
      <c r="AK142" s="31" t="str">
        <f t="shared" si="20"/>
        <v/>
      </c>
      <c r="AL142" s="28"/>
      <c r="AM142" s="31" t="str">
        <f t="shared" si="21"/>
        <v/>
      </c>
      <c r="AN142" s="22"/>
      <c r="AO142" s="31" t="str">
        <f t="shared" si="22"/>
        <v/>
      </c>
      <c r="AP142" s="28"/>
      <c r="AQ142" s="28"/>
      <c r="AR142" s="28"/>
      <c r="AS142" s="37">
        <f t="shared" si="23"/>
        <v>0</v>
      </c>
      <c r="AT142" s="31">
        <v>0</v>
      </c>
    </row>
    <row r="143" spans="1:46">
      <c r="A143" s="28" t="s">
        <v>176</v>
      </c>
      <c r="B143" s="28"/>
      <c r="C143" s="28"/>
      <c r="D143" s="29"/>
      <c r="E143" s="30"/>
      <c r="F143" s="28"/>
      <c r="G143" s="31" t="str">
        <f t="shared" si="25"/>
        <v/>
      </c>
      <c r="H143" s="28"/>
      <c r="I143" s="28"/>
      <c r="J143" s="28"/>
      <c r="K143" s="31" t="str">
        <f t="shared" si="13"/>
        <v/>
      </c>
      <c r="L143" s="28"/>
      <c r="M143" s="33" t="str">
        <f>Sheet2!E97</f>
        <v/>
      </c>
      <c r="N143" s="28" t="s">
        <v>82</v>
      </c>
      <c r="O143" s="28"/>
      <c r="P143" s="28"/>
      <c r="Q143" s="28"/>
      <c r="R143" s="28"/>
      <c r="S143" s="36"/>
      <c r="T143" s="37">
        <f t="shared" si="14"/>
        <v>0</v>
      </c>
      <c r="U143" s="31" t="str">
        <f>Sheet2!K97</f>
        <v/>
      </c>
      <c r="V143" s="22" t="s">
        <v>82</v>
      </c>
      <c r="W143" s="22"/>
      <c r="X143" s="38" t="str">
        <f t="shared" si="15"/>
        <v/>
      </c>
      <c r="Y143" s="28"/>
      <c r="Z143" s="31" t="str">
        <f>Sheet2!N97</f>
        <v/>
      </c>
      <c r="AA143" s="28"/>
      <c r="AB143" s="28"/>
      <c r="AC143" s="31" t="str">
        <f t="shared" si="16"/>
        <v/>
      </c>
      <c r="AD143" s="40" t="str">
        <f>IFERROR(HLOOKUP(AB143,Sheet3!$K$1:$T$2,2),"")</f>
        <v/>
      </c>
      <c r="AE143" s="31" t="str">
        <f t="shared" si="17"/>
        <v/>
      </c>
      <c r="AF143" s="22"/>
      <c r="AG143" s="31" t="str">
        <f t="shared" si="18"/>
        <v/>
      </c>
      <c r="AH143" s="28"/>
      <c r="AI143" s="31" t="str">
        <f t="shared" si="19"/>
        <v/>
      </c>
      <c r="AJ143" s="22"/>
      <c r="AK143" s="31" t="str">
        <f t="shared" si="20"/>
        <v/>
      </c>
      <c r="AL143" s="28"/>
      <c r="AM143" s="31" t="str">
        <f t="shared" si="21"/>
        <v/>
      </c>
      <c r="AN143" s="22"/>
      <c r="AO143" s="31" t="str">
        <f t="shared" si="22"/>
        <v/>
      </c>
      <c r="AP143" s="28"/>
      <c r="AQ143" s="28"/>
      <c r="AR143" s="28"/>
      <c r="AS143" s="37">
        <f t="shared" si="23"/>
        <v>0</v>
      </c>
      <c r="AT143" s="31">
        <v>0</v>
      </c>
    </row>
    <row r="144" spans="1:46">
      <c r="A144" s="28" t="s">
        <v>177</v>
      </c>
      <c r="B144" s="28"/>
      <c r="C144" s="28"/>
      <c r="D144" s="29"/>
      <c r="E144" s="30"/>
      <c r="F144" s="28"/>
      <c r="G144" s="31" t="str">
        <f t="shared" si="25"/>
        <v/>
      </c>
      <c r="H144" s="28"/>
      <c r="I144" s="28"/>
      <c r="J144" s="28"/>
      <c r="K144" s="31" t="str">
        <f t="shared" si="13"/>
        <v/>
      </c>
      <c r="L144" s="28"/>
      <c r="M144" s="33" t="str">
        <f>Sheet2!E98</f>
        <v/>
      </c>
      <c r="N144" s="28" t="s">
        <v>82</v>
      </c>
      <c r="O144" s="28"/>
      <c r="P144" s="28"/>
      <c r="Q144" s="28"/>
      <c r="R144" s="28"/>
      <c r="S144" s="36"/>
      <c r="T144" s="37">
        <f t="shared" si="14"/>
        <v>0</v>
      </c>
      <c r="U144" s="31" t="str">
        <f>Sheet2!K98</f>
        <v/>
      </c>
      <c r="V144" s="22" t="s">
        <v>82</v>
      </c>
      <c r="W144" s="22"/>
      <c r="X144" s="38" t="str">
        <f t="shared" si="15"/>
        <v/>
      </c>
      <c r="Y144" s="28"/>
      <c r="Z144" s="31" t="str">
        <f>Sheet2!N98</f>
        <v/>
      </c>
      <c r="AA144" s="28"/>
      <c r="AB144" s="28"/>
      <c r="AC144" s="31" t="str">
        <f t="shared" si="16"/>
        <v/>
      </c>
      <c r="AD144" s="40" t="str">
        <f>IFERROR(HLOOKUP(AB144,Sheet3!$K$1:$T$2,2),"")</f>
        <v/>
      </c>
      <c r="AE144" s="31" t="str">
        <f t="shared" si="17"/>
        <v/>
      </c>
      <c r="AF144" s="22"/>
      <c r="AG144" s="31" t="str">
        <f t="shared" si="18"/>
        <v/>
      </c>
      <c r="AH144" s="28"/>
      <c r="AI144" s="31" t="str">
        <f t="shared" si="19"/>
        <v/>
      </c>
      <c r="AJ144" s="22"/>
      <c r="AK144" s="31" t="str">
        <f t="shared" si="20"/>
        <v/>
      </c>
      <c r="AL144" s="28"/>
      <c r="AM144" s="31" t="str">
        <f t="shared" si="21"/>
        <v/>
      </c>
      <c r="AN144" s="22"/>
      <c r="AO144" s="31" t="str">
        <f t="shared" si="22"/>
        <v/>
      </c>
      <c r="AP144" s="28"/>
      <c r="AQ144" s="28"/>
      <c r="AR144" s="28"/>
      <c r="AS144" s="37">
        <f t="shared" si="23"/>
        <v>0</v>
      </c>
      <c r="AT144" s="31">
        <v>0</v>
      </c>
    </row>
    <row r="145" spans="1:46">
      <c r="A145" s="28" t="s">
        <v>178</v>
      </c>
      <c r="B145" s="28"/>
      <c r="C145" s="28"/>
      <c r="D145" s="29"/>
      <c r="E145" s="30"/>
      <c r="F145" s="28"/>
      <c r="G145" s="31" t="str">
        <f t="shared" si="25"/>
        <v/>
      </c>
      <c r="H145" s="28"/>
      <c r="I145" s="28"/>
      <c r="J145" s="28"/>
      <c r="K145" s="31" t="str">
        <f t="shared" si="13"/>
        <v/>
      </c>
      <c r="L145" s="28"/>
      <c r="M145" s="33" t="str">
        <f>Sheet2!E99</f>
        <v/>
      </c>
      <c r="N145" s="28" t="s">
        <v>82</v>
      </c>
      <c r="O145" s="28"/>
      <c r="P145" s="28"/>
      <c r="Q145" s="28"/>
      <c r="R145" s="28"/>
      <c r="S145" s="36"/>
      <c r="T145" s="37">
        <f t="shared" si="14"/>
        <v>0</v>
      </c>
      <c r="U145" s="31" t="str">
        <f>Sheet2!K99</f>
        <v/>
      </c>
      <c r="V145" s="22" t="s">
        <v>82</v>
      </c>
      <c r="W145" s="22"/>
      <c r="X145" s="38" t="str">
        <f t="shared" si="15"/>
        <v/>
      </c>
      <c r="Y145" s="28"/>
      <c r="Z145" s="31" t="str">
        <f>Sheet2!N99</f>
        <v/>
      </c>
      <c r="AA145" s="28"/>
      <c r="AB145" s="28"/>
      <c r="AC145" s="31" t="str">
        <f t="shared" si="16"/>
        <v/>
      </c>
      <c r="AD145" s="40" t="str">
        <f>IFERROR(HLOOKUP(AB145,Sheet3!$K$1:$T$2,2),"")</f>
        <v/>
      </c>
      <c r="AE145" s="31" t="str">
        <f t="shared" si="17"/>
        <v/>
      </c>
      <c r="AF145" s="22"/>
      <c r="AG145" s="31" t="str">
        <f t="shared" si="18"/>
        <v/>
      </c>
      <c r="AH145" s="28"/>
      <c r="AI145" s="31" t="str">
        <f t="shared" si="19"/>
        <v/>
      </c>
      <c r="AJ145" s="22"/>
      <c r="AK145" s="31" t="str">
        <f t="shared" si="20"/>
        <v/>
      </c>
      <c r="AL145" s="28"/>
      <c r="AM145" s="31" t="str">
        <f t="shared" si="21"/>
        <v/>
      </c>
      <c r="AN145" s="22"/>
      <c r="AO145" s="31" t="str">
        <f t="shared" si="22"/>
        <v/>
      </c>
      <c r="AP145" s="28"/>
      <c r="AQ145" s="28"/>
      <c r="AR145" s="28"/>
      <c r="AS145" s="37">
        <f t="shared" si="23"/>
        <v>0</v>
      </c>
      <c r="AT145" s="31">
        <v>0</v>
      </c>
    </row>
    <row r="146" spans="1:46">
      <c r="A146" s="28" t="s">
        <v>179</v>
      </c>
      <c r="B146" s="28"/>
      <c r="C146" s="28"/>
      <c r="D146" s="29"/>
      <c r="E146" s="30"/>
      <c r="F146" s="28"/>
      <c r="G146" s="31" t="str">
        <f t="shared" si="25"/>
        <v/>
      </c>
      <c r="H146" s="28"/>
      <c r="I146" s="28"/>
      <c r="J146" s="28"/>
      <c r="K146" s="31" t="str">
        <f t="shared" si="13"/>
        <v/>
      </c>
      <c r="L146" s="28"/>
      <c r="M146" s="33" t="str">
        <f>Sheet2!E100</f>
        <v/>
      </c>
      <c r="N146" s="28" t="s">
        <v>82</v>
      </c>
      <c r="O146" s="28"/>
      <c r="P146" s="28"/>
      <c r="Q146" s="28"/>
      <c r="R146" s="28"/>
      <c r="S146" s="36"/>
      <c r="T146" s="37">
        <f t="shared" si="14"/>
        <v>0</v>
      </c>
      <c r="U146" s="31" t="str">
        <f>Sheet2!K100</f>
        <v/>
      </c>
      <c r="V146" s="22" t="s">
        <v>82</v>
      </c>
      <c r="W146" s="22"/>
      <c r="X146" s="38" t="str">
        <f t="shared" si="15"/>
        <v/>
      </c>
      <c r="Y146" s="28"/>
      <c r="Z146" s="31" t="str">
        <f>Sheet2!N100</f>
        <v/>
      </c>
      <c r="AA146" s="28"/>
      <c r="AB146" s="28"/>
      <c r="AC146" s="31" t="str">
        <f t="shared" si="16"/>
        <v/>
      </c>
      <c r="AD146" s="40" t="str">
        <f>IFERROR(HLOOKUP(AB146,Sheet3!$K$1:$T$2,2),"")</f>
        <v/>
      </c>
      <c r="AE146" s="31" t="str">
        <f t="shared" si="17"/>
        <v/>
      </c>
      <c r="AF146" s="22"/>
      <c r="AG146" s="31" t="str">
        <f t="shared" si="18"/>
        <v/>
      </c>
      <c r="AH146" s="28"/>
      <c r="AI146" s="31" t="str">
        <f t="shared" si="19"/>
        <v/>
      </c>
      <c r="AJ146" s="22"/>
      <c r="AK146" s="31" t="str">
        <f t="shared" si="20"/>
        <v/>
      </c>
      <c r="AL146" s="28"/>
      <c r="AM146" s="31" t="str">
        <f t="shared" si="21"/>
        <v/>
      </c>
      <c r="AN146" s="22"/>
      <c r="AO146" s="31" t="str">
        <f t="shared" si="22"/>
        <v/>
      </c>
      <c r="AP146" s="28"/>
      <c r="AQ146" s="28"/>
      <c r="AR146" s="28"/>
      <c r="AS146" s="37">
        <f t="shared" si="23"/>
        <v>0</v>
      </c>
      <c r="AT146" s="31">
        <v>0</v>
      </c>
    </row>
    <row r="147" spans="1:46">
      <c r="A147" s="28" t="s">
        <v>180</v>
      </c>
      <c r="B147" s="28"/>
      <c r="C147" s="28"/>
      <c r="D147" s="29"/>
      <c r="E147" s="30"/>
      <c r="F147" s="28"/>
      <c r="G147" s="31" t="str">
        <f t="shared" si="25"/>
        <v/>
      </c>
      <c r="H147" s="28"/>
      <c r="I147" s="28"/>
      <c r="J147" s="28"/>
      <c r="K147" s="31" t="str">
        <f t="shared" si="13"/>
        <v/>
      </c>
      <c r="L147" s="28"/>
      <c r="M147" s="33" t="str">
        <f>Sheet2!E101</f>
        <v/>
      </c>
      <c r="N147" s="28" t="s">
        <v>82</v>
      </c>
      <c r="O147" s="28"/>
      <c r="P147" s="28"/>
      <c r="Q147" s="28"/>
      <c r="R147" s="28"/>
      <c r="S147" s="36"/>
      <c r="T147" s="37">
        <f t="shared" si="14"/>
        <v>0</v>
      </c>
      <c r="U147" s="31" t="str">
        <f>Sheet2!K101</f>
        <v/>
      </c>
      <c r="V147" s="22" t="s">
        <v>82</v>
      </c>
      <c r="W147" s="22"/>
      <c r="X147" s="38" t="str">
        <f t="shared" si="15"/>
        <v/>
      </c>
      <c r="Y147" s="28"/>
      <c r="Z147" s="31" t="str">
        <f>Sheet2!N101</f>
        <v/>
      </c>
      <c r="AA147" s="28"/>
      <c r="AB147" s="28"/>
      <c r="AC147" s="31" t="str">
        <f t="shared" si="16"/>
        <v/>
      </c>
      <c r="AD147" s="40" t="str">
        <f>IFERROR(HLOOKUP(AB147,Sheet3!$K$1:$T$2,2),"")</f>
        <v/>
      </c>
      <c r="AE147" s="31" t="str">
        <f t="shared" si="17"/>
        <v/>
      </c>
      <c r="AF147" s="22"/>
      <c r="AG147" s="31" t="str">
        <f t="shared" si="18"/>
        <v/>
      </c>
      <c r="AH147" s="28"/>
      <c r="AI147" s="31" t="str">
        <f t="shared" si="19"/>
        <v/>
      </c>
      <c r="AJ147" s="22"/>
      <c r="AK147" s="31" t="str">
        <f t="shared" si="20"/>
        <v/>
      </c>
      <c r="AL147" s="28"/>
      <c r="AM147" s="31" t="str">
        <f t="shared" si="21"/>
        <v/>
      </c>
      <c r="AN147" s="22"/>
      <c r="AO147" s="31" t="str">
        <f t="shared" si="22"/>
        <v/>
      </c>
      <c r="AP147" s="28"/>
      <c r="AQ147" s="28"/>
      <c r="AR147" s="28"/>
      <c r="AS147" s="37">
        <f t="shared" si="23"/>
        <v>0</v>
      </c>
      <c r="AT147" s="31">
        <v>0</v>
      </c>
    </row>
    <row r="148" spans="45:45">
      <c r="AS148" s="47"/>
    </row>
    <row r="149" spans="45:45">
      <c r="AS149" s="47"/>
    </row>
    <row r="150" spans="45:45">
      <c r="AS150" s="47"/>
    </row>
    <row r="151" spans="45:45">
      <c r="AS151" s="47"/>
    </row>
    <row r="152" spans="45:45">
      <c r="AS152" s="47"/>
    </row>
    <row r="153" spans="45:45">
      <c r="AS153" s="47"/>
    </row>
    <row r="154" spans="45:45">
      <c r="AS154" s="47"/>
    </row>
    <row r="155" spans="45:45">
      <c r="AS155" s="47"/>
    </row>
    <row r="156" spans="45:45">
      <c r="AS156" s="47"/>
    </row>
    <row r="157" spans="45:45">
      <c r="AS157" s="47"/>
    </row>
    <row r="158" spans="45:45">
      <c r="AS158" s="47"/>
    </row>
    <row r="159" spans="45:45">
      <c r="AS159" s="47"/>
    </row>
    <row r="160" spans="45:45">
      <c r="AS160" s="47"/>
    </row>
    <row r="161" spans="45:45">
      <c r="AS161" s="47"/>
    </row>
    <row r="162" spans="45:45">
      <c r="AS162" s="47"/>
    </row>
    <row r="163" spans="45:45">
      <c r="AS163" s="47"/>
    </row>
    <row r="164" spans="45:45">
      <c r="AS164" s="47"/>
    </row>
    <row r="165" spans="45:45">
      <c r="AS165" s="47"/>
    </row>
    <row r="166" spans="45:45">
      <c r="AS166" s="47"/>
    </row>
    <row r="167" spans="45:45">
      <c r="AS167" s="47"/>
    </row>
    <row r="168" spans="45:45">
      <c r="AS168" s="47"/>
    </row>
    <row r="169" spans="45:45">
      <c r="AS169" s="47"/>
    </row>
    <row r="170" spans="45:45">
      <c r="AS170" s="47"/>
    </row>
    <row r="171" spans="45:45">
      <c r="AS171" s="47"/>
    </row>
    <row r="172" spans="45:45">
      <c r="AS172" s="47"/>
    </row>
    <row r="173" spans="45:45">
      <c r="AS173" s="47"/>
    </row>
    <row r="174" spans="45:45">
      <c r="AS174" s="47"/>
    </row>
    <row r="175" spans="45:45">
      <c r="AS175" s="47"/>
    </row>
    <row r="176" spans="45:45">
      <c r="AS176" s="47"/>
    </row>
    <row r="177" spans="45:45">
      <c r="AS177" s="47"/>
    </row>
    <row r="178" spans="45:45">
      <c r="AS178" s="47"/>
    </row>
    <row r="179" spans="45:45">
      <c r="AS179" s="47"/>
    </row>
    <row r="180" spans="45:45">
      <c r="AS180" s="47"/>
    </row>
    <row r="181" spans="45:45">
      <c r="AS181" s="47"/>
    </row>
    <row r="182" spans="45:45">
      <c r="AS182" s="47"/>
    </row>
    <row r="183" spans="45:45">
      <c r="AS183" s="47"/>
    </row>
    <row r="184" spans="45:45">
      <c r="AS184" s="47"/>
    </row>
    <row r="185" spans="45:45">
      <c r="AS185" s="47"/>
    </row>
    <row r="186" spans="45:45">
      <c r="AS186" s="47"/>
    </row>
    <row r="187" spans="45:45">
      <c r="AS187" s="47"/>
    </row>
    <row r="188" spans="45:45">
      <c r="AS188" s="47"/>
    </row>
    <row r="189" spans="45:45">
      <c r="AS189" s="47"/>
    </row>
    <row r="190" spans="45:45">
      <c r="AS190" s="47"/>
    </row>
    <row r="191" spans="45:45">
      <c r="AS191" s="47"/>
    </row>
    <row r="192" spans="45:45">
      <c r="AS192" s="47"/>
    </row>
    <row r="193" spans="45:45">
      <c r="AS193" s="47"/>
    </row>
    <row r="194" spans="45:45">
      <c r="AS194" s="47"/>
    </row>
    <row r="195" spans="45:45">
      <c r="AS195" s="47"/>
    </row>
    <row r="196" spans="45:45">
      <c r="AS196" s="47"/>
    </row>
    <row r="197" spans="45:45">
      <c r="AS197" s="47"/>
    </row>
    <row r="198" spans="45:45">
      <c r="AS198" s="47"/>
    </row>
    <row r="199" spans="45:45">
      <c r="AS199" s="47"/>
    </row>
    <row r="200" spans="45:45">
      <c r="AS200" s="47"/>
    </row>
    <row r="201" spans="45:45">
      <c r="AS201" s="47"/>
    </row>
    <row r="202" spans="45:45">
      <c r="AS202" s="47"/>
    </row>
    <row r="203" spans="45:45">
      <c r="AS203" s="47"/>
    </row>
    <row r="204" spans="45:45">
      <c r="AS204" s="47"/>
    </row>
    <row r="205" spans="45:45">
      <c r="AS205" s="47"/>
    </row>
    <row r="206" spans="45:45">
      <c r="AS206" s="47"/>
    </row>
    <row r="207" spans="45:45">
      <c r="AS207" s="47"/>
    </row>
    <row r="208" spans="45:45">
      <c r="AS208" s="47"/>
    </row>
    <row r="209" spans="45:45">
      <c r="AS209" s="47"/>
    </row>
    <row r="210" spans="45:45">
      <c r="AS210" s="47"/>
    </row>
    <row r="211" spans="45:45">
      <c r="AS211" s="47"/>
    </row>
    <row r="212" spans="45:45">
      <c r="AS212" s="47"/>
    </row>
    <row r="213" spans="45:45">
      <c r="AS213" s="47"/>
    </row>
    <row r="214" spans="45:45">
      <c r="AS214" s="47"/>
    </row>
    <row r="215" spans="45:45">
      <c r="AS215" s="47"/>
    </row>
    <row r="216" spans="45:45">
      <c r="AS216" s="47"/>
    </row>
    <row r="217" spans="45:45">
      <c r="AS217" s="47"/>
    </row>
    <row r="218" spans="45:45">
      <c r="AS218" s="47"/>
    </row>
    <row r="219" spans="45:45">
      <c r="AS219" s="47"/>
    </row>
    <row r="220" spans="45:45">
      <c r="AS220" s="47"/>
    </row>
    <row r="221" spans="45:45">
      <c r="AS221" s="47"/>
    </row>
    <row r="222" spans="45:45">
      <c r="AS222" s="47"/>
    </row>
    <row r="223" spans="45:45">
      <c r="AS223" s="47"/>
    </row>
    <row r="224" spans="45:45">
      <c r="AS224" s="47"/>
    </row>
    <row r="225" spans="45:45">
      <c r="AS225" s="47"/>
    </row>
    <row r="226" spans="45:45">
      <c r="AS226" s="47"/>
    </row>
    <row r="227" spans="45:45">
      <c r="AS227" s="47"/>
    </row>
    <row r="228" spans="45:45">
      <c r="AS228" s="47"/>
    </row>
    <row r="229" spans="45:45">
      <c r="AS229" s="47"/>
    </row>
    <row r="230" spans="45:45">
      <c r="AS230" s="47"/>
    </row>
    <row r="231" spans="45:45">
      <c r="AS231" s="47"/>
    </row>
    <row r="232" spans="45:45">
      <c r="AS232" s="47"/>
    </row>
    <row r="233" spans="45:45">
      <c r="AS233" s="47"/>
    </row>
    <row r="234" spans="45:45">
      <c r="AS234" s="47"/>
    </row>
    <row r="235" spans="45:45">
      <c r="AS235" s="47"/>
    </row>
    <row r="236" spans="45:45">
      <c r="AS236" s="47"/>
    </row>
    <row r="237" spans="45:45">
      <c r="AS237" s="47"/>
    </row>
    <row r="238" spans="45:45">
      <c r="AS238" s="47"/>
    </row>
    <row r="239" spans="45:45">
      <c r="AS239" s="47"/>
    </row>
    <row r="240" spans="45:45">
      <c r="AS240" s="47"/>
    </row>
    <row r="241" spans="45:45">
      <c r="AS241" s="47"/>
    </row>
    <row r="242" spans="45:45">
      <c r="AS242" s="47"/>
    </row>
    <row r="243" spans="45:45">
      <c r="AS243" s="47"/>
    </row>
    <row r="244" spans="45:45">
      <c r="AS244" s="47"/>
    </row>
    <row r="245" spans="45:45">
      <c r="AS245" s="47"/>
    </row>
    <row r="246" spans="45:45">
      <c r="AS246" s="47"/>
    </row>
    <row r="247" spans="45:45">
      <c r="AS247" s="47"/>
    </row>
    <row r="248" spans="45:45">
      <c r="AS248" s="47"/>
    </row>
    <row r="249" spans="45:45">
      <c r="AS249" s="47"/>
    </row>
    <row r="250" spans="45:45">
      <c r="AS250" s="47"/>
    </row>
    <row r="251" spans="45:45">
      <c r="AS251" s="47"/>
    </row>
    <row r="252" spans="45:45">
      <c r="AS252" s="47"/>
    </row>
    <row r="253" spans="45:45">
      <c r="AS253" s="47"/>
    </row>
    <row r="254" spans="45:45">
      <c r="AS254" s="47"/>
    </row>
    <row r="255" spans="45:45">
      <c r="AS255" s="47"/>
    </row>
    <row r="256" spans="45:45">
      <c r="AS256" s="47"/>
    </row>
    <row r="257" spans="45:45">
      <c r="AS257" s="47"/>
    </row>
    <row r="258" spans="45:45">
      <c r="AS258" s="47"/>
    </row>
    <row r="259" spans="45:45">
      <c r="AS259" s="47"/>
    </row>
    <row r="260" spans="45:45">
      <c r="AS260" s="47"/>
    </row>
    <row r="261" spans="45:45">
      <c r="AS261" s="47"/>
    </row>
    <row r="262" spans="45:45">
      <c r="AS262" s="47"/>
    </row>
    <row r="263" spans="45:45">
      <c r="AS263" s="47"/>
    </row>
    <row r="264" spans="45:45">
      <c r="AS264" s="47"/>
    </row>
    <row r="265" spans="45:45">
      <c r="AS265" s="47"/>
    </row>
    <row r="266" spans="45:45">
      <c r="AS266" s="47"/>
    </row>
    <row r="267" spans="45:45">
      <c r="AS267" s="47"/>
    </row>
    <row r="268" spans="45:45">
      <c r="AS268" s="47"/>
    </row>
    <row r="269" spans="45:45">
      <c r="AS269" s="47"/>
    </row>
    <row r="270" spans="45:45">
      <c r="AS270" s="47"/>
    </row>
    <row r="271" spans="45:45">
      <c r="AS271" s="47"/>
    </row>
    <row r="272" spans="45:45">
      <c r="AS272" s="47"/>
    </row>
    <row r="273" spans="45:45">
      <c r="AS273" s="47"/>
    </row>
    <row r="274" spans="45:45">
      <c r="AS274" s="47"/>
    </row>
    <row r="275" spans="45:45">
      <c r="AS275" s="47"/>
    </row>
    <row r="276" spans="45:45">
      <c r="AS276" s="47"/>
    </row>
    <row r="277" spans="45:45">
      <c r="AS277" s="47"/>
    </row>
    <row r="278" spans="45:45">
      <c r="AS278" s="47"/>
    </row>
    <row r="279" spans="45:45">
      <c r="AS279" s="47"/>
    </row>
    <row r="280" spans="45:45">
      <c r="AS280" s="47"/>
    </row>
    <row r="281" spans="45:45">
      <c r="AS281" s="47"/>
    </row>
    <row r="282" spans="45:45">
      <c r="AS282" s="47"/>
    </row>
    <row r="283" spans="45:45">
      <c r="AS283" s="47"/>
    </row>
    <row r="284" spans="45:45">
      <c r="AS284" s="47"/>
    </row>
    <row r="285" spans="45:45">
      <c r="AS285" s="47"/>
    </row>
    <row r="286" spans="45:45">
      <c r="AS286" s="47"/>
    </row>
    <row r="287" spans="45:45">
      <c r="AS287" s="47"/>
    </row>
    <row r="288" spans="45:45">
      <c r="AS288" s="47"/>
    </row>
    <row r="289" spans="45:45">
      <c r="AS289" s="47"/>
    </row>
    <row r="290" spans="45:45">
      <c r="AS290" s="47"/>
    </row>
    <row r="291" spans="45:45">
      <c r="AS291" s="47"/>
    </row>
    <row r="292" spans="45:45">
      <c r="AS292" s="47"/>
    </row>
    <row r="293" spans="45:45">
      <c r="AS293" s="47"/>
    </row>
    <row r="294" spans="45:45">
      <c r="AS294" s="47"/>
    </row>
    <row r="295" spans="45:45">
      <c r="AS295" s="47"/>
    </row>
    <row r="296" spans="45:45">
      <c r="AS296" s="47"/>
    </row>
    <row r="297" spans="45:45">
      <c r="AS297" s="47"/>
    </row>
    <row r="298" spans="45:45">
      <c r="AS298" s="47"/>
    </row>
    <row r="299" spans="45:45">
      <c r="AS299" s="47"/>
    </row>
    <row r="300" spans="45:45">
      <c r="AS300" s="47"/>
    </row>
    <row r="301" spans="45:45">
      <c r="AS301" s="47"/>
    </row>
    <row r="302" spans="45:45">
      <c r="AS302" s="47"/>
    </row>
    <row r="303" spans="45:45">
      <c r="AS303" s="47"/>
    </row>
    <row r="304" spans="45:45">
      <c r="AS304" s="47"/>
    </row>
    <row r="305" spans="45:45">
      <c r="AS305" s="47"/>
    </row>
    <row r="306" spans="45:45">
      <c r="AS306" s="47"/>
    </row>
    <row r="307" spans="45:45">
      <c r="AS307" s="47"/>
    </row>
    <row r="308" spans="45:45">
      <c r="AS308" s="47"/>
    </row>
    <row r="309" spans="45:45">
      <c r="AS309" s="47"/>
    </row>
    <row r="310" spans="45:45">
      <c r="AS310" s="47"/>
    </row>
    <row r="311" spans="45:45">
      <c r="AS311" s="47"/>
    </row>
    <row r="312" spans="45:45">
      <c r="AS312" s="47"/>
    </row>
    <row r="313" spans="45:45">
      <c r="AS313" s="47"/>
    </row>
    <row r="314" spans="45:45">
      <c r="AS314" s="47"/>
    </row>
    <row r="315" spans="45:45">
      <c r="AS315" s="47"/>
    </row>
    <row r="316" spans="45:45">
      <c r="AS316" s="47"/>
    </row>
    <row r="317" spans="45:45">
      <c r="AS317" s="47"/>
    </row>
    <row r="318" spans="45:45">
      <c r="AS318" s="47"/>
    </row>
    <row r="319" spans="45:45">
      <c r="AS319" s="47"/>
    </row>
    <row r="320" spans="45:45">
      <c r="AS320" s="47"/>
    </row>
    <row r="321" spans="45:45">
      <c r="AS321" s="47"/>
    </row>
    <row r="322" spans="45:45">
      <c r="AS322" s="47"/>
    </row>
    <row r="323" spans="45:45">
      <c r="AS323" s="47"/>
    </row>
    <row r="324" spans="45:45">
      <c r="AS324" s="47"/>
    </row>
    <row r="325" spans="45:45">
      <c r="AS325" s="47"/>
    </row>
    <row r="326" spans="45:45">
      <c r="AS326" s="47"/>
    </row>
    <row r="327" spans="45:45">
      <c r="AS327" s="47"/>
    </row>
    <row r="328" spans="45:45">
      <c r="AS328" s="47"/>
    </row>
    <row r="329" spans="45:45">
      <c r="AS329" s="47"/>
    </row>
    <row r="330" spans="45:45">
      <c r="AS330" s="47"/>
    </row>
    <row r="331" spans="45:45">
      <c r="AS331" s="47"/>
    </row>
    <row r="332" spans="45:45">
      <c r="AS332" s="47"/>
    </row>
    <row r="333" spans="45:45">
      <c r="AS333" s="47"/>
    </row>
    <row r="334" spans="45:45">
      <c r="AS334" s="47"/>
    </row>
    <row r="335" spans="45:45">
      <c r="AS335" s="47"/>
    </row>
    <row r="336" spans="45:45">
      <c r="AS336" s="47"/>
    </row>
    <row r="337" spans="45:45">
      <c r="AS337" s="47"/>
    </row>
    <row r="338" spans="45:45">
      <c r="AS338" s="47"/>
    </row>
    <row r="339" spans="45:45">
      <c r="AS339" s="47"/>
    </row>
    <row r="340" spans="45:45">
      <c r="AS340" s="47"/>
    </row>
    <row r="341" spans="45:45">
      <c r="AS341" s="47"/>
    </row>
    <row r="342" spans="45:45">
      <c r="AS342" s="47"/>
    </row>
    <row r="343" spans="45:45">
      <c r="AS343" s="47"/>
    </row>
    <row r="344" spans="45:45">
      <c r="AS344" s="47"/>
    </row>
    <row r="345" spans="45:45">
      <c r="AS345" s="47"/>
    </row>
    <row r="346" spans="45:45">
      <c r="AS346" s="47"/>
    </row>
    <row r="347" spans="45:45">
      <c r="AS347" s="47"/>
    </row>
    <row r="348" spans="45:45">
      <c r="AS348" s="47"/>
    </row>
    <row r="349" spans="45:45">
      <c r="AS349" s="47"/>
    </row>
    <row r="350" spans="45:45">
      <c r="AS350" s="47"/>
    </row>
    <row r="351" spans="45:45">
      <c r="AS351" s="47"/>
    </row>
    <row r="352" spans="45:45">
      <c r="AS352" s="47"/>
    </row>
    <row r="353" spans="45:45">
      <c r="AS353" s="47"/>
    </row>
    <row r="354" spans="45:45">
      <c r="AS354" s="47"/>
    </row>
    <row r="355" spans="45:45">
      <c r="AS355" s="47"/>
    </row>
    <row r="356" spans="45:45">
      <c r="AS356" s="47"/>
    </row>
    <row r="357" spans="45:45">
      <c r="AS357" s="47"/>
    </row>
    <row r="358" spans="45:45">
      <c r="AS358" s="47"/>
    </row>
    <row r="359" spans="45:45">
      <c r="AS359" s="47"/>
    </row>
    <row r="360" spans="45:45">
      <c r="AS360" s="47"/>
    </row>
    <row r="361" spans="45:45">
      <c r="AS361" s="47"/>
    </row>
    <row r="362" spans="45:45">
      <c r="AS362" s="47"/>
    </row>
    <row r="363" spans="45:45">
      <c r="AS363" s="47"/>
    </row>
    <row r="364" spans="45:45">
      <c r="AS364" s="47"/>
    </row>
    <row r="365" spans="45:45">
      <c r="AS365" s="47"/>
    </row>
    <row r="366" spans="45:45">
      <c r="AS366" s="47"/>
    </row>
    <row r="367" spans="45:45">
      <c r="AS367" s="47"/>
    </row>
    <row r="368" spans="45:45">
      <c r="AS368" s="47"/>
    </row>
    <row r="369" spans="45:45">
      <c r="AS369" s="47"/>
    </row>
    <row r="370" spans="45:45">
      <c r="AS370" s="47"/>
    </row>
    <row r="371" spans="45:45">
      <c r="AS371" s="47"/>
    </row>
    <row r="372" spans="45:45">
      <c r="AS372" s="47"/>
    </row>
    <row r="373" spans="45:45">
      <c r="AS373" s="47"/>
    </row>
    <row r="374" spans="45:45">
      <c r="AS374" s="47"/>
    </row>
    <row r="375" spans="45:45">
      <c r="AS375" s="47"/>
    </row>
    <row r="376" spans="45:45">
      <c r="AS376" s="47"/>
    </row>
    <row r="377" spans="45:45">
      <c r="AS377" s="47"/>
    </row>
    <row r="378" spans="45:45">
      <c r="AS378" s="47"/>
    </row>
    <row r="379" spans="45:45">
      <c r="AS379" s="47"/>
    </row>
    <row r="380" spans="45:45">
      <c r="AS380" s="47"/>
    </row>
    <row r="381" spans="45:45">
      <c r="AS381" s="47"/>
    </row>
    <row r="382" spans="45:45">
      <c r="AS382" s="47"/>
    </row>
    <row r="383" spans="45:45">
      <c r="AS383" s="47"/>
    </row>
    <row r="384" spans="45:45">
      <c r="AS384" s="47"/>
    </row>
    <row r="385" spans="45:45">
      <c r="AS385" s="47"/>
    </row>
    <row r="386" spans="45:45">
      <c r="AS386" s="47"/>
    </row>
    <row r="387" spans="45:45">
      <c r="AS387" s="47"/>
    </row>
    <row r="388" spans="45:45">
      <c r="AS388" s="47"/>
    </row>
    <row r="389" spans="45:45">
      <c r="AS389" s="47"/>
    </row>
    <row r="390" spans="45:45">
      <c r="AS390" s="47"/>
    </row>
    <row r="391" spans="45:45">
      <c r="AS391" s="47"/>
    </row>
    <row r="392" spans="45:45">
      <c r="AS392" s="47"/>
    </row>
    <row r="393" spans="45:45">
      <c r="AS393" s="47"/>
    </row>
    <row r="394" spans="45:45">
      <c r="AS394" s="47"/>
    </row>
    <row r="395" spans="45:45">
      <c r="AS395" s="47"/>
    </row>
    <row r="396" spans="45:45">
      <c r="AS396" s="47"/>
    </row>
    <row r="397" spans="45:45">
      <c r="AS397" s="47"/>
    </row>
    <row r="398" spans="45:45">
      <c r="AS398" s="47"/>
    </row>
    <row r="399" spans="45:45">
      <c r="AS399" s="47"/>
    </row>
    <row r="400" spans="45:45">
      <c r="AS400" s="47"/>
    </row>
    <row r="401" spans="45:45">
      <c r="AS401" s="47"/>
    </row>
    <row r="402" spans="45:45">
      <c r="AS402" s="47"/>
    </row>
    <row r="403" spans="45:45">
      <c r="AS403" s="47"/>
    </row>
    <row r="404" spans="45:45">
      <c r="AS404" s="47"/>
    </row>
    <row r="405" spans="45:45">
      <c r="AS405" s="47"/>
    </row>
    <row r="406" spans="45:45">
      <c r="AS406" s="47"/>
    </row>
    <row r="407" spans="45:45">
      <c r="AS407" s="47"/>
    </row>
    <row r="408" spans="45:45">
      <c r="AS408" s="47"/>
    </row>
    <row r="409" spans="45:45">
      <c r="AS409" s="47"/>
    </row>
    <row r="410" spans="45:45">
      <c r="AS410" s="47"/>
    </row>
    <row r="411" spans="45:45">
      <c r="AS411" s="47"/>
    </row>
    <row r="412" spans="45:45">
      <c r="AS412" s="47"/>
    </row>
    <row r="413" spans="45:45">
      <c r="AS413" s="47"/>
    </row>
    <row r="414" spans="45:45">
      <c r="AS414" s="47"/>
    </row>
    <row r="415" spans="45:45">
      <c r="AS415" s="47"/>
    </row>
    <row r="416" spans="45:45">
      <c r="AS416" s="47"/>
    </row>
    <row r="417" spans="45:45">
      <c r="AS417" s="47"/>
    </row>
    <row r="418" spans="45:45">
      <c r="AS418" s="47"/>
    </row>
    <row r="419" spans="45:45">
      <c r="AS419" s="47"/>
    </row>
    <row r="420" spans="45:45">
      <c r="AS420" s="47"/>
    </row>
    <row r="421" spans="45:45">
      <c r="AS421" s="47"/>
    </row>
    <row r="422" spans="45:45">
      <c r="AS422" s="47"/>
    </row>
    <row r="423" spans="45:45">
      <c r="AS423" s="47"/>
    </row>
    <row r="424" spans="45:45">
      <c r="AS424" s="47"/>
    </row>
    <row r="425" spans="45:45">
      <c r="AS425" s="47"/>
    </row>
    <row r="426" spans="45:45">
      <c r="AS426" s="47"/>
    </row>
    <row r="427" spans="45:45">
      <c r="AS427" s="47"/>
    </row>
    <row r="428" spans="45:45">
      <c r="AS428" s="47"/>
    </row>
    <row r="429" spans="45:45">
      <c r="AS429" s="47"/>
    </row>
    <row r="430" spans="45:45">
      <c r="AS430" s="47"/>
    </row>
    <row r="431" spans="45:45">
      <c r="AS431" s="47"/>
    </row>
    <row r="432" spans="45:45">
      <c r="AS432" s="47"/>
    </row>
    <row r="433" spans="45:45">
      <c r="AS433" s="47"/>
    </row>
    <row r="434" spans="45:45">
      <c r="AS434" s="47"/>
    </row>
    <row r="435" spans="45:45">
      <c r="AS435" s="47"/>
    </row>
    <row r="436" spans="45:45">
      <c r="AS436" s="47"/>
    </row>
    <row r="437" spans="45:45">
      <c r="AS437" s="47"/>
    </row>
    <row r="438" spans="45:45">
      <c r="AS438" s="47"/>
    </row>
    <row r="439" spans="45:45">
      <c r="AS439" s="47"/>
    </row>
    <row r="440" spans="45:45">
      <c r="AS440" s="47"/>
    </row>
    <row r="441" spans="45:45">
      <c r="AS441" s="47"/>
    </row>
    <row r="442" spans="45:45">
      <c r="AS442" s="47"/>
    </row>
    <row r="443" spans="45:45">
      <c r="AS443" s="47"/>
    </row>
    <row r="444" spans="45:45">
      <c r="AS444" s="47"/>
    </row>
    <row r="445" spans="45:45">
      <c r="AS445" s="47"/>
    </row>
    <row r="446" spans="45:45">
      <c r="AS446" s="47"/>
    </row>
    <row r="447" spans="45:45">
      <c r="AS447" s="47"/>
    </row>
    <row r="448" spans="45:45">
      <c r="AS448" s="47"/>
    </row>
    <row r="449" spans="45:45">
      <c r="AS449" s="47"/>
    </row>
    <row r="450" spans="45:45">
      <c r="AS450" s="47"/>
    </row>
    <row r="451" spans="45:45">
      <c r="AS451" s="47"/>
    </row>
    <row r="452" spans="45:45">
      <c r="AS452" s="47"/>
    </row>
    <row r="453" spans="45:45">
      <c r="AS453" s="47"/>
    </row>
    <row r="454" spans="45:45">
      <c r="AS454" s="47"/>
    </row>
    <row r="455" spans="45:45">
      <c r="AS455" s="47"/>
    </row>
    <row r="456" spans="45:45">
      <c r="AS456" s="47"/>
    </row>
    <row r="457" spans="45:45">
      <c r="AS457" s="47"/>
    </row>
    <row r="458" spans="45:45">
      <c r="AS458" s="47"/>
    </row>
    <row r="459" spans="45:45">
      <c r="AS459" s="47"/>
    </row>
    <row r="460" spans="45:45">
      <c r="AS460" s="47"/>
    </row>
    <row r="461" spans="45:45">
      <c r="AS461" s="47"/>
    </row>
    <row r="462" spans="45:45">
      <c r="AS462" s="47"/>
    </row>
    <row r="463" spans="45:45">
      <c r="AS463" s="47"/>
    </row>
    <row r="464" spans="45:45">
      <c r="AS464" s="47"/>
    </row>
    <row r="465" spans="45:45">
      <c r="AS465" s="47"/>
    </row>
    <row r="466" spans="45:45">
      <c r="AS466" s="47"/>
    </row>
    <row r="467" spans="45:45">
      <c r="AS467" s="47"/>
    </row>
    <row r="468" spans="45:45">
      <c r="AS468" s="47"/>
    </row>
    <row r="469" spans="45:45">
      <c r="AS469" s="47"/>
    </row>
    <row r="470" spans="45:45">
      <c r="AS470" s="47"/>
    </row>
    <row r="471" spans="45:45">
      <c r="AS471" s="47"/>
    </row>
    <row r="472" spans="45:45">
      <c r="AS472" s="47"/>
    </row>
    <row r="473" spans="45:45">
      <c r="AS473" s="47"/>
    </row>
    <row r="474" spans="45:45">
      <c r="AS474" s="47"/>
    </row>
    <row r="475" spans="45:45">
      <c r="AS475" s="47"/>
    </row>
    <row r="476" spans="45:45">
      <c r="AS476" s="47"/>
    </row>
    <row r="477" spans="45:45">
      <c r="AS477" s="47"/>
    </row>
    <row r="478" spans="45:45">
      <c r="AS478" s="47"/>
    </row>
    <row r="479" spans="45:45">
      <c r="AS479" s="47"/>
    </row>
    <row r="480" spans="45:45">
      <c r="AS480" s="47"/>
    </row>
    <row r="481" spans="45:45">
      <c r="AS481" s="47"/>
    </row>
    <row r="482" spans="45:45">
      <c r="AS482" s="47"/>
    </row>
    <row r="483" spans="45:45">
      <c r="AS483" s="47"/>
    </row>
    <row r="484" spans="45:45">
      <c r="AS484" s="47"/>
    </row>
    <row r="485" spans="45:45">
      <c r="AS485" s="47"/>
    </row>
    <row r="486" spans="45:45">
      <c r="AS486" s="47"/>
    </row>
    <row r="487" spans="45:45">
      <c r="AS487" s="47"/>
    </row>
    <row r="488" spans="45:45">
      <c r="AS488" s="47"/>
    </row>
    <row r="489" spans="45:45">
      <c r="AS489" s="47"/>
    </row>
    <row r="490" spans="45:45">
      <c r="AS490" s="47"/>
    </row>
    <row r="491" spans="45:45">
      <c r="AS491" s="47"/>
    </row>
    <row r="492" spans="45:45">
      <c r="AS492" s="47"/>
    </row>
    <row r="493" spans="45:45">
      <c r="AS493" s="47"/>
    </row>
    <row r="494" spans="45:45">
      <c r="AS494" s="47"/>
    </row>
    <row r="495" spans="45:45">
      <c r="AS495" s="47"/>
    </row>
    <row r="496" spans="45:45">
      <c r="AS496" s="47"/>
    </row>
    <row r="497" spans="45:45">
      <c r="AS497" s="47"/>
    </row>
    <row r="498" spans="45:45">
      <c r="AS498" s="47"/>
    </row>
    <row r="499" spans="45:45">
      <c r="AS499" s="47"/>
    </row>
    <row r="500" spans="45:45">
      <c r="AS500" s="47"/>
    </row>
    <row r="501" spans="45:45">
      <c r="AS501" s="47"/>
    </row>
    <row r="502" spans="45:45">
      <c r="AS502" s="47"/>
    </row>
    <row r="503" spans="45:45">
      <c r="AS503" s="47"/>
    </row>
    <row r="504" spans="45:45">
      <c r="AS504" s="47"/>
    </row>
    <row r="505" spans="45:45">
      <c r="AS505" s="47"/>
    </row>
    <row r="506" spans="45:45">
      <c r="AS506" s="47"/>
    </row>
    <row r="507" spans="45:45">
      <c r="AS507" s="47"/>
    </row>
    <row r="508" spans="45:45">
      <c r="AS508" s="47"/>
    </row>
    <row r="509" spans="45:45">
      <c r="AS509" s="47"/>
    </row>
    <row r="510" spans="45:45">
      <c r="AS510" s="47"/>
    </row>
    <row r="511" spans="45:45">
      <c r="AS511" s="47"/>
    </row>
    <row r="512" spans="45:45">
      <c r="AS512" s="47"/>
    </row>
    <row r="513" spans="45:45">
      <c r="AS513" s="47"/>
    </row>
    <row r="514" spans="45:45">
      <c r="AS514" s="47"/>
    </row>
    <row r="515" spans="45:45">
      <c r="AS515" s="47"/>
    </row>
    <row r="516" spans="45:45">
      <c r="AS516" s="47"/>
    </row>
    <row r="517" spans="45:45">
      <c r="AS517" s="47"/>
    </row>
    <row r="518" spans="45:45">
      <c r="AS518" s="47"/>
    </row>
    <row r="519" spans="45:45">
      <c r="AS519" s="47"/>
    </row>
    <row r="520" spans="45:45">
      <c r="AS520" s="47"/>
    </row>
    <row r="521" spans="45:45">
      <c r="AS521" s="47"/>
    </row>
    <row r="522" spans="45:45">
      <c r="AS522" s="47"/>
    </row>
    <row r="523" spans="45:45">
      <c r="AS523" s="47"/>
    </row>
    <row r="524" spans="45:45">
      <c r="AS524" s="47"/>
    </row>
    <row r="525" spans="45:45">
      <c r="AS525" s="47"/>
    </row>
    <row r="526" spans="45:45">
      <c r="AS526" s="47"/>
    </row>
    <row r="527" spans="45:45">
      <c r="AS527" s="47"/>
    </row>
    <row r="528" spans="45:45">
      <c r="AS528" s="47"/>
    </row>
    <row r="529" spans="45:45">
      <c r="AS529" s="47"/>
    </row>
    <row r="530" spans="45:45">
      <c r="AS530" s="47"/>
    </row>
    <row r="531" spans="45:45">
      <c r="AS531" s="47"/>
    </row>
    <row r="532" spans="45:45">
      <c r="AS532" s="47"/>
    </row>
    <row r="533" spans="45:45">
      <c r="AS533" s="47"/>
    </row>
    <row r="534" spans="45:45">
      <c r="AS534" s="47"/>
    </row>
    <row r="535" spans="45:45">
      <c r="AS535" s="47"/>
    </row>
    <row r="536" spans="45:45">
      <c r="AS536" s="47"/>
    </row>
    <row r="537" spans="45:45">
      <c r="AS537" s="47"/>
    </row>
    <row r="538" spans="45:45">
      <c r="AS538" s="47"/>
    </row>
    <row r="539" spans="45:45">
      <c r="AS539" s="47"/>
    </row>
    <row r="540" spans="45:45">
      <c r="AS540" s="47"/>
    </row>
    <row r="541" spans="45:45">
      <c r="AS541" s="47"/>
    </row>
    <row r="542" spans="45:45">
      <c r="AS542" s="47"/>
    </row>
    <row r="543" spans="45:45">
      <c r="AS543" s="47"/>
    </row>
    <row r="544" spans="45:45">
      <c r="AS544" s="47"/>
    </row>
    <row r="545" spans="45:45">
      <c r="AS545" s="47"/>
    </row>
    <row r="546" spans="45:45">
      <c r="AS546" s="47"/>
    </row>
    <row r="547" spans="45:45">
      <c r="AS547" s="47"/>
    </row>
    <row r="548" spans="45:45">
      <c r="AS548" s="47"/>
    </row>
    <row r="549" spans="45:45">
      <c r="AS549" s="47"/>
    </row>
    <row r="550" spans="45:45">
      <c r="AS550" s="47"/>
    </row>
    <row r="551" spans="45:45">
      <c r="AS551" s="47"/>
    </row>
    <row r="552" spans="45:45">
      <c r="AS552" s="47"/>
    </row>
    <row r="553" spans="45:45">
      <c r="AS553" s="47"/>
    </row>
    <row r="554" spans="45:45">
      <c r="AS554" s="47"/>
    </row>
    <row r="555" spans="45:45">
      <c r="AS555" s="47"/>
    </row>
    <row r="556" spans="45:45">
      <c r="AS556" s="47"/>
    </row>
    <row r="557" spans="45:45">
      <c r="AS557" s="47"/>
    </row>
    <row r="558" spans="45:45">
      <c r="AS558" s="47"/>
    </row>
    <row r="559" spans="45:45">
      <c r="AS559" s="47"/>
    </row>
    <row r="560" spans="45:45">
      <c r="AS560" s="47"/>
    </row>
    <row r="561" spans="45:45">
      <c r="AS561" s="47"/>
    </row>
    <row r="562" spans="45:45">
      <c r="AS562" s="47"/>
    </row>
    <row r="563" spans="45:45">
      <c r="AS563" s="47"/>
    </row>
    <row r="564" spans="45:45">
      <c r="AS564" s="47"/>
    </row>
    <row r="565" spans="45:45">
      <c r="AS565" s="47"/>
    </row>
    <row r="566" spans="45:45">
      <c r="AS566" s="47"/>
    </row>
    <row r="567" spans="45:45">
      <c r="AS567" s="47"/>
    </row>
    <row r="568" spans="45:45">
      <c r="AS568" s="47"/>
    </row>
    <row r="569" spans="45:45">
      <c r="AS569" s="47"/>
    </row>
    <row r="570" spans="45:45">
      <c r="AS570" s="47"/>
    </row>
    <row r="571" spans="45:45">
      <c r="AS571" s="47"/>
    </row>
    <row r="572" spans="45:45">
      <c r="AS572" s="47"/>
    </row>
    <row r="573" spans="45:45">
      <c r="AS573" s="47"/>
    </row>
    <row r="574" spans="45:45">
      <c r="AS574" s="47"/>
    </row>
    <row r="575" spans="45:45">
      <c r="AS575" s="47"/>
    </row>
    <row r="576" spans="45:45">
      <c r="AS576" s="47"/>
    </row>
    <row r="577" spans="45:45">
      <c r="AS577" s="47"/>
    </row>
    <row r="578" spans="45:45">
      <c r="AS578" s="47"/>
    </row>
    <row r="579" spans="45:45">
      <c r="AS579" s="47"/>
    </row>
    <row r="580" spans="45:45">
      <c r="AS580" s="47"/>
    </row>
    <row r="581" spans="45:45">
      <c r="AS581" s="47"/>
    </row>
    <row r="582" spans="45:45">
      <c r="AS582" s="47"/>
    </row>
    <row r="583" spans="45:45">
      <c r="AS583" s="47"/>
    </row>
    <row r="584" spans="45:45">
      <c r="AS584" s="47"/>
    </row>
    <row r="585" spans="45:45">
      <c r="AS585" s="47"/>
    </row>
    <row r="586" spans="45:45">
      <c r="AS586" s="47"/>
    </row>
    <row r="587" spans="45:45">
      <c r="AS587" s="47"/>
    </row>
    <row r="588" spans="45:45">
      <c r="AS588" s="47"/>
    </row>
    <row r="589" spans="45:45">
      <c r="AS589" s="47"/>
    </row>
    <row r="590" spans="45:45">
      <c r="AS590" s="47"/>
    </row>
    <row r="591" spans="45:45">
      <c r="AS591" s="47"/>
    </row>
    <row r="592" spans="45:45">
      <c r="AS592" s="47"/>
    </row>
    <row r="593" spans="45:45">
      <c r="AS593" s="47"/>
    </row>
    <row r="594" spans="45:45">
      <c r="AS594" s="47"/>
    </row>
    <row r="595" spans="45:45">
      <c r="AS595" s="47"/>
    </row>
    <row r="596" spans="45:45">
      <c r="AS596" s="47"/>
    </row>
    <row r="597" spans="45:45">
      <c r="AS597" s="47"/>
    </row>
    <row r="598" spans="45:45">
      <c r="AS598" s="47"/>
    </row>
    <row r="599" spans="45:45">
      <c r="AS599" s="47"/>
    </row>
    <row r="600" spans="45:45">
      <c r="AS600" s="47"/>
    </row>
    <row r="601" spans="45:45">
      <c r="AS601" s="47"/>
    </row>
    <row r="602" spans="45:45">
      <c r="AS602" s="47"/>
    </row>
    <row r="603" spans="45:45">
      <c r="AS603" s="47"/>
    </row>
    <row r="604" spans="45:45">
      <c r="AS604" s="47"/>
    </row>
    <row r="605" spans="45:45">
      <c r="AS605" s="47"/>
    </row>
    <row r="606" spans="45:45">
      <c r="AS606" s="47"/>
    </row>
    <row r="607" spans="45:45">
      <c r="AS607" s="47"/>
    </row>
    <row r="608" spans="45:45">
      <c r="AS608" s="47"/>
    </row>
    <row r="609" spans="45:45">
      <c r="AS609" s="47"/>
    </row>
    <row r="610" spans="45:45">
      <c r="AS610" s="47"/>
    </row>
    <row r="611" spans="45:45">
      <c r="AS611" s="47"/>
    </row>
    <row r="612" spans="45:45">
      <c r="AS612" s="47"/>
    </row>
    <row r="613" spans="45:45">
      <c r="AS613" s="47"/>
    </row>
    <row r="614" spans="45:45">
      <c r="AS614" s="47"/>
    </row>
    <row r="615" spans="45:45">
      <c r="AS615" s="47"/>
    </row>
    <row r="616" spans="45:45">
      <c r="AS616" s="47"/>
    </row>
    <row r="617" spans="45:45">
      <c r="AS617" s="47"/>
    </row>
    <row r="618" spans="45:45">
      <c r="AS618" s="47"/>
    </row>
    <row r="619" spans="45:45">
      <c r="AS619" s="47"/>
    </row>
    <row r="620" spans="45:45">
      <c r="AS620" s="47"/>
    </row>
    <row r="621" spans="45:45">
      <c r="AS621" s="47"/>
    </row>
    <row r="622" spans="45:45">
      <c r="AS622" s="47"/>
    </row>
    <row r="623" spans="45:45">
      <c r="AS623" s="47"/>
    </row>
    <row r="624" spans="45:45">
      <c r="AS624" s="47"/>
    </row>
    <row r="625" spans="45:45">
      <c r="AS625" s="47"/>
    </row>
    <row r="626" spans="45:45">
      <c r="AS626" s="47"/>
    </row>
    <row r="627" spans="45:45">
      <c r="AS627" s="47"/>
    </row>
    <row r="628" spans="45:45">
      <c r="AS628" s="47"/>
    </row>
    <row r="629" spans="45:45">
      <c r="AS629" s="47"/>
    </row>
    <row r="630" spans="45:45">
      <c r="AS630" s="47"/>
    </row>
    <row r="631" spans="45:45">
      <c r="AS631" s="47"/>
    </row>
    <row r="632" spans="45:45">
      <c r="AS632" s="47"/>
    </row>
    <row r="633" spans="45:45">
      <c r="AS633" s="47"/>
    </row>
    <row r="634" spans="45:45">
      <c r="AS634" s="47"/>
    </row>
    <row r="635" spans="45:45">
      <c r="AS635" s="47"/>
    </row>
    <row r="636" spans="45:45">
      <c r="AS636" s="47"/>
    </row>
    <row r="637" spans="45:45">
      <c r="AS637" s="47"/>
    </row>
    <row r="638" spans="45:45">
      <c r="AS638" s="47"/>
    </row>
    <row r="639" spans="45:45">
      <c r="AS639" s="47"/>
    </row>
    <row r="640" spans="45:45">
      <c r="AS640" s="47"/>
    </row>
    <row r="641" spans="45:45">
      <c r="AS641" s="47"/>
    </row>
    <row r="642" spans="45:45">
      <c r="AS642" s="47"/>
    </row>
    <row r="643" spans="45:45">
      <c r="AS643" s="47"/>
    </row>
    <row r="644" spans="45:45">
      <c r="AS644" s="47"/>
    </row>
    <row r="645" spans="45:45">
      <c r="AS645" s="47"/>
    </row>
    <row r="646" spans="45:45">
      <c r="AS646" s="47"/>
    </row>
    <row r="647" spans="45:45">
      <c r="AS647" s="47"/>
    </row>
    <row r="648" spans="45:45">
      <c r="AS648" s="47"/>
    </row>
    <row r="649" spans="45:45">
      <c r="AS649" s="47"/>
    </row>
    <row r="650" spans="45:45">
      <c r="AS650" s="47"/>
    </row>
    <row r="651" spans="45:45">
      <c r="AS651" s="47"/>
    </row>
    <row r="652" spans="45:45">
      <c r="AS652" s="47"/>
    </row>
    <row r="653" spans="45:45">
      <c r="AS653" s="47"/>
    </row>
    <row r="654" spans="45:45">
      <c r="AS654" s="47"/>
    </row>
    <row r="655" spans="45:45">
      <c r="AS655" s="47"/>
    </row>
    <row r="656" spans="45:45">
      <c r="AS656" s="47"/>
    </row>
    <row r="657" spans="45:45">
      <c r="AS657" s="47"/>
    </row>
    <row r="658" spans="45:45">
      <c r="AS658" s="47"/>
    </row>
    <row r="659" spans="45:45">
      <c r="AS659" s="47"/>
    </row>
    <row r="660" spans="45:45">
      <c r="AS660" s="47"/>
    </row>
    <row r="661" spans="45:45">
      <c r="AS661" s="47"/>
    </row>
    <row r="662" spans="45:45">
      <c r="AS662" s="47"/>
    </row>
    <row r="663" spans="45:45">
      <c r="AS663" s="47"/>
    </row>
    <row r="664" spans="45:45">
      <c r="AS664" s="47"/>
    </row>
    <row r="665" spans="45:45">
      <c r="AS665" s="47"/>
    </row>
    <row r="666" spans="45:45">
      <c r="AS666" s="47"/>
    </row>
    <row r="667" spans="45:45">
      <c r="AS667" s="47"/>
    </row>
    <row r="668" spans="45:45">
      <c r="AS668" s="47"/>
    </row>
    <row r="669" spans="45:45">
      <c r="AS669" s="47"/>
    </row>
    <row r="670" spans="45:45">
      <c r="AS670" s="47"/>
    </row>
    <row r="671" spans="45:45">
      <c r="AS671" s="47"/>
    </row>
    <row r="672" spans="45:45">
      <c r="AS672" s="47"/>
    </row>
    <row r="673" spans="45:45">
      <c r="AS673" s="47"/>
    </row>
    <row r="674" spans="45:45">
      <c r="AS674" s="47"/>
    </row>
    <row r="675" spans="45:45">
      <c r="AS675" s="47"/>
    </row>
    <row r="676" spans="45:45">
      <c r="AS676" s="47"/>
    </row>
    <row r="677" spans="45:45">
      <c r="AS677" s="47"/>
    </row>
    <row r="678" spans="45:45">
      <c r="AS678" s="47"/>
    </row>
    <row r="679" spans="45:45">
      <c r="AS679" s="47"/>
    </row>
    <row r="680" spans="45:45">
      <c r="AS680" s="47"/>
    </row>
    <row r="681" spans="45:45">
      <c r="AS681" s="47"/>
    </row>
    <row r="682" spans="45:45">
      <c r="AS682" s="47"/>
    </row>
    <row r="683" spans="45:45">
      <c r="AS683" s="47"/>
    </row>
    <row r="684" spans="45:45">
      <c r="AS684" s="47"/>
    </row>
    <row r="685" spans="45:45">
      <c r="AS685" s="47"/>
    </row>
    <row r="686" spans="45:45">
      <c r="AS686" s="47"/>
    </row>
    <row r="687" spans="45:45">
      <c r="AS687" s="47"/>
    </row>
    <row r="688" spans="45:45">
      <c r="AS688" s="47"/>
    </row>
    <row r="689" spans="45:45">
      <c r="AS689" s="47"/>
    </row>
    <row r="690" spans="45:45">
      <c r="AS690" s="47"/>
    </row>
    <row r="691" spans="45:45">
      <c r="AS691" s="47"/>
    </row>
    <row r="692" spans="45:45">
      <c r="AS692" s="47"/>
    </row>
    <row r="693" spans="45:45">
      <c r="AS693" s="47"/>
    </row>
    <row r="694" spans="45:45">
      <c r="AS694" s="47"/>
    </row>
    <row r="695" spans="45:45">
      <c r="AS695" s="47"/>
    </row>
    <row r="696" spans="45:45">
      <c r="AS696" s="47"/>
    </row>
    <row r="697" spans="45:45">
      <c r="AS697" s="47"/>
    </row>
    <row r="698" spans="45:45">
      <c r="AS698" s="47"/>
    </row>
    <row r="699" spans="45:45">
      <c r="AS699" s="47"/>
    </row>
    <row r="700" spans="45:45">
      <c r="AS700" s="47"/>
    </row>
    <row r="701" spans="45:45">
      <c r="AS701" s="47"/>
    </row>
    <row r="702" spans="45:45">
      <c r="AS702" s="47"/>
    </row>
    <row r="703" spans="45:45">
      <c r="AS703" s="47"/>
    </row>
    <row r="704" spans="45:45">
      <c r="AS704" s="47"/>
    </row>
    <row r="705" spans="45:45">
      <c r="AS705" s="47"/>
    </row>
    <row r="706" spans="45:45">
      <c r="AS706" s="47"/>
    </row>
    <row r="707" spans="45:45">
      <c r="AS707" s="47"/>
    </row>
    <row r="708" spans="45:45">
      <c r="AS708" s="47"/>
    </row>
    <row r="709" spans="45:45">
      <c r="AS709" s="47"/>
    </row>
    <row r="710" spans="45:45">
      <c r="AS710" s="47"/>
    </row>
    <row r="711" spans="45:45">
      <c r="AS711" s="47"/>
    </row>
    <row r="712" spans="45:45">
      <c r="AS712" s="47"/>
    </row>
    <row r="713" spans="45:45">
      <c r="AS713" s="47"/>
    </row>
    <row r="714" spans="45:45">
      <c r="AS714" s="47"/>
    </row>
    <row r="715" spans="45:45">
      <c r="AS715" s="47"/>
    </row>
    <row r="716" spans="45:45">
      <c r="AS716" s="47"/>
    </row>
    <row r="717" spans="45:45">
      <c r="AS717" s="47"/>
    </row>
    <row r="718" spans="45:45">
      <c r="AS718" s="47"/>
    </row>
    <row r="719" spans="45:45">
      <c r="AS719" s="47"/>
    </row>
    <row r="720" spans="45:45">
      <c r="AS720" s="47"/>
    </row>
    <row r="721" spans="45:45">
      <c r="AS721" s="47"/>
    </row>
    <row r="722" spans="45:45">
      <c r="AS722" s="47"/>
    </row>
    <row r="723" spans="45:45">
      <c r="AS723" s="47"/>
    </row>
    <row r="724" spans="45:45">
      <c r="AS724" s="47"/>
    </row>
    <row r="725" spans="45:45">
      <c r="AS725" s="47"/>
    </row>
    <row r="726" spans="45:45">
      <c r="AS726" s="47"/>
    </row>
    <row r="727" spans="45:45">
      <c r="AS727" s="47"/>
    </row>
    <row r="728" spans="45:45">
      <c r="AS728" s="47"/>
    </row>
    <row r="729" spans="45:45">
      <c r="AS729" s="47"/>
    </row>
    <row r="730" spans="45:45">
      <c r="AS730" s="47"/>
    </row>
    <row r="731" spans="45:45">
      <c r="AS731" s="47"/>
    </row>
    <row r="732" spans="45:45">
      <c r="AS732" s="47"/>
    </row>
    <row r="733" spans="45:45">
      <c r="AS733" s="47"/>
    </row>
    <row r="734" spans="45:45">
      <c r="AS734" s="47"/>
    </row>
    <row r="735" spans="45:45">
      <c r="AS735" s="47"/>
    </row>
    <row r="736" spans="45:45">
      <c r="AS736" s="47"/>
    </row>
    <row r="737" spans="45:45">
      <c r="AS737" s="47"/>
    </row>
    <row r="738" spans="45:45">
      <c r="AS738" s="47"/>
    </row>
    <row r="739" spans="45:45">
      <c r="AS739" s="47"/>
    </row>
    <row r="740" spans="45:45">
      <c r="AS740" s="47"/>
    </row>
    <row r="741" spans="45:45">
      <c r="AS741" s="47"/>
    </row>
    <row r="742" spans="45:45">
      <c r="AS742" s="47"/>
    </row>
    <row r="743" spans="45:45">
      <c r="AS743" s="47"/>
    </row>
    <row r="744" spans="45:45">
      <c r="AS744" s="47"/>
    </row>
    <row r="745" spans="45:45">
      <c r="AS745" s="47"/>
    </row>
    <row r="746" spans="45:45">
      <c r="AS746" s="47"/>
    </row>
    <row r="747" spans="45:45">
      <c r="AS747" s="47"/>
    </row>
    <row r="748" spans="45:45">
      <c r="AS748" s="47"/>
    </row>
    <row r="749" spans="45:45">
      <c r="AS749" s="47"/>
    </row>
    <row r="750" spans="45:45">
      <c r="AS750" s="47"/>
    </row>
    <row r="751" spans="45:45">
      <c r="AS751" s="47"/>
    </row>
    <row r="752" spans="45:45">
      <c r="AS752" s="47"/>
    </row>
    <row r="753" spans="45:45">
      <c r="AS753" s="47"/>
    </row>
    <row r="754" spans="45:45">
      <c r="AS754" s="47"/>
    </row>
    <row r="755" spans="45:45">
      <c r="AS755" s="47"/>
    </row>
    <row r="756" spans="45:45">
      <c r="AS756" s="47"/>
    </row>
    <row r="757" spans="45:45">
      <c r="AS757" s="47"/>
    </row>
    <row r="758" spans="45:45">
      <c r="AS758" s="47"/>
    </row>
    <row r="759" spans="45:45">
      <c r="AS759" s="47"/>
    </row>
    <row r="760" spans="45:45">
      <c r="AS760" s="47"/>
    </row>
    <row r="761" spans="45:45">
      <c r="AS761" s="47"/>
    </row>
    <row r="762" spans="45:45">
      <c r="AS762" s="47"/>
    </row>
    <row r="763" spans="45:45">
      <c r="AS763" s="47"/>
    </row>
    <row r="764" spans="45:45">
      <c r="AS764" s="47"/>
    </row>
    <row r="765" spans="45:45">
      <c r="AS765" s="47"/>
    </row>
    <row r="766" spans="45:45">
      <c r="AS766" s="47"/>
    </row>
    <row r="767" spans="45:45">
      <c r="AS767" s="47"/>
    </row>
    <row r="768" spans="45:45">
      <c r="AS768" s="47"/>
    </row>
    <row r="769" spans="45:45">
      <c r="AS769" s="47"/>
    </row>
    <row r="770" spans="45:45">
      <c r="AS770" s="47"/>
    </row>
    <row r="771" spans="45:45">
      <c r="AS771" s="47"/>
    </row>
    <row r="772" spans="45:45">
      <c r="AS772" s="47"/>
    </row>
    <row r="773" spans="45:45">
      <c r="AS773" s="47"/>
    </row>
    <row r="774" spans="45:45">
      <c r="AS774" s="47"/>
    </row>
    <row r="775" spans="45:45">
      <c r="AS775" s="47"/>
    </row>
    <row r="776" spans="45:45">
      <c r="AS776" s="47"/>
    </row>
    <row r="777" spans="45:45">
      <c r="AS777" s="47"/>
    </row>
    <row r="778" spans="45:45">
      <c r="AS778" s="47"/>
    </row>
    <row r="779" spans="45:45">
      <c r="AS779" s="47"/>
    </row>
    <row r="780" spans="45:45">
      <c r="AS780" s="47"/>
    </row>
    <row r="781" spans="45:45">
      <c r="AS781" s="47"/>
    </row>
    <row r="782" spans="45:45">
      <c r="AS782" s="47"/>
    </row>
    <row r="783" spans="45:45">
      <c r="AS783" s="47"/>
    </row>
    <row r="784" spans="45:45">
      <c r="AS784" s="47"/>
    </row>
    <row r="785" spans="45:45">
      <c r="AS785" s="47"/>
    </row>
    <row r="786" spans="45:45">
      <c r="AS786" s="47"/>
    </row>
    <row r="787" spans="45:45">
      <c r="AS787" s="47"/>
    </row>
    <row r="788" spans="45:45">
      <c r="AS788" s="47"/>
    </row>
    <row r="789" spans="45:45">
      <c r="AS789" s="47"/>
    </row>
    <row r="790" spans="45:45">
      <c r="AS790" s="47"/>
    </row>
    <row r="791" spans="45:45">
      <c r="AS791" s="47"/>
    </row>
    <row r="792" spans="45:45">
      <c r="AS792" s="47"/>
    </row>
    <row r="793" spans="45:45">
      <c r="AS793" s="47"/>
    </row>
    <row r="794" spans="45:45">
      <c r="AS794" s="47"/>
    </row>
    <row r="795" spans="45:45">
      <c r="AS795" s="47"/>
    </row>
    <row r="796" spans="45:45">
      <c r="AS796" s="47"/>
    </row>
    <row r="797" spans="45:45">
      <c r="AS797" s="47"/>
    </row>
    <row r="798" spans="45:45">
      <c r="AS798" s="47"/>
    </row>
    <row r="799" spans="45:45">
      <c r="AS799" s="47"/>
    </row>
    <row r="800" spans="45:45">
      <c r="AS800" s="47"/>
    </row>
    <row r="801" spans="45:45">
      <c r="AS801" s="47"/>
    </row>
    <row r="802" spans="45:45">
      <c r="AS802" s="47"/>
    </row>
    <row r="803" spans="45:45">
      <c r="AS803" s="47"/>
    </row>
    <row r="804" spans="45:45">
      <c r="AS804" s="47"/>
    </row>
    <row r="805" spans="45:45">
      <c r="AS805" s="47"/>
    </row>
    <row r="806" spans="45:45">
      <c r="AS806" s="47"/>
    </row>
    <row r="807" spans="45:45">
      <c r="AS807" s="47"/>
    </row>
    <row r="808" spans="45:45">
      <c r="AS808" s="47"/>
    </row>
    <row r="809" spans="45:45">
      <c r="AS809" s="47"/>
    </row>
    <row r="810" spans="45:45">
      <c r="AS810" s="47"/>
    </row>
    <row r="811" spans="45:45">
      <c r="AS811" s="47"/>
    </row>
    <row r="812" spans="45:45">
      <c r="AS812" s="47"/>
    </row>
    <row r="813" spans="45:45">
      <c r="AS813" s="47"/>
    </row>
    <row r="814" spans="45:45">
      <c r="AS814" s="47"/>
    </row>
    <row r="815" spans="45:45">
      <c r="AS815" s="47"/>
    </row>
    <row r="816" spans="45:45">
      <c r="AS816" s="47"/>
    </row>
    <row r="817" spans="45:45">
      <c r="AS817" s="47"/>
    </row>
    <row r="818" spans="45:45">
      <c r="AS818" s="47"/>
    </row>
    <row r="819" spans="45:45">
      <c r="AS819" s="47"/>
    </row>
    <row r="820" spans="45:45">
      <c r="AS820" s="47"/>
    </row>
    <row r="821" spans="45:45">
      <c r="AS821" s="47"/>
    </row>
    <row r="822" spans="45:45">
      <c r="AS822" s="47"/>
    </row>
    <row r="823" spans="45:45">
      <c r="AS823" s="47"/>
    </row>
    <row r="824" spans="45:45">
      <c r="AS824" s="47"/>
    </row>
    <row r="825" spans="45:45">
      <c r="AS825" s="47"/>
    </row>
    <row r="826" spans="45:45">
      <c r="AS826" s="47"/>
    </row>
    <row r="827" spans="45:45">
      <c r="AS827" s="47"/>
    </row>
    <row r="828" spans="45:45">
      <c r="AS828" s="47"/>
    </row>
    <row r="829" spans="45:45">
      <c r="AS829" s="47"/>
    </row>
    <row r="830" spans="45:45">
      <c r="AS830" s="47"/>
    </row>
    <row r="831" spans="45:45">
      <c r="AS831" s="47"/>
    </row>
    <row r="832" spans="45:45">
      <c r="AS832" s="47"/>
    </row>
    <row r="833" spans="45:45">
      <c r="AS833" s="47"/>
    </row>
    <row r="834" spans="45:45">
      <c r="AS834" s="47"/>
    </row>
    <row r="835" spans="45:45">
      <c r="AS835" s="47"/>
    </row>
    <row r="836" spans="45:45">
      <c r="AS836" s="47"/>
    </row>
    <row r="837" spans="45:45">
      <c r="AS837" s="47"/>
    </row>
    <row r="838" spans="45:45">
      <c r="AS838" s="47"/>
    </row>
    <row r="839" spans="45:45">
      <c r="AS839" s="47"/>
    </row>
    <row r="840" spans="45:45">
      <c r="AS840" s="47"/>
    </row>
    <row r="841" spans="45:45">
      <c r="AS841" s="47"/>
    </row>
    <row r="842" spans="45:45">
      <c r="AS842" s="47"/>
    </row>
    <row r="843" spans="45:45">
      <c r="AS843" s="47"/>
    </row>
    <row r="844" spans="45:45">
      <c r="AS844" s="47"/>
    </row>
    <row r="845" spans="45:45">
      <c r="AS845" s="47"/>
    </row>
    <row r="846" spans="45:45">
      <c r="AS846" s="47"/>
    </row>
    <row r="847" spans="45:45">
      <c r="AS847" s="47"/>
    </row>
    <row r="848" spans="45:45">
      <c r="AS848" s="47"/>
    </row>
    <row r="849" spans="45:45">
      <c r="AS849" s="47"/>
    </row>
    <row r="850" spans="45:45">
      <c r="AS850" s="47"/>
    </row>
    <row r="851" spans="45:45">
      <c r="AS851" s="47"/>
    </row>
    <row r="852" spans="45:45">
      <c r="AS852" s="47"/>
    </row>
    <row r="853" spans="45:45">
      <c r="AS853" s="47"/>
    </row>
    <row r="854" spans="45:45">
      <c r="AS854" s="47"/>
    </row>
    <row r="855" spans="45:45">
      <c r="AS855" s="47"/>
    </row>
    <row r="856" spans="45:45">
      <c r="AS856" s="47"/>
    </row>
    <row r="857" spans="45:45">
      <c r="AS857" s="47"/>
    </row>
    <row r="858" spans="45:45">
      <c r="AS858" s="47"/>
    </row>
    <row r="859" spans="45:45">
      <c r="AS859" s="47"/>
    </row>
    <row r="860" spans="45:45">
      <c r="AS860" s="47"/>
    </row>
    <row r="861" spans="45:45">
      <c r="AS861" s="47"/>
    </row>
    <row r="862" spans="45:45">
      <c r="AS862" s="47"/>
    </row>
    <row r="863" spans="45:45">
      <c r="AS863" s="47"/>
    </row>
    <row r="864" spans="45:45">
      <c r="AS864" s="47"/>
    </row>
    <row r="865" spans="45:45">
      <c r="AS865" s="47"/>
    </row>
    <row r="866" spans="45:45">
      <c r="AS866" s="47"/>
    </row>
    <row r="867" spans="45:45">
      <c r="AS867" s="47"/>
    </row>
    <row r="868" spans="45:45">
      <c r="AS868" s="47"/>
    </row>
    <row r="869" spans="45:45">
      <c r="AS869" s="47"/>
    </row>
    <row r="870" spans="45:45">
      <c r="AS870" s="47"/>
    </row>
    <row r="871" spans="45:45">
      <c r="AS871" s="47"/>
    </row>
    <row r="872" spans="45:45">
      <c r="AS872" s="47"/>
    </row>
    <row r="873" spans="45:45">
      <c r="AS873" s="47"/>
    </row>
    <row r="874" spans="45:45">
      <c r="AS874" s="47"/>
    </row>
    <row r="875" spans="45:45">
      <c r="AS875" s="47"/>
    </row>
    <row r="876" spans="45:45">
      <c r="AS876" s="47"/>
    </row>
    <row r="877" spans="45:45">
      <c r="AS877" s="47"/>
    </row>
    <row r="878" spans="45:45">
      <c r="AS878" s="47"/>
    </row>
    <row r="879" spans="45:45">
      <c r="AS879" s="47"/>
    </row>
    <row r="880" spans="45:45">
      <c r="AS880" s="47"/>
    </row>
    <row r="881" spans="45:45">
      <c r="AS881" s="47"/>
    </row>
    <row r="882" spans="45:45">
      <c r="AS882" s="47"/>
    </row>
    <row r="883" spans="45:45">
      <c r="AS883" s="47"/>
    </row>
    <row r="884" spans="45:45">
      <c r="AS884" s="47"/>
    </row>
    <row r="885" spans="45:45">
      <c r="AS885" s="47"/>
    </row>
    <row r="886" spans="45:45">
      <c r="AS886" s="47"/>
    </row>
    <row r="887" spans="45:45">
      <c r="AS887" s="47"/>
    </row>
    <row r="888" spans="45:45">
      <c r="AS888" s="47"/>
    </row>
    <row r="889" spans="45:45">
      <c r="AS889" s="47"/>
    </row>
    <row r="890" spans="45:45">
      <c r="AS890" s="47"/>
    </row>
    <row r="891" spans="45:45">
      <c r="AS891" s="47"/>
    </row>
    <row r="892" spans="45:45">
      <c r="AS892" s="47"/>
    </row>
    <row r="893" spans="45:45">
      <c r="AS893" s="47"/>
    </row>
    <row r="894" spans="45:45">
      <c r="AS894" s="47"/>
    </row>
    <row r="895" spans="45:45">
      <c r="AS895" s="47"/>
    </row>
    <row r="896" spans="45:45">
      <c r="AS896" s="47"/>
    </row>
    <row r="897" spans="45:45">
      <c r="AS897" s="47"/>
    </row>
    <row r="898" spans="45:45">
      <c r="AS898" s="47"/>
    </row>
    <row r="899" spans="45:45">
      <c r="AS899" s="47"/>
    </row>
    <row r="900" spans="45:45">
      <c r="AS900" s="47"/>
    </row>
    <row r="901" spans="45:45">
      <c r="AS901" s="47"/>
    </row>
    <row r="902" spans="45:45">
      <c r="AS902" s="47"/>
    </row>
    <row r="903" spans="45:45">
      <c r="AS903" s="47"/>
    </row>
    <row r="904" spans="45:45">
      <c r="AS904" s="47"/>
    </row>
    <row r="905" spans="45:45">
      <c r="AS905" s="47"/>
    </row>
    <row r="906" spans="45:45">
      <c r="AS906" s="47"/>
    </row>
    <row r="907" spans="45:45">
      <c r="AS907" s="47"/>
    </row>
    <row r="908" spans="45:45">
      <c r="AS908" s="47"/>
    </row>
    <row r="909" spans="45:45">
      <c r="AS909" s="47"/>
    </row>
    <row r="910" spans="45:45">
      <c r="AS910" s="47"/>
    </row>
    <row r="911" spans="45:45">
      <c r="AS911" s="47"/>
    </row>
    <row r="912" spans="45:45">
      <c r="AS912" s="47"/>
    </row>
    <row r="913" spans="45:45">
      <c r="AS913" s="47"/>
    </row>
    <row r="914" spans="45:45">
      <c r="AS914" s="47"/>
    </row>
    <row r="915" spans="45:45">
      <c r="AS915" s="47"/>
    </row>
    <row r="916" spans="45:45">
      <c r="AS916" s="47"/>
    </row>
    <row r="917" spans="45:45">
      <c r="AS917" s="47"/>
    </row>
    <row r="918" spans="45:45">
      <c r="AS918" s="47"/>
    </row>
    <row r="919" spans="45:45">
      <c r="AS919" s="47"/>
    </row>
    <row r="920" spans="45:45">
      <c r="AS920" s="47"/>
    </row>
    <row r="921" spans="45:45">
      <c r="AS921" s="47"/>
    </row>
    <row r="922" spans="45:45">
      <c r="AS922" s="47"/>
    </row>
    <row r="923" spans="45:45">
      <c r="AS923" s="47"/>
    </row>
    <row r="924" spans="45:45">
      <c r="AS924" s="47"/>
    </row>
    <row r="925" spans="45:45">
      <c r="AS925" s="47"/>
    </row>
    <row r="926" spans="45:45">
      <c r="AS926" s="47"/>
    </row>
    <row r="927" spans="45:45">
      <c r="AS927" s="47"/>
    </row>
    <row r="928" spans="45:45">
      <c r="AS928" s="47"/>
    </row>
    <row r="929" spans="45:45">
      <c r="AS929" s="47"/>
    </row>
    <row r="930" spans="45:45">
      <c r="AS930" s="47"/>
    </row>
    <row r="931" spans="45:45">
      <c r="AS931" s="47"/>
    </row>
    <row r="932" spans="45:45">
      <c r="AS932" s="47"/>
    </row>
    <row r="933" spans="45:45">
      <c r="AS933" s="47"/>
    </row>
    <row r="934" spans="45:45">
      <c r="AS934" s="47"/>
    </row>
    <row r="935" spans="45:45">
      <c r="AS935" s="47"/>
    </row>
    <row r="936" spans="45:45">
      <c r="AS936" s="47"/>
    </row>
    <row r="937" spans="45:45">
      <c r="AS937" s="47"/>
    </row>
    <row r="938" spans="45:45">
      <c r="AS938" s="47"/>
    </row>
    <row r="939" spans="45:45">
      <c r="AS939" s="47"/>
    </row>
    <row r="940" spans="45:45">
      <c r="AS940" s="47"/>
    </row>
    <row r="941" spans="45:45">
      <c r="AS941" s="47"/>
    </row>
    <row r="942" spans="45:45">
      <c r="AS942" s="47"/>
    </row>
    <row r="943" spans="45:45">
      <c r="AS943" s="47"/>
    </row>
    <row r="944" spans="45:45">
      <c r="AS944" s="47"/>
    </row>
    <row r="945" spans="45:45">
      <c r="AS945" s="47"/>
    </row>
    <row r="946" spans="45:45">
      <c r="AS946" s="47"/>
    </row>
    <row r="947" spans="45:45">
      <c r="AS947" s="47"/>
    </row>
    <row r="948" spans="45:45">
      <c r="AS948" s="47"/>
    </row>
    <row r="949" spans="45:45">
      <c r="AS949" s="47"/>
    </row>
    <row r="950" spans="45:45">
      <c r="AS950" s="47"/>
    </row>
    <row r="951" spans="45:45">
      <c r="AS951" s="47"/>
    </row>
    <row r="952" spans="45:45">
      <c r="AS952" s="47"/>
    </row>
    <row r="953" spans="45:45">
      <c r="AS953" s="47"/>
    </row>
    <row r="954" spans="45:45">
      <c r="AS954" s="47"/>
    </row>
    <row r="955" spans="45:45">
      <c r="AS955" s="47"/>
    </row>
    <row r="956" spans="45:45">
      <c r="AS956" s="47"/>
    </row>
    <row r="957" spans="45:45">
      <c r="AS957" s="47"/>
    </row>
    <row r="958" spans="45:45">
      <c r="AS958" s="47"/>
    </row>
    <row r="959" spans="45:45">
      <c r="AS959" s="47"/>
    </row>
    <row r="960" spans="45:45">
      <c r="AS960" s="47"/>
    </row>
    <row r="961" spans="45:45">
      <c r="AS961" s="47"/>
    </row>
    <row r="962" spans="45:45">
      <c r="AS962" s="47"/>
    </row>
    <row r="963" spans="45:45">
      <c r="AS963" s="47"/>
    </row>
    <row r="964" spans="45:45">
      <c r="AS964" s="47"/>
    </row>
    <row r="965" spans="45:45">
      <c r="AS965" s="47"/>
    </row>
    <row r="966" spans="45:45">
      <c r="AS966" s="47"/>
    </row>
    <row r="967" spans="45:45">
      <c r="AS967" s="47"/>
    </row>
    <row r="968" spans="45:45">
      <c r="AS968" s="47"/>
    </row>
    <row r="969" spans="45:45">
      <c r="AS969" s="47"/>
    </row>
    <row r="970" spans="45:45">
      <c r="AS970" s="47"/>
    </row>
    <row r="971" spans="45:45">
      <c r="AS971" s="47"/>
    </row>
    <row r="972" spans="45:45">
      <c r="AS972" s="47"/>
    </row>
    <row r="973" spans="45:45">
      <c r="AS973" s="47"/>
    </row>
    <row r="974" spans="45:45">
      <c r="AS974" s="47"/>
    </row>
    <row r="975" spans="45:45">
      <c r="AS975" s="47"/>
    </row>
    <row r="976" spans="45:45">
      <c r="AS976" s="47"/>
    </row>
    <row r="977" spans="45:45">
      <c r="AS977" s="47"/>
    </row>
    <row r="978" spans="45:45">
      <c r="AS978" s="47"/>
    </row>
    <row r="979" spans="45:45">
      <c r="AS979" s="47"/>
    </row>
    <row r="980" spans="45:45">
      <c r="AS980" s="47"/>
    </row>
    <row r="981" spans="45:45">
      <c r="AS981" s="47"/>
    </row>
    <row r="982" spans="45:45">
      <c r="AS982" s="47"/>
    </row>
    <row r="983" spans="45:45">
      <c r="AS983" s="47"/>
    </row>
    <row r="984" spans="45:45">
      <c r="AS984" s="47"/>
    </row>
    <row r="985" spans="45:45">
      <c r="AS985" s="47"/>
    </row>
    <row r="986" spans="45:45">
      <c r="AS986" s="47"/>
    </row>
    <row r="987" spans="45:45">
      <c r="AS987" s="47"/>
    </row>
    <row r="988" spans="45:45">
      <c r="AS988" s="47"/>
    </row>
    <row r="989" spans="45:45">
      <c r="AS989" s="47"/>
    </row>
    <row r="990" spans="45:45">
      <c r="AS990" s="47"/>
    </row>
    <row r="991" spans="45:45">
      <c r="AS991" s="47"/>
    </row>
    <row r="992" spans="45:45">
      <c r="AS992" s="47"/>
    </row>
    <row r="993" spans="45:45">
      <c r="AS993" s="47"/>
    </row>
    <row r="994" spans="45:45">
      <c r="AS994" s="47"/>
    </row>
    <row r="995" spans="45:45">
      <c r="AS995" s="47"/>
    </row>
    <row r="996" spans="45:45">
      <c r="AS996" s="47"/>
    </row>
    <row r="997" spans="45:45">
      <c r="AS997" s="47"/>
    </row>
    <row r="998" spans="45:45">
      <c r="AS998" s="47"/>
    </row>
    <row r="999" spans="45:45">
      <c r="AS999" s="47"/>
    </row>
    <row r="1000" spans="45:45">
      <c r="AS1000" s="47"/>
    </row>
    <row r="1001" spans="45:45">
      <c r="AS1001" s="47"/>
    </row>
    <row r="1002" spans="45:45">
      <c r="AS1002" s="47"/>
    </row>
    <row r="1003" spans="45:45">
      <c r="AS1003" s="47"/>
    </row>
    <row r="1004" spans="45:45">
      <c r="AS1004" s="47"/>
    </row>
    <row r="1005" spans="45:45">
      <c r="AS1005" s="47"/>
    </row>
    <row r="1006" spans="45:45">
      <c r="AS1006" s="47"/>
    </row>
    <row r="1007" spans="45:45">
      <c r="AS1007" s="47"/>
    </row>
    <row r="1008" spans="45:45">
      <c r="AS1008" s="47"/>
    </row>
    <row r="1009" spans="45:45">
      <c r="AS1009" s="47"/>
    </row>
    <row r="1010" spans="45:45">
      <c r="AS1010" s="47"/>
    </row>
    <row r="1011" spans="45:45">
      <c r="AS1011" s="47"/>
    </row>
    <row r="1012" spans="45:45">
      <c r="AS1012" s="47"/>
    </row>
    <row r="1013" spans="45:45">
      <c r="AS1013" s="47"/>
    </row>
    <row r="1014" spans="45:45">
      <c r="AS1014" s="47"/>
    </row>
    <row r="1015" spans="45:45">
      <c r="AS1015" s="47"/>
    </row>
    <row r="1016" spans="45:45">
      <c r="AS1016" s="47"/>
    </row>
    <row r="1017" spans="45:45">
      <c r="AS1017" s="47"/>
    </row>
    <row r="1018" spans="45:45">
      <c r="AS1018" s="47"/>
    </row>
    <row r="1019" spans="45:45">
      <c r="AS1019" s="47"/>
    </row>
    <row r="1020" spans="45:45">
      <c r="AS1020" s="47"/>
    </row>
    <row r="1021" spans="45:45">
      <c r="AS1021" s="47"/>
    </row>
    <row r="1022" spans="45:45">
      <c r="AS1022" s="47"/>
    </row>
    <row r="1023" spans="45:45">
      <c r="AS1023" s="47"/>
    </row>
    <row r="1024" spans="45:45">
      <c r="AS1024" s="47"/>
    </row>
    <row r="1025" spans="45:45">
      <c r="AS1025" s="47"/>
    </row>
    <row r="1026" spans="45:45">
      <c r="AS1026" s="47"/>
    </row>
    <row r="1027" spans="45:45">
      <c r="AS1027" s="47"/>
    </row>
    <row r="1028" spans="45:45">
      <c r="AS1028" s="47"/>
    </row>
    <row r="1029" spans="45:45">
      <c r="AS1029" s="47"/>
    </row>
    <row r="1030" spans="45:45">
      <c r="AS1030" s="47"/>
    </row>
    <row r="1031" spans="45:45">
      <c r="AS1031" s="47"/>
    </row>
    <row r="1032" spans="45:45">
      <c r="AS1032" s="47"/>
    </row>
    <row r="1033" spans="45:45">
      <c r="AS1033" s="47"/>
    </row>
    <row r="1034" spans="45:45">
      <c r="AS1034" s="47"/>
    </row>
    <row r="1035" spans="45:45">
      <c r="AS1035" s="47"/>
    </row>
    <row r="1036" spans="45:45">
      <c r="AS1036" s="47"/>
    </row>
    <row r="1037" spans="45:45">
      <c r="AS1037" s="47"/>
    </row>
    <row r="1038" spans="45:45">
      <c r="AS1038" s="47"/>
    </row>
    <row r="1039" spans="45:45">
      <c r="AS1039" s="47"/>
    </row>
    <row r="1040" spans="45:45">
      <c r="AS1040" s="47"/>
    </row>
    <row r="1041" spans="45:45">
      <c r="AS1041" s="47"/>
    </row>
    <row r="1042" spans="45:45">
      <c r="AS1042" s="47"/>
    </row>
    <row r="1043" spans="45:45">
      <c r="AS1043" s="47"/>
    </row>
    <row r="1044" spans="45:45">
      <c r="AS1044" s="47"/>
    </row>
    <row r="1045" spans="45:45">
      <c r="AS1045" s="47"/>
    </row>
    <row r="1046" spans="45:45">
      <c r="AS1046" s="47"/>
    </row>
    <row r="1047" spans="45:45">
      <c r="AS1047" s="47"/>
    </row>
    <row r="1048" spans="45:45">
      <c r="AS1048" s="47"/>
    </row>
    <row r="1049" spans="45:45">
      <c r="AS1049" s="47"/>
    </row>
    <row r="1050" spans="45:45">
      <c r="AS1050" s="47"/>
    </row>
    <row r="1051" spans="45:45">
      <c r="AS1051" s="47"/>
    </row>
    <row r="1052" spans="45:45">
      <c r="AS1052" s="47"/>
    </row>
    <row r="1053" spans="45:45">
      <c r="AS1053" s="47"/>
    </row>
    <row r="1054" spans="45:45">
      <c r="AS1054" s="47"/>
    </row>
    <row r="1055" spans="45:45">
      <c r="AS1055" s="47"/>
    </row>
    <row r="1056" spans="45:45">
      <c r="AS1056" s="47"/>
    </row>
    <row r="1057" spans="45:45">
      <c r="AS1057" s="47"/>
    </row>
    <row r="1058" spans="45:45">
      <c r="AS1058" s="47"/>
    </row>
    <row r="1059" spans="45:45">
      <c r="AS1059" s="47"/>
    </row>
    <row r="1060" spans="45:45">
      <c r="AS1060" s="47"/>
    </row>
    <row r="1061" spans="45:45">
      <c r="AS1061" s="47"/>
    </row>
    <row r="1062" spans="45:45">
      <c r="AS1062" s="47"/>
    </row>
    <row r="1063" spans="45:45">
      <c r="AS1063" s="47"/>
    </row>
    <row r="1064" spans="45:45">
      <c r="AS1064" s="47"/>
    </row>
    <row r="1065" spans="45:45">
      <c r="AS1065" s="47"/>
    </row>
    <row r="1066" spans="45:45">
      <c r="AS1066" s="47"/>
    </row>
    <row r="1067" spans="45:45">
      <c r="AS1067" s="47"/>
    </row>
    <row r="1068" spans="45:45">
      <c r="AS1068" s="47"/>
    </row>
    <row r="1069" spans="45:45">
      <c r="AS1069" s="47"/>
    </row>
    <row r="1070" spans="45:45">
      <c r="AS1070" s="47"/>
    </row>
    <row r="1071" spans="45:45">
      <c r="AS1071" s="47"/>
    </row>
    <row r="1072" spans="45:45">
      <c r="AS1072" s="47"/>
    </row>
    <row r="1073" spans="45:45">
      <c r="AS1073" s="47"/>
    </row>
    <row r="1074" spans="45:45">
      <c r="AS1074" s="47"/>
    </row>
    <row r="1075" spans="45:45">
      <c r="AS1075" s="47"/>
    </row>
    <row r="1076" spans="45:45">
      <c r="AS1076" s="47"/>
    </row>
    <row r="1077" spans="45:45">
      <c r="AS1077" s="47"/>
    </row>
    <row r="1078" spans="45:45">
      <c r="AS1078" s="47"/>
    </row>
    <row r="1079" spans="45:45">
      <c r="AS1079" s="47"/>
    </row>
    <row r="1080" spans="45:45">
      <c r="AS1080" s="47"/>
    </row>
    <row r="1081" spans="45:45">
      <c r="AS1081" s="47"/>
    </row>
    <row r="1082" spans="45:45">
      <c r="AS1082" s="47"/>
    </row>
    <row r="1083" spans="45:45">
      <c r="AS1083" s="47"/>
    </row>
    <row r="1084" spans="45:45">
      <c r="AS1084" s="47"/>
    </row>
    <row r="1085" spans="45:45">
      <c r="AS1085" s="47"/>
    </row>
    <row r="1086" spans="45:45">
      <c r="AS1086" s="47"/>
    </row>
    <row r="1087" spans="45:45">
      <c r="AS1087" s="47"/>
    </row>
    <row r="1088" spans="45:45">
      <c r="AS1088" s="47"/>
    </row>
    <row r="1089" spans="45:45">
      <c r="AS1089" s="47"/>
    </row>
    <row r="1090" spans="45:45">
      <c r="AS1090" s="47"/>
    </row>
    <row r="1091" spans="45:45">
      <c r="AS1091" s="47"/>
    </row>
    <row r="1092" spans="45:45">
      <c r="AS1092" s="47"/>
    </row>
    <row r="1093" spans="45:45">
      <c r="AS1093" s="47"/>
    </row>
    <row r="1094" spans="45:45">
      <c r="AS1094" s="47"/>
    </row>
    <row r="1095" spans="45:45">
      <c r="AS1095" s="47"/>
    </row>
    <row r="1096" spans="45:45">
      <c r="AS1096" s="47"/>
    </row>
    <row r="1097" spans="45:45">
      <c r="AS1097" s="47"/>
    </row>
    <row r="1098" spans="45:45">
      <c r="AS1098" s="47"/>
    </row>
    <row r="1099" spans="45:45">
      <c r="AS1099" s="47"/>
    </row>
    <row r="1100" spans="45:45">
      <c r="AS1100" s="47"/>
    </row>
    <row r="1101" spans="45:45">
      <c r="AS1101" s="47"/>
    </row>
    <row r="1102" spans="45:45">
      <c r="AS1102" s="47"/>
    </row>
    <row r="1103" spans="45:45">
      <c r="AS1103" s="47"/>
    </row>
    <row r="1104" spans="45:45">
      <c r="AS1104" s="47"/>
    </row>
    <row r="1105" spans="45:45">
      <c r="AS1105" s="47"/>
    </row>
    <row r="1106" spans="45:45">
      <c r="AS1106" s="47"/>
    </row>
    <row r="1107" spans="45:45">
      <c r="AS1107" s="47"/>
    </row>
    <row r="1108" spans="45:45">
      <c r="AS1108" s="47"/>
    </row>
    <row r="1109" spans="45:45">
      <c r="AS1109" s="47"/>
    </row>
    <row r="1110" spans="45:45">
      <c r="AS1110" s="47"/>
    </row>
    <row r="1111" spans="45:45">
      <c r="AS1111" s="47"/>
    </row>
    <row r="1112" spans="45:45">
      <c r="AS1112" s="47"/>
    </row>
    <row r="1113" spans="45:45">
      <c r="AS1113" s="47"/>
    </row>
    <row r="1114" spans="45:45">
      <c r="AS1114" s="47"/>
    </row>
    <row r="1115" spans="45:45">
      <c r="AS1115" s="47"/>
    </row>
    <row r="1116" spans="45:45">
      <c r="AS1116" s="47"/>
    </row>
    <row r="1117" spans="45:45">
      <c r="AS1117" s="47"/>
    </row>
    <row r="1118" spans="45:45">
      <c r="AS1118" s="47"/>
    </row>
    <row r="1119" spans="45:45">
      <c r="AS1119" s="47"/>
    </row>
    <row r="1120" spans="45:45">
      <c r="AS1120" s="47"/>
    </row>
    <row r="1121" spans="45:45">
      <c r="AS1121" s="47"/>
    </row>
    <row r="1122" spans="45:45">
      <c r="AS1122" s="47"/>
    </row>
    <row r="1123" spans="45:45">
      <c r="AS1123" s="47"/>
    </row>
    <row r="1124" spans="45:45">
      <c r="AS1124" s="47"/>
    </row>
    <row r="1125" spans="45:45">
      <c r="AS1125" s="47"/>
    </row>
    <row r="1126" spans="45:45">
      <c r="AS1126" s="47"/>
    </row>
    <row r="1127" spans="45:45">
      <c r="AS1127" s="47"/>
    </row>
    <row r="1128" spans="45:45">
      <c r="AS1128" s="47"/>
    </row>
    <row r="1129" spans="45:45">
      <c r="AS1129" s="47"/>
    </row>
    <row r="1130" spans="45:45">
      <c r="AS1130" s="47"/>
    </row>
    <row r="1131" spans="45:45">
      <c r="AS1131" s="47"/>
    </row>
    <row r="1132" spans="45:45">
      <c r="AS1132" s="47"/>
    </row>
    <row r="1133" spans="45:45">
      <c r="AS1133" s="47"/>
    </row>
    <row r="1134" spans="45:45">
      <c r="AS1134" s="47"/>
    </row>
    <row r="1135" spans="45:45">
      <c r="AS1135" s="47"/>
    </row>
    <row r="1136" spans="45:45">
      <c r="AS1136" s="47"/>
    </row>
    <row r="1137" spans="45:45">
      <c r="AS1137" s="47"/>
    </row>
    <row r="1138" spans="45:45">
      <c r="AS1138" s="47"/>
    </row>
    <row r="1139" spans="45:45">
      <c r="AS1139" s="47"/>
    </row>
    <row r="1140" spans="45:45">
      <c r="AS1140" s="47"/>
    </row>
    <row r="1141" spans="45:45">
      <c r="AS1141" s="47"/>
    </row>
    <row r="1142" spans="45:45">
      <c r="AS1142" s="47"/>
    </row>
    <row r="1143" spans="45:45">
      <c r="AS1143" s="47"/>
    </row>
    <row r="1144" spans="45:45">
      <c r="AS1144" s="47"/>
    </row>
    <row r="1145" spans="45:45">
      <c r="AS1145" s="47"/>
    </row>
    <row r="1146" spans="45:45">
      <c r="AS1146" s="47"/>
    </row>
    <row r="1147" spans="45:45">
      <c r="AS1147" s="47"/>
    </row>
    <row r="1148" spans="45:45">
      <c r="AS1148" s="47"/>
    </row>
    <row r="1149" spans="45:45">
      <c r="AS1149" s="47"/>
    </row>
    <row r="1150" spans="45:45">
      <c r="AS1150" s="47"/>
    </row>
    <row r="1151" spans="45:45">
      <c r="AS1151" s="47"/>
    </row>
    <row r="1152" spans="45:45">
      <c r="AS1152" s="47"/>
    </row>
    <row r="1153" spans="45:45">
      <c r="AS1153" s="47"/>
    </row>
    <row r="1154" spans="45:45">
      <c r="AS1154" s="47"/>
    </row>
    <row r="1155" spans="45:45">
      <c r="AS1155" s="47"/>
    </row>
    <row r="1156" spans="45:45">
      <c r="AS1156" s="47"/>
    </row>
    <row r="1157" spans="45:45">
      <c r="AS1157" s="47"/>
    </row>
    <row r="1158" spans="45:45">
      <c r="AS1158" s="47"/>
    </row>
    <row r="1159" spans="45:45">
      <c r="AS1159" s="47"/>
    </row>
    <row r="1160" spans="45:45">
      <c r="AS1160" s="47"/>
    </row>
    <row r="1161" spans="45:45">
      <c r="AS1161" s="47"/>
    </row>
    <row r="1162" spans="45:45">
      <c r="AS1162" s="47"/>
    </row>
    <row r="1163" spans="45:45">
      <c r="AS1163" s="47"/>
    </row>
    <row r="1164" spans="45:45">
      <c r="AS1164" s="47"/>
    </row>
    <row r="1165" spans="45:45">
      <c r="AS1165" s="47"/>
    </row>
    <row r="1166" spans="45:45">
      <c r="AS1166" s="47"/>
    </row>
    <row r="1167" spans="45:45">
      <c r="AS1167" s="47"/>
    </row>
    <row r="1168" spans="45:45">
      <c r="AS1168" s="47"/>
    </row>
    <row r="1169" spans="45:45">
      <c r="AS1169" s="47"/>
    </row>
    <row r="1170" spans="45:45">
      <c r="AS1170" s="47"/>
    </row>
    <row r="1171" spans="45:45">
      <c r="AS1171" s="47"/>
    </row>
    <row r="1172" spans="45:45">
      <c r="AS1172" s="47"/>
    </row>
    <row r="1173" spans="45:45">
      <c r="AS1173" s="47"/>
    </row>
    <row r="1174" spans="45:45">
      <c r="AS1174" s="47"/>
    </row>
    <row r="1175" spans="45:45">
      <c r="AS1175" s="47"/>
    </row>
    <row r="1176" spans="45:45">
      <c r="AS1176" s="47"/>
    </row>
    <row r="1177" spans="45:45">
      <c r="AS1177" s="47"/>
    </row>
    <row r="1178" spans="45:45">
      <c r="AS1178" s="47"/>
    </row>
    <row r="1179" spans="45:45">
      <c r="AS1179" s="47"/>
    </row>
    <row r="1180" spans="45:45">
      <c r="AS1180" s="47"/>
    </row>
    <row r="1181" spans="45:45">
      <c r="AS1181" s="47"/>
    </row>
    <row r="1182" spans="45:45">
      <c r="AS1182" s="47"/>
    </row>
    <row r="1183" spans="45:45">
      <c r="AS1183" s="47"/>
    </row>
    <row r="1184" spans="45:45">
      <c r="AS1184" s="47"/>
    </row>
    <row r="1185" spans="45:45">
      <c r="AS1185" s="47"/>
    </row>
    <row r="1186" spans="45:45">
      <c r="AS1186" s="47"/>
    </row>
    <row r="1187" spans="45:45">
      <c r="AS1187" s="47"/>
    </row>
    <row r="1188" spans="45:45">
      <c r="AS1188" s="47"/>
    </row>
    <row r="1189" spans="45:45">
      <c r="AS1189" s="47"/>
    </row>
    <row r="1190" spans="45:45">
      <c r="AS1190" s="47"/>
    </row>
    <row r="1191" spans="45:45">
      <c r="AS1191" s="47"/>
    </row>
    <row r="1192" spans="45:45">
      <c r="AS1192" s="47"/>
    </row>
    <row r="1193" spans="45:45">
      <c r="AS1193" s="47"/>
    </row>
    <row r="1194" spans="45:45">
      <c r="AS1194" s="47"/>
    </row>
    <row r="1195" spans="45:45">
      <c r="AS1195" s="47"/>
    </row>
    <row r="1196" spans="45:45">
      <c r="AS1196" s="47"/>
    </row>
    <row r="1197" spans="45:45">
      <c r="AS1197" s="47"/>
    </row>
    <row r="1198" spans="45:45">
      <c r="AS1198" s="47"/>
    </row>
    <row r="1199" spans="45:45">
      <c r="AS1199" s="47"/>
    </row>
    <row r="1200" spans="45:45">
      <c r="AS1200" s="47"/>
    </row>
    <row r="1201" spans="45:45">
      <c r="AS1201" s="47"/>
    </row>
    <row r="1202" spans="45:45">
      <c r="AS1202" s="47"/>
    </row>
    <row r="1203" spans="45:45">
      <c r="AS1203" s="47"/>
    </row>
    <row r="1204" spans="45:45">
      <c r="AS1204" s="47"/>
    </row>
    <row r="1205" spans="45:45">
      <c r="AS1205" s="47"/>
    </row>
    <row r="1206" spans="45:45">
      <c r="AS1206" s="47"/>
    </row>
    <row r="1207" spans="45:45">
      <c r="AS1207" s="47"/>
    </row>
    <row r="1208" spans="45:45">
      <c r="AS1208" s="47"/>
    </row>
    <row r="1209" spans="45:45">
      <c r="AS1209" s="47"/>
    </row>
    <row r="1210" spans="45:45">
      <c r="AS1210" s="47"/>
    </row>
    <row r="1211" spans="45:45">
      <c r="AS1211" s="47"/>
    </row>
    <row r="1212" spans="45:45">
      <c r="AS1212" s="47"/>
    </row>
    <row r="1213" spans="45:45">
      <c r="AS1213" s="47"/>
    </row>
    <row r="1214" spans="45:45">
      <c r="AS1214" s="47"/>
    </row>
    <row r="1215" spans="45:45">
      <c r="AS1215" s="47"/>
    </row>
    <row r="1216" spans="45:45">
      <c r="AS1216" s="47"/>
    </row>
    <row r="1217" spans="45:45">
      <c r="AS1217" s="47"/>
    </row>
    <row r="1218" spans="45:45">
      <c r="AS1218" s="47"/>
    </row>
    <row r="1219" spans="45:45">
      <c r="AS1219" s="47"/>
    </row>
    <row r="1220" spans="45:45">
      <c r="AS1220" s="47"/>
    </row>
    <row r="1221" spans="45:45">
      <c r="AS1221" s="47"/>
    </row>
    <row r="1222" spans="45:45">
      <c r="AS1222" s="47"/>
    </row>
    <row r="1223" spans="45:45">
      <c r="AS1223" s="47"/>
    </row>
    <row r="1224" spans="45:45">
      <c r="AS1224" s="47"/>
    </row>
    <row r="1225" spans="45:45">
      <c r="AS1225" s="47"/>
    </row>
    <row r="1226" spans="45:45">
      <c r="AS1226" s="47"/>
    </row>
    <row r="1227" spans="45:45">
      <c r="AS1227" s="47"/>
    </row>
    <row r="1228" spans="45:45">
      <c r="AS1228" s="47"/>
    </row>
    <row r="1229" spans="45:45">
      <c r="AS1229" s="47"/>
    </row>
    <row r="1230" spans="45:45">
      <c r="AS1230" s="47"/>
    </row>
    <row r="1231" spans="45:45">
      <c r="AS1231" s="47"/>
    </row>
    <row r="1232" spans="45:45">
      <c r="AS1232" s="47"/>
    </row>
    <row r="1233" spans="45:45">
      <c r="AS1233" s="47"/>
    </row>
    <row r="1234" spans="45:45">
      <c r="AS1234" s="47"/>
    </row>
    <row r="1235" spans="45:45">
      <c r="AS1235" s="47"/>
    </row>
    <row r="1236" spans="45:45">
      <c r="AS1236" s="47"/>
    </row>
    <row r="1237" spans="45:45">
      <c r="AS1237" s="47"/>
    </row>
    <row r="1238" spans="45:45">
      <c r="AS1238" s="47"/>
    </row>
    <row r="1239" spans="45:45">
      <c r="AS1239" s="47"/>
    </row>
    <row r="1240" spans="45:45">
      <c r="AS1240" s="47"/>
    </row>
    <row r="1241" spans="45:45">
      <c r="AS1241" s="47"/>
    </row>
    <row r="1242" spans="45:45">
      <c r="AS1242" s="47"/>
    </row>
    <row r="1243" spans="45:45">
      <c r="AS1243" s="47"/>
    </row>
    <row r="1244" spans="45:45">
      <c r="AS1244" s="47"/>
    </row>
    <row r="1245" spans="45:45">
      <c r="AS1245" s="47"/>
    </row>
    <row r="1246" spans="45:45">
      <c r="AS1246" s="47"/>
    </row>
    <row r="1247" spans="45:45">
      <c r="AS1247" s="47"/>
    </row>
    <row r="1248" spans="45:45">
      <c r="AS1248" s="47"/>
    </row>
    <row r="1249" spans="45:45">
      <c r="AS1249" s="47"/>
    </row>
    <row r="1250" spans="45:45">
      <c r="AS1250" s="47"/>
    </row>
    <row r="1251" spans="45:45">
      <c r="AS1251" s="47"/>
    </row>
    <row r="1252" spans="45:45">
      <c r="AS1252" s="47"/>
    </row>
    <row r="1253" spans="45:45">
      <c r="AS1253" s="47"/>
    </row>
    <row r="1254" spans="45:45">
      <c r="AS1254" s="47"/>
    </row>
    <row r="1255" spans="45:45">
      <c r="AS1255" s="47"/>
    </row>
    <row r="1256" spans="45:45">
      <c r="AS1256" s="47"/>
    </row>
    <row r="1257" spans="45:45">
      <c r="AS1257" s="47"/>
    </row>
    <row r="1258" spans="45:45">
      <c r="AS1258" s="47"/>
    </row>
    <row r="1259" spans="45:45">
      <c r="AS1259" s="47"/>
    </row>
    <row r="1260" spans="45:45">
      <c r="AS1260" s="47"/>
    </row>
    <row r="1261" spans="45:45">
      <c r="AS1261" s="47"/>
    </row>
    <row r="1262" spans="45:45">
      <c r="AS1262" s="47"/>
    </row>
    <row r="1263" spans="45:45">
      <c r="AS1263" s="47"/>
    </row>
    <row r="1264" spans="45:45">
      <c r="AS1264" s="47"/>
    </row>
    <row r="1265" spans="45:45">
      <c r="AS1265" s="47"/>
    </row>
    <row r="1266" spans="45:45">
      <c r="AS1266" s="47"/>
    </row>
    <row r="1267" spans="45:45">
      <c r="AS1267" s="47"/>
    </row>
    <row r="1268" spans="45:45">
      <c r="AS1268" s="47"/>
    </row>
    <row r="1269" spans="45:45">
      <c r="AS1269" s="47"/>
    </row>
    <row r="1270" spans="45:45">
      <c r="AS1270" s="47"/>
    </row>
    <row r="1271" spans="45:45">
      <c r="AS1271" s="47"/>
    </row>
    <row r="1272" spans="45:45">
      <c r="AS1272" s="47"/>
    </row>
    <row r="1273" spans="45:45">
      <c r="AS1273" s="47"/>
    </row>
    <row r="1274" spans="45:45">
      <c r="AS1274" s="47"/>
    </row>
    <row r="1275" spans="45:45">
      <c r="AS1275" s="47"/>
    </row>
    <row r="1276" spans="45:45">
      <c r="AS1276" s="47"/>
    </row>
    <row r="1277" spans="45:45">
      <c r="AS1277" s="47"/>
    </row>
    <row r="1278" spans="45:45">
      <c r="AS1278" s="47"/>
    </row>
    <row r="1279" spans="45:45">
      <c r="AS1279" s="47"/>
    </row>
    <row r="1280" spans="45:45">
      <c r="AS1280" s="47"/>
    </row>
    <row r="1281" spans="45:45">
      <c r="AS1281" s="47"/>
    </row>
    <row r="1282" spans="45:45">
      <c r="AS1282" s="47"/>
    </row>
    <row r="1283" spans="45:45">
      <c r="AS1283" s="47"/>
    </row>
    <row r="1284" spans="45:45">
      <c r="AS1284" s="47"/>
    </row>
    <row r="1285" spans="45:45">
      <c r="AS1285" s="47"/>
    </row>
    <row r="1286" spans="45:45">
      <c r="AS1286" s="47"/>
    </row>
    <row r="1287" spans="45:45">
      <c r="AS1287" s="47"/>
    </row>
    <row r="1288" spans="45:45">
      <c r="AS1288" s="47"/>
    </row>
    <row r="1289" spans="45:45">
      <c r="AS1289" s="47"/>
    </row>
    <row r="1290" spans="45:45">
      <c r="AS1290" s="47"/>
    </row>
    <row r="1291" spans="45:45">
      <c r="AS1291" s="47"/>
    </row>
    <row r="1292" spans="45:45">
      <c r="AS1292" s="47"/>
    </row>
    <row r="1293" spans="45:45">
      <c r="AS1293" s="47"/>
    </row>
    <row r="1294" spans="45:45">
      <c r="AS1294" s="47"/>
    </row>
    <row r="1295" spans="45:45">
      <c r="AS1295" s="47"/>
    </row>
    <row r="1296" spans="45:45">
      <c r="AS1296" s="47"/>
    </row>
    <row r="1297" spans="45:45">
      <c r="AS1297" s="47"/>
    </row>
    <row r="1298" spans="45:45">
      <c r="AS1298" s="47"/>
    </row>
    <row r="1299" spans="45:45">
      <c r="AS1299" s="47"/>
    </row>
    <row r="1300" spans="45:45">
      <c r="AS1300" s="47"/>
    </row>
    <row r="1301" spans="45:45">
      <c r="AS1301" s="47"/>
    </row>
    <row r="1302" spans="45:45">
      <c r="AS1302" s="47"/>
    </row>
    <row r="1303" spans="45:45">
      <c r="AS1303" s="47"/>
    </row>
    <row r="1304" spans="45:45">
      <c r="AS1304" s="47"/>
    </row>
    <row r="1305" spans="45:45">
      <c r="AS1305" s="47"/>
    </row>
    <row r="1306" spans="45:45">
      <c r="AS1306" s="47"/>
    </row>
    <row r="1307" spans="45:45">
      <c r="AS1307" s="47"/>
    </row>
    <row r="1308" spans="45:45">
      <c r="AS1308" s="47"/>
    </row>
    <row r="1309" spans="45:45">
      <c r="AS1309" s="47"/>
    </row>
    <row r="1310" spans="45:45">
      <c r="AS1310" s="47"/>
    </row>
    <row r="1311" spans="45:45">
      <c r="AS1311" s="47"/>
    </row>
    <row r="1312" spans="45:45">
      <c r="AS1312" s="47"/>
    </row>
    <row r="1313" spans="45:45">
      <c r="AS1313" s="47"/>
    </row>
    <row r="1314" spans="45:45">
      <c r="AS1314" s="47"/>
    </row>
    <row r="1315" spans="45:45">
      <c r="AS1315" s="47"/>
    </row>
    <row r="1316" spans="45:45">
      <c r="AS1316" s="47"/>
    </row>
    <row r="1317" spans="45:45">
      <c r="AS1317" s="47"/>
    </row>
    <row r="1318" spans="45:45">
      <c r="AS1318" s="47"/>
    </row>
    <row r="1319" spans="45:45">
      <c r="AS1319" s="47"/>
    </row>
    <row r="1320" spans="45:45">
      <c r="AS1320" s="47"/>
    </row>
    <row r="1321" spans="45:45">
      <c r="AS1321" s="47"/>
    </row>
    <row r="1322" spans="45:45">
      <c r="AS1322" s="47"/>
    </row>
    <row r="1323" spans="45:45">
      <c r="AS1323" s="47"/>
    </row>
    <row r="1324" spans="45:45">
      <c r="AS1324" s="47"/>
    </row>
    <row r="1325" spans="45:45">
      <c r="AS1325" s="47"/>
    </row>
    <row r="1326" spans="45:45">
      <c r="AS1326" s="47"/>
    </row>
    <row r="1327" spans="45:45">
      <c r="AS1327" s="47"/>
    </row>
    <row r="1328" spans="45:45">
      <c r="AS1328" s="47"/>
    </row>
    <row r="1329" spans="45:45">
      <c r="AS1329" s="47"/>
    </row>
    <row r="1330" spans="45:45">
      <c r="AS1330" s="47"/>
    </row>
    <row r="1331" spans="45:45">
      <c r="AS1331" s="47"/>
    </row>
    <row r="1332" spans="45:45">
      <c r="AS1332" s="47"/>
    </row>
    <row r="1333" spans="45:45">
      <c r="AS1333" s="47"/>
    </row>
    <row r="1334" spans="45:45">
      <c r="AS1334" s="47"/>
    </row>
    <row r="1335" spans="45:45">
      <c r="AS1335" s="47"/>
    </row>
    <row r="1336" spans="45:45">
      <c r="AS1336" s="47"/>
    </row>
    <row r="1337" spans="45:45">
      <c r="AS1337" s="47"/>
    </row>
    <row r="1338" spans="45:45">
      <c r="AS1338" s="47"/>
    </row>
    <row r="1339" spans="45:45">
      <c r="AS1339" s="47"/>
    </row>
    <row r="1340" spans="45:45">
      <c r="AS1340" s="47"/>
    </row>
    <row r="1341" spans="45:45">
      <c r="AS1341" s="47"/>
    </row>
    <row r="1342" spans="45:45">
      <c r="AS1342" s="47"/>
    </row>
    <row r="1343" spans="45:45">
      <c r="AS1343" s="47"/>
    </row>
    <row r="1344" spans="45:45">
      <c r="AS1344" s="47"/>
    </row>
    <row r="1345" spans="45:45">
      <c r="AS1345" s="47"/>
    </row>
    <row r="1346" spans="45:45">
      <c r="AS1346" s="47"/>
    </row>
    <row r="1347" spans="45:45">
      <c r="AS1347" s="47"/>
    </row>
    <row r="1348" spans="45:45">
      <c r="AS1348" s="47"/>
    </row>
    <row r="1349" spans="45:45">
      <c r="AS1349" s="47"/>
    </row>
    <row r="1350" spans="45:45">
      <c r="AS1350" s="47"/>
    </row>
    <row r="1351" spans="45:45">
      <c r="AS1351" s="47"/>
    </row>
    <row r="1352" spans="45:45">
      <c r="AS1352" s="47"/>
    </row>
    <row r="1353" spans="45:45">
      <c r="AS1353" s="47"/>
    </row>
    <row r="1354" spans="45:45">
      <c r="AS1354" s="47"/>
    </row>
    <row r="1355" spans="45:45">
      <c r="AS1355" s="47"/>
    </row>
    <row r="1356" spans="45:45">
      <c r="AS1356" s="47"/>
    </row>
    <row r="1357" spans="45:45">
      <c r="AS1357" s="47"/>
    </row>
    <row r="1358" spans="45:45">
      <c r="AS1358" s="47"/>
    </row>
    <row r="1359" spans="45:45">
      <c r="AS1359" s="47"/>
    </row>
    <row r="1360" spans="45:45">
      <c r="AS1360" s="47"/>
    </row>
    <row r="1361" spans="45:45">
      <c r="AS1361" s="47"/>
    </row>
    <row r="1362" spans="45:45">
      <c r="AS1362" s="47"/>
    </row>
    <row r="1363" spans="45:45">
      <c r="AS1363" s="47"/>
    </row>
    <row r="1364" spans="45:45">
      <c r="AS1364" s="47"/>
    </row>
    <row r="1365" spans="45:45">
      <c r="AS1365" s="47"/>
    </row>
    <row r="1366" spans="45:45">
      <c r="AS1366" s="47"/>
    </row>
    <row r="1367" spans="45:45">
      <c r="AS1367" s="47"/>
    </row>
    <row r="1368" spans="45:45">
      <c r="AS1368" s="47"/>
    </row>
    <row r="1369" spans="45:45">
      <c r="AS1369" s="47"/>
    </row>
    <row r="1370" spans="45:45">
      <c r="AS1370" s="47"/>
    </row>
    <row r="1371" spans="45:45">
      <c r="AS1371" s="47"/>
    </row>
    <row r="1372" spans="45:45">
      <c r="AS1372" s="47"/>
    </row>
    <row r="1373" spans="45:45">
      <c r="AS1373" s="47"/>
    </row>
    <row r="1374" spans="45:45">
      <c r="AS1374" s="47"/>
    </row>
    <row r="1375" spans="45:45">
      <c r="AS1375" s="47"/>
    </row>
    <row r="1376" spans="45:45">
      <c r="AS1376" s="47"/>
    </row>
    <row r="1377" spans="45:45">
      <c r="AS1377" s="47"/>
    </row>
    <row r="1378" spans="45:45">
      <c r="AS1378" s="47"/>
    </row>
    <row r="1379" spans="45:45">
      <c r="AS1379" s="47"/>
    </row>
    <row r="1380" spans="45:45">
      <c r="AS1380" s="47"/>
    </row>
    <row r="1381" spans="45:45">
      <c r="AS1381" s="47"/>
    </row>
    <row r="1382" spans="45:45">
      <c r="AS1382" s="47"/>
    </row>
    <row r="1383" spans="45:45">
      <c r="AS1383" s="47"/>
    </row>
    <row r="1384" spans="45:45">
      <c r="AS1384" s="47"/>
    </row>
    <row r="1385" spans="45:45">
      <c r="AS1385" s="47"/>
    </row>
    <row r="1386" spans="45:45">
      <c r="AS1386" s="47"/>
    </row>
    <row r="1387" spans="45:45">
      <c r="AS1387" s="47"/>
    </row>
    <row r="1388" spans="45:45">
      <c r="AS1388" s="47"/>
    </row>
    <row r="1389" spans="45:45">
      <c r="AS1389" s="47"/>
    </row>
    <row r="1390" spans="45:45">
      <c r="AS1390" s="47"/>
    </row>
    <row r="1391" spans="45:45">
      <c r="AS1391" s="47"/>
    </row>
    <row r="1392" spans="45:45">
      <c r="AS1392" s="47"/>
    </row>
    <row r="1393" spans="45:45">
      <c r="AS1393" s="47"/>
    </row>
    <row r="1394" spans="45:45">
      <c r="AS1394" s="47"/>
    </row>
    <row r="1395" spans="45:45">
      <c r="AS1395" s="47"/>
    </row>
    <row r="1396" spans="45:45">
      <c r="AS1396" s="47"/>
    </row>
    <row r="1397" spans="45:45">
      <c r="AS1397" s="47"/>
    </row>
    <row r="1398" spans="45:45">
      <c r="AS1398" s="47"/>
    </row>
    <row r="1399" spans="45:45">
      <c r="AS1399" s="47"/>
    </row>
    <row r="1400" spans="45:45">
      <c r="AS1400" s="47"/>
    </row>
    <row r="1401" spans="45:45">
      <c r="AS1401" s="47"/>
    </row>
    <row r="1402" spans="45:45">
      <c r="AS1402" s="47"/>
    </row>
    <row r="1403" spans="45:45">
      <c r="AS1403" s="47"/>
    </row>
    <row r="1404" spans="45:45">
      <c r="AS1404" s="47"/>
    </row>
    <row r="1405" spans="45:45">
      <c r="AS1405" s="47"/>
    </row>
    <row r="1406" spans="45:45">
      <c r="AS1406" s="47"/>
    </row>
    <row r="1407" spans="45:45">
      <c r="AS1407" s="47"/>
    </row>
    <row r="1408" spans="45:45">
      <c r="AS1408" s="47"/>
    </row>
    <row r="1409" spans="45:45">
      <c r="AS1409" s="47"/>
    </row>
    <row r="1410" spans="45:45">
      <c r="AS1410" s="47"/>
    </row>
    <row r="1411" spans="45:45">
      <c r="AS1411" s="47"/>
    </row>
    <row r="1412" spans="45:45">
      <c r="AS1412" s="47"/>
    </row>
    <row r="1413" spans="45:45">
      <c r="AS1413" s="47"/>
    </row>
    <row r="1414" spans="45:45">
      <c r="AS1414" s="47"/>
    </row>
    <row r="1415" spans="45:45">
      <c r="AS1415" s="47"/>
    </row>
    <row r="1416" spans="45:45">
      <c r="AS1416" s="47"/>
    </row>
    <row r="1417" spans="45:45">
      <c r="AS1417" s="47"/>
    </row>
    <row r="1418" spans="45:45">
      <c r="AS1418" s="47"/>
    </row>
    <row r="1419" spans="45:45">
      <c r="AS1419" s="47"/>
    </row>
    <row r="1420" spans="45:45">
      <c r="AS1420" s="47"/>
    </row>
    <row r="1421" spans="45:45">
      <c r="AS1421" s="47"/>
    </row>
    <row r="1422" spans="45:45">
      <c r="AS1422" s="47"/>
    </row>
    <row r="1423" spans="45:45">
      <c r="AS1423" s="47"/>
    </row>
    <row r="1424" spans="45:45">
      <c r="AS1424" s="47"/>
    </row>
    <row r="1425" spans="45:45">
      <c r="AS1425" s="47"/>
    </row>
    <row r="1426" spans="45:45">
      <c r="AS1426" s="47"/>
    </row>
    <row r="1427" spans="45:45">
      <c r="AS1427" s="47"/>
    </row>
    <row r="1428" spans="45:45">
      <c r="AS1428" s="47"/>
    </row>
    <row r="1429" spans="45:45">
      <c r="AS1429" s="47"/>
    </row>
    <row r="1430" spans="45:45">
      <c r="AS1430" s="47"/>
    </row>
    <row r="1431" spans="45:45">
      <c r="AS1431" s="47"/>
    </row>
    <row r="1432" spans="45:45">
      <c r="AS1432" s="47"/>
    </row>
    <row r="1433" spans="45:45">
      <c r="AS1433" s="47"/>
    </row>
    <row r="1434" spans="45:45">
      <c r="AS1434" s="47"/>
    </row>
    <row r="1435" spans="45:45">
      <c r="AS1435" s="47"/>
    </row>
    <row r="1436" spans="45:45">
      <c r="AS1436" s="47"/>
    </row>
    <row r="1437" spans="45:45">
      <c r="AS1437" s="47"/>
    </row>
    <row r="1438" spans="45:45">
      <c r="AS1438" s="47"/>
    </row>
    <row r="1439" spans="45:45">
      <c r="AS1439" s="47"/>
    </row>
    <row r="1440" spans="45:45">
      <c r="AS1440" s="47"/>
    </row>
    <row r="1441" spans="45:45">
      <c r="AS1441" s="47"/>
    </row>
    <row r="1442" spans="45:45">
      <c r="AS1442" s="47"/>
    </row>
    <row r="1443" spans="45:45">
      <c r="AS1443" s="47"/>
    </row>
    <row r="1444" spans="45:45">
      <c r="AS1444" s="47"/>
    </row>
    <row r="1445" spans="45:45">
      <c r="AS1445" s="47"/>
    </row>
    <row r="1446" spans="45:45">
      <c r="AS1446" s="47"/>
    </row>
    <row r="1447" spans="45:45">
      <c r="AS1447" s="47"/>
    </row>
    <row r="1448" spans="45:45">
      <c r="AS1448" s="47"/>
    </row>
    <row r="1449" spans="45:45">
      <c r="AS1449" s="47"/>
    </row>
    <row r="1450" spans="45:45">
      <c r="AS1450" s="47"/>
    </row>
    <row r="1451" spans="45:45">
      <c r="AS1451" s="47"/>
    </row>
    <row r="1452" spans="45:45">
      <c r="AS1452" s="47"/>
    </row>
    <row r="1453" spans="45:45">
      <c r="AS1453" s="47"/>
    </row>
    <row r="1454" spans="45:45">
      <c r="AS1454" s="47"/>
    </row>
    <row r="1455" spans="45:45">
      <c r="AS1455" s="47"/>
    </row>
    <row r="1456" spans="45:45">
      <c r="AS1456" s="47"/>
    </row>
    <row r="1457" spans="45:45">
      <c r="AS1457" s="47"/>
    </row>
    <row r="1458" spans="45:45">
      <c r="AS1458" s="47"/>
    </row>
    <row r="1459" spans="45:45">
      <c r="AS1459" s="47"/>
    </row>
    <row r="1460" spans="45:45">
      <c r="AS1460" s="47"/>
    </row>
    <row r="1461" spans="45:45">
      <c r="AS1461" s="47"/>
    </row>
    <row r="1462" spans="45:45">
      <c r="AS1462" s="47"/>
    </row>
    <row r="1463" spans="45:45">
      <c r="AS1463" s="47"/>
    </row>
    <row r="1464" spans="45:45">
      <c r="AS1464" s="47"/>
    </row>
    <row r="1465" spans="45:45">
      <c r="AS1465" s="47"/>
    </row>
    <row r="1466" spans="45:45">
      <c r="AS1466" s="47"/>
    </row>
    <row r="1467" spans="45:45">
      <c r="AS1467" s="47"/>
    </row>
    <row r="1468" spans="45:45">
      <c r="AS1468" s="47"/>
    </row>
    <row r="1469" spans="45:45">
      <c r="AS1469" s="47"/>
    </row>
    <row r="1470" spans="45:45">
      <c r="AS1470" s="47"/>
    </row>
    <row r="1471" spans="45:45">
      <c r="AS1471" s="47"/>
    </row>
    <row r="1472" spans="45:45">
      <c r="AS1472" s="47"/>
    </row>
    <row r="1473" spans="45:45">
      <c r="AS1473" s="47"/>
    </row>
    <row r="1474" spans="45:45">
      <c r="AS1474" s="47"/>
    </row>
    <row r="1475" spans="45:45">
      <c r="AS1475" s="47"/>
    </row>
    <row r="1476" spans="45:45">
      <c r="AS1476" s="47"/>
    </row>
    <row r="1477" spans="45:45">
      <c r="AS1477" s="47"/>
    </row>
    <row r="1478" spans="45:45">
      <c r="AS1478" s="47"/>
    </row>
    <row r="1479" spans="45:45">
      <c r="AS1479" s="47"/>
    </row>
    <row r="1480" spans="45:45">
      <c r="AS1480" s="47"/>
    </row>
    <row r="1481" spans="45:45">
      <c r="AS1481" s="47"/>
    </row>
    <row r="1482" spans="45:45">
      <c r="AS1482" s="47"/>
    </row>
    <row r="1483" spans="45:45">
      <c r="AS1483" s="47"/>
    </row>
    <row r="1484" spans="45:45">
      <c r="AS1484" s="47"/>
    </row>
    <row r="1485" spans="45:45">
      <c r="AS1485" s="47"/>
    </row>
    <row r="1486" spans="45:45">
      <c r="AS1486" s="47"/>
    </row>
    <row r="1487" spans="45:45">
      <c r="AS1487" s="47"/>
    </row>
    <row r="1488" spans="45:45">
      <c r="AS1488" s="47"/>
    </row>
    <row r="1489" spans="45:45">
      <c r="AS1489" s="47"/>
    </row>
    <row r="1490" spans="45:45">
      <c r="AS1490" s="47"/>
    </row>
    <row r="1491" spans="45:45">
      <c r="AS1491" s="47"/>
    </row>
    <row r="1492" spans="45:45">
      <c r="AS1492" s="47"/>
    </row>
    <row r="1493" spans="45:45">
      <c r="AS1493" s="47"/>
    </row>
    <row r="1494" spans="45:45">
      <c r="AS1494" s="47"/>
    </row>
    <row r="1495" spans="45:45">
      <c r="AS1495" s="47"/>
    </row>
    <row r="1496" spans="45:45">
      <c r="AS1496" s="47"/>
    </row>
    <row r="1497" spans="45:45">
      <c r="AS1497" s="47"/>
    </row>
    <row r="1498" spans="45:45">
      <c r="AS1498" s="47"/>
    </row>
    <row r="1499" spans="45:45">
      <c r="AS1499" s="47"/>
    </row>
    <row r="1500" spans="45:45">
      <c r="AS1500" s="47"/>
    </row>
    <row r="1501" spans="45:45">
      <c r="AS1501" s="47"/>
    </row>
    <row r="1502" spans="45:45">
      <c r="AS1502" s="47"/>
    </row>
    <row r="1503" spans="45:45">
      <c r="AS1503" s="47"/>
    </row>
    <row r="1504" spans="45:45">
      <c r="AS1504" s="47"/>
    </row>
    <row r="1505" spans="45:45">
      <c r="AS1505" s="47"/>
    </row>
    <row r="1506" spans="45:45">
      <c r="AS1506" s="47"/>
    </row>
    <row r="1507" spans="45:45">
      <c r="AS1507" s="47"/>
    </row>
    <row r="1508" spans="45:45">
      <c r="AS1508" s="47"/>
    </row>
    <row r="1509" spans="45:45">
      <c r="AS1509" s="47"/>
    </row>
    <row r="1510" spans="45:45">
      <c r="AS1510" s="47"/>
    </row>
    <row r="1511" spans="45:45">
      <c r="AS1511" s="47"/>
    </row>
    <row r="1512" spans="45:45">
      <c r="AS1512" s="47"/>
    </row>
    <row r="1513" spans="45:45">
      <c r="AS1513" s="47"/>
    </row>
    <row r="1514" spans="45:45">
      <c r="AS1514" s="47"/>
    </row>
    <row r="1515" spans="45:45">
      <c r="AS1515" s="47"/>
    </row>
    <row r="1516" spans="45:45">
      <c r="AS1516" s="47"/>
    </row>
    <row r="1517" spans="45:45">
      <c r="AS1517" s="47"/>
    </row>
    <row r="1518" spans="45:45">
      <c r="AS1518" s="47"/>
    </row>
    <row r="1519" spans="45:45">
      <c r="AS1519" s="47"/>
    </row>
    <row r="1520" spans="45:45">
      <c r="AS1520" s="47"/>
    </row>
    <row r="1521" spans="45:45">
      <c r="AS1521" s="47"/>
    </row>
    <row r="1522" spans="45:45">
      <c r="AS1522" s="47"/>
    </row>
    <row r="1523" spans="45:45">
      <c r="AS1523" s="47"/>
    </row>
    <row r="1524" spans="45:45">
      <c r="AS1524" s="47"/>
    </row>
    <row r="1525" spans="45:45">
      <c r="AS1525" s="47"/>
    </row>
    <row r="1526" spans="45:45">
      <c r="AS1526" s="47"/>
    </row>
    <row r="1527" spans="45:45">
      <c r="AS1527" s="47"/>
    </row>
    <row r="1528" spans="45:45">
      <c r="AS1528" s="47"/>
    </row>
    <row r="1529" spans="45:45">
      <c r="AS1529" s="47"/>
    </row>
    <row r="1530" spans="45:45">
      <c r="AS1530" s="47"/>
    </row>
    <row r="1531" spans="45:45">
      <c r="AS1531" s="47"/>
    </row>
    <row r="1532" spans="45:45">
      <c r="AS1532" s="47"/>
    </row>
    <row r="1533" spans="45:45">
      <c r="AS1533" s="47"/>
    </row>
    <row r="1534" spans="45:45">
      <c r="AS1534" s="47"/>
    </row>
    <row r="1535" spans="45:45">
      <c r="AS1535" s="47"/>
    </row>
    <row r="1536" spans="45:45">
      <c r="AS1536" s="47"/>
    </row>
    <row r="1537" spans="45:45">
      <c r="AS1537" s="47"/>
    </row>
    <row r="1538" spans="45:45">
      <c r="AS1538" s="47"/>
    </row>
    <row r="1539" spans="45:45">
      <c r="AS1539" s="47"/>
    </row>
    <row r="1540" spans="45:45">
      <c r="AS1540" s="47"/>
    </row>
    <row r="1541" spans="45:45">
      <c r="AS1541" s="47"/>
    </row>
    <row r="1542" spans="45:45">
      <c r="AS1542" s="47"/>
    </row>
    <row r="1543" spans="45:45">
      <c r="AS1543" s="47"/>
    </row>
    <row r="1544" spans="45:45">
      <c r="AS1544" s="47"/>
    </row>
    <row r="1545" spans="45:45">
      <c r="AS1545" s="47"/>
    </row>
    <row r="1546" spans="45:45">
      <c r="AS1546" s="47"/>
    </row>
    <row r="1547" spans="45:45">
      <c r="AS1547" s="47"/>
    </row>
    <row r="1548" spans="45:45">
      <c r="AS1548" s="47"/>
    </row>
    <row r="1549" spans="45:45">
      <c r="AS1549" s="47"/>
    </row>
    <row r="1550" spans="45:45">
      <c r="AS1550" s="47"/>
    </row>
    <row r="1551" spans="45:45">
      <c r="AS1551" s="47"/>
    </row>
    <row r="1552" spans="45:45">
      <c r="AS1552" s="47"/>
    </row>
    <row r="1553" spans="45:45">
      <c r="AS1553" s="47"/>
    </row>
    <row r="1554" spans="45:45">
      <c r="AS1554" s="47"/>
    </row>
    <row r="1555" spans="45:45">
      <c r="AS1555" s="47"/>
    </row>
    <row r="1556" spans="45:45">
      <c r="AS1556" s="47"/>
    </row>
    <row r="1557" spans="45:45">
      <c r="AS1557" s="47"/>
    </row>
    <row r="1558" spans="45:45">
      <c r="AS1558" s="47"/>
    </row>
    <row r="1559" spans="45:45">
      <c r="AS1559" s="47"/>
    </row>
    <row r="1560" spans="45:45">
      <c r="AS1560" s="47"/>
    </row>
    <row r="1561" spans="45:45">
      <c r="AS1561" s="47"/>
    </row>
    <row r="1562" spans="45:45">
      <c r="AS1562" s="47"/>
    </row>
    <row r="1563" spans="45:45">
      <c r="AS1563" s="47"/>
    </row>
    <row r="1564" spans="45:45">
      <c r="AS1564" s="47"/>
    </row>
    <row r="1565" spans="45:45">
      <c r="AS1565" s="47"/>
    </row>
    <row r="1566" spans="45:45">
      <c r="AS1566" s="47"/>
    </row>
    <row r="1567" spans="45:45">
      <c r="AS1567" s="47"/>
    </row>
    <row r="1568" spans="45:45">
      <c r="AS1568" s="47"/>
    </row>
    <row r="1569" spans="45:45">
      <c r="AS1569" s="47"/>
    </row>
    <row r="1570" spans="45:45">
      <c r="AS1570" s="47"/>
    </row>
    <row r="1571" spans="45:45">
      <c r="AS1571" s="47"/>
    </row>
    <row r="1572" spans="45:45">
      <c r="AS1572" s="47"/>
    </row>
    <row r="1573" spans="45:45">
      <c r="AS1573" s="47"/>
    </row>
    <row r="1574" spans="45:45">
      <c r="AS1574" s="47"/>
    </row>
    <row r="1575" spans="45:45">
      <c r="AS1575" s="47"/>
    </row>
    <row r="1576" spans="45:45">
      <c r="AS1576" s="47"/>
    </row>
    <row r="1577" spans="45:45">
      <c r="AS1577" s="47"/>
    </row>
    <row r="1578" spans="45:45">
      <c r="AS1578" s="47"/>
    </row>
    <row r="1579" spans="45:45">
      <c r="AS1579" s="47"/>
    </row>
    <row r="1580" spans="45:45">
      <c r="AS1580" s="47"/>
    </row>
    <row r="1581" spans="45:45">
      <c r="AS1581" s="47"/>
    </row>
    <row r="1582" spans="45:45">
      <c r="AS1582" s="47"/>
    </row>
    <row r="1583" spans="45:45">
      <c r="AS1583" s="47"/>
    </row>
    <row r="1584" spans="45:45">
      <c r="AS1584" s="47"/>
    </row>
    <row r="1585" spans="45:45">
      <c r="AS1585" s="47"/>
    </row>
    <row r="1586" spans="45:45">
      <c r="AS1586" s="47"/>
    </row>
    <row r="1587" spans="45:45">
      <c r="AS1587" s="47"/>
    </row>
    <row r="1588" spans="45:45">
      <c r="AS1588" s="47"/>
    </row>
    <row r="1589" spans="45:45">
      <c r="AS1589" s="47"/>
    </row>
    <row r="1590" spans="45:45">
      <c r="AS1590" s="47"/>
    </row>
    <row r="1591" spans="45:45">
      <c r="AS1591" s="47"/>
    </row>
    <row r="1592" spans="45:45">
      <c r="AS1592" s="47"/>
    </row>
    <row r="1593" spans="45:45">
      <c r="AS1593" s="47"/>
    </row>
    <row r="1594" spans="45:45">
      <c r="AS1594" s="47"/>
    </row>
    <row r="1595" spans="45:45">
      <c r="AS1595" s="47"/>
    </row>
    <row r="1596" spans="45:45">
      <c r="AS1596" s="47"/>
    </row>
    <row r="1597" spans="45:45">
      <c r="AS1597" s="47"/>
    </row>
    <row r="1598" spans="45:45">
      <c r="AS1598" s="47"/>
    </row>
    <row r="1599" spans="45:45">
      <c r="AS1599" s="47"/>
    </row>
    <row r="1600" spans="45:45">
      <c r="AS1600" s="47"/>
    </row>
    <row r="1601" spans="45:45">
      <c r="AS1601" s="47"/>
    </row>
    <row r="1602" spans="45:45">
      <c r="AS1602" s="47"/>
    </row>
    <row r="1603" spans="45:45">
      <c r="AS1603" s="47"/>
    </row>
    <row r="1604" spans="45:45">
      <c r="AS1604" s="47"/>
    </row>
    <row r="1605" spans="45:45">
      <c r="AS1605" s="47"/>
    </row>
    <row r="1606" spans="45:45">
      <c r="AS1606" s="47"/>
    </row>
    <row r="1607" spans="45:45">
      <c r="AS1607" s="47"/>
    </row>
    <row r="1608" spans="45:45">
      <c r="AS1608" s="47"/>
    </row>
    <row r="1609" spans="45:45">
      <c r="AS1609" s="47"/>
    </row>
    <row r="1610" spans="45:45">
      <c r="AS1610" s="47"/>
    </row>
    <row r="1611" spans="45:45">
      <c r="AS1611" s="47"/>
    </row>
    <row r="1612" spans="45:45">
      <c r="AS1612" s="47"/>
    </row>
    <row r="1613" spans="45:45">
      <c r="AS1613" s="47"/>
    </row>
    <row r="1614" spans="45:45">
      <c r="AS1614" s="47"/>
    </row>
    <row r="1615" spans="45:45">
      <c r="AS1615" s="47"/>
    </row>
    <row r="1616" spans="45:45">
      <c r="AS1616" s="47"/>
    </row>
    <row r="1617" spans="45:45">
      <c r="AS1617" s="47"/>
    </row>
    <row r="1618" spans="45:45">
      <c r="AS1618" s="47"/>
    </row>
    <row r="1619" spans="45:45">
      <c r="AS1619" s="47"/>
    </row>
    <row r="1620" spans="45:45">
      <c r="AS1620" s="47"/>
    </row>
    <row r="1621" spans="45:45">
      <c r="AS1621" s="47"/>
    </row>
    <row r="1622" spans="45:45">
      <c r="AS1622" s="47"/>
    </row>
    <row r="1623" spans="45:45">
      <c r="AS1623" s="47"/>
    </row>
    <row r="1624" spans="45:45">
      <c r="AS1624" s="47"/>
    </row>
    <row r="1625" spans="45:45">
      <c r="AS1625" s="47"/>
    </row>
    <row r="1626" spans="45:45">
      <c r="AS1626" s="47"/>
    </row>
    <row r="1627" spans="45:45">
      <c r="AS1627" s="47"/>
    </row>
    <row r="1628" spans="45:45">
      <c r="AS1628" s="47"/>
    </row>
    <row r="1629" spans="45:45">
      <c r="AS1629" s="47"/>
    </row>
    <row r="1630" spans="45:45">
      <c r="AS1630" s="47"/>
    </row>
    <row r="1631" spans="45:45">
      <c r="AS1631" s="47"/>
    </row>
    <row r="1632" spans="45:45">
      <c r="AS1632" s="47"/>
    </row>
    <row r="1633" spans="45:45">
      <c r="AS1633" s="47"/>
    </row>
    <row r="1634" spans="45:45">
      <c r="AS1634" s="47"/>
    </row>
    <row r="1635" spans="45:45">
      <c r="AS1635" s="47"/>
    </row>
    <row r="1636" spans="45:45">
      <c r="AS1636" s="47"/>
    </row>
    <row r="1637" spans="45:45">
      <c r="AS1637" s="47"/>
    </row>
    <row r="1638" spans="45:45">
      <c r="AS1638" s="47"/>
    </row>
    <row r="1639" spans="45:45">
      <c r="AS1639" s="47"/>
    </row>
    <row r="1640" spans="45:45">
      <c r="AS1640" s="47"/>
    </row>
    <row r="1641" spans="45:45">
      <c r="AS1641" s="47"/>
    </row>
    <row r="1642" spans="45:45">
      <c r="AS1642" s="47"/>
    </row>
    <row r="1643" spans="45:45">
      <c r="AS1643" s="47"/>
    </row>
    <row r="1644" spans="45:45">
      <c r="AS1644" s="47"/>
    </row>
    <row r="1645" spans="45:45">
      <c r="AS1645" s="47"/>
    </row>
    <row r="1646" spans="45:45">
      <c r="AS1646" s="47"/>
    </row>
    <row r="1647" spans="45:45">
      <c r="AS1647" s="47"/>
    </row>
    <row r="1648" spans="45:45">
      <c r="AS1648" s="47"/>
    </row>
    <row r="1649" spans="45:45">
      <c r="AS1649" s="47"/>
    </row>
    <row r="1650" spans="45:45">
      <c r="AS1650" s="47"/>
    </row>
    <row r="1651" spans="45:45">
      <c r="AS1651" s="47"/>
    </row>
    <row r="1652" spans="45:45">
      <c r="AS1652" s="47"/>
    </row>
    <row r="1653" spans="45:45">
      <c r="AS1653" s="47"/>
    </row>
    <row r="1654" spans="45:45">
      <c r="AS1654" s="47"/>
    </row>
    <row r="1655" spans="45:45">
      <c r="AS1655" s="47"/>
    </row>
    <row r="1656" spans="45:45">
      <c r="AS1656" s="47"/>
    </row>
    <row r="1657" spans="45:45">
      <c r="AS1657" s="47"/>
    </row>
    <row r="1658" spans="45:45">
      <c r="AS1658" s="47"/>
    </row>
    <row r="1659" spans="45:45">
      <c r="AS1659" s="47"/>
    </row>
    <row r="1660" spans="45:45">
      <c r="AS1660" s="47"/>
    </row>
    <row r="1661" spans="45:45">
      <c r="AS1661" s="47"/>
    </row>
    <row r="1662" spans="45:45">
      <c r="AS1662" s="47"/>
    </row>
    <row r="1663" spans="45:45">
      <c r="AS1663" s="47"/>
    </row>
    <row r="1664" spans="45:45">
      <c r="AS1664" s="47"/>
    </row>
    <row r="1665" spans="45:45">
      <c r="AS1665" s="47"/>
    </row>
    <row r="1666" spans="45:45">
      <c r="AS1666" s="47"/>
    </row>
    <row r="1667" spans="45:45">
      <c r="AS1667" s="47"/>
    </row>
    <row r="1668" spans="45:45">
      <c r="AS1668" s="47"/>
    </row>
    <row r="1669" spans="45:45">
      <c r="AS1669" s="47"/>
    </row>
    <row r="1670" spans="45:45">
      <c r="AS1670" s="47"/>
    </row>
    <row r="1671" spans="45:45">
      <c r="AS1671" s="47"/>
    </row>
    <row r="1672" spans="45:45">
      <c r="AS1672" s="47"/>
    </row>
    <row r="1673" spans="45:45">
      <c r="AS1673" s="47"/>
    </row>
    <row r="1674" spans="45:45">
      <c r="AS1674" s="47"/>
    </row>
    <row r="1675" spans="45:45">
      <c r="AS1675" s="47"/>
    </row>
    <row r="1676" spans="45:45">
      <c r="AS1676" s="47"/>
    </row>
    <row r="1677" spans="45:45">
      <c r="AS1677" s="47"/>
    </row>
    <row r="1678" spans="45:45">
      <c r="AS1678" s="47"/>
    </row>
    <row r="1679" spans="45:45">
      <c r="AS1679" s="47"/>
    </row>
    <row r="1680" spans="45:45">
      <c r="AS1680" s="47"/>
    </row>
    <row r="1681" spans="45:45">
      <c r="AS1681" s="47"/>
    </row>
    <row r="1682" spans="45:45">
      <c r="AS1682" s="47"/>
    </row>
    <row r="1683" spans="45:45">
      <c r="AS1683" s="47"/>
    </row>
    <row r="1684" spans="45:45">
      <c r="AS1684" s="47"/>
    </row>
    <row r="1685" spans="45:45">
      <c r="AS1685" s="47"/>
    </row>
    <row r="1686" spans="45:45">
      <c r="AS1686" s="47"/>
    </row>
    <row r="1687" spans="45:45">
      <c r="AS1687" s="47"/>
    </row>
    <row r="1688" spans="45:45">
      <c r="AS1688" s="47"/>
    </row>
    <row r="1689" spans="45:45">
      <c r="AS1689" s="47"/>
    </row>
    <row r="1690" spans="45:45">
      <c r="AS1690" s="47"/>
    </row>
    <row r="1691" spans="45:45">
      <c r="AS1691" s="47"/>
    </row>
    <row r="1692" spans="45:45">
      <c r="AS1692" s="47"/>
    </row>
    <row r="1693" spans="45:45">
      <c r="AS1693" s="47"/>
    </row>
    <row r="1694" spans="45:45">
      <c r="AS1694" s="47"/>
    </row>
    <row r="1695" spans="45:45">
      <c r="AS1695" s="47"/>
    </row>
    <row r="1696" spans="45:45">
      <c r="AS1696" s="47"/>
    </row>
    <row r="1697" spans="45:45">
      <c r="AS1697" s="47"/>
    </row>
    <row r="1698" spans="45:45">
      <c r="AS1698" s="47"/>
    </row>
    <row r="1699" spans="45:45">
      <c r="AS1699" s="47"/>
    </row>
    <row r="1700" spans="45:45">
      <c r="AS1700" s="47"/>
    </row>
    <row r="1701" spans="45:45">
      <c r="AS1701" s="47"/>
    </row>
    <row r="1702" spans="45:45">
      <c r="AS1702" s="47"/>
    </row>
    <row r="1703" spans="45:45">
      <c r="AS1703" s="47"/>
    </row>
    <row r="1704" spans="45:45">
      <c r="AS1704" s="47"/>
    </row>
    <row r="1705" spans="45:45">
      <c r="AS1705" s="47"/>
    </row>
    <row r="1706" spans="45:45">
      <c r="AS1706" s="47"/>
    </row>
    <row r="1707" spans="45:45">
      <c r="AS1707" s="47"/>
    </row>
    <row r="1708" spans="45:45">
      <c r="AS1708" s="47"/>
    </row>
    <row r="1709" spans="45:45">
      <c r="AS1709" s="47"/>
    </row>
    <row r="1710" spans="45:45">
      <c r="AS1710" s="47"/>
    </row>
    <row r="1711" spans="45:45">
      <c r="AS1711" s="47"/>
    </row>
    <row r="1712" spans="45:45">
      <c r="AS1712" s="47"/>
    </row>
    <row r="1713" spans="45:45">
      <c r="AS1713" s="47"/>
    </row>
    <row r="1714" spans="45:45">
      <c r="AS1714" s="47"/>
    </row>
    <row r="1715" spans="45:45">
      <c r="AS1715" s="47"/>
    </row>
    <row r="1716" spans="45:45">
      <c r="AS1716" s="47"/>
    </row>
    <row r="1717" spans="45:45">
      <c r="AS1717" s="47"/>
    </row>
    <row r="1718" spans="45:45">
      <c r="AS1718" s="47"/>
    </row>
    <row r="1719" spans="45:45">
      <c r="AS1719" s="47"/>
    </row>
    <row r="1720" spans="45:45">
      <c r="AS1720" s="47"/>
    </row>
    <row r="1721" spans="45:45">
      <c r="AS1721" s="47"/>
    </row>
    <row r="1722" spans="45:45">
      <c r="AS1722" s="47"/>
    </row>
    <row r="1723" spans="45:45">
      <c r="AS1723" s="47"/>
    </row>
    <row r="1724" spans="45:45">
      <c r="AS1724" s="47"/>
    </row>
    <row r="1725" spans="45:45">
      <c r="AS1725" s="47"/>
    </row>
    <row r="1726" spans="45:45">
      <c r="AS1726" s="47"/>
    </row>
    <row r="1727" spans="45:45">
      <c r="AS1727" s="47"/>
    </row>
    <row r="1728" spans="45:45">
      <c r="AS1728" s="47"/>
    </row>
    <row r="1729" spans="45:45">
      <c r="AS1729" s="47"/>
    </row>
    <row r="1730" spans="45:45">
      <c r="AS1730" s="47"/>
    </row>
    <row r="1731" spans="45:45">
      <c r="AS1731" s="47"/>
    </row>
    <row r="1732" spans="45:45">
      <c r="AS1732" s="47"/>
    </row>
    <row r="1733" spans="45:45">
      <c r="AS1733" s="47"/>
    </row>
    <row r="1734" spans="45:45">
      <c r="AS1734" s="47"/>
    </row>
    <row r="1735" spans="45:45">
      <c r="AS1735" s="47"/>
    </row>
    <row r="1736" spans="45:45">
      <c r="AS1736" s="47"/>
    </row>
    <row r="1737" spans="45:45">
      <c r="AS1737" s="47"/>
    </row>
    <row r="1738" spans="45:45">
      <c r="AS1738" s="47"/>
    </row>
    <row r="1739" spans="45:45">
      <c r="AS1739" s="47"/>
    </row>
    <row r="1740" spans="45:45">
      <c r="AS1740" s="47"/>
    </row>
    <row r="1741" spans="45:45">
      <c r="AS1741" s="47"/>
    </row>
    <row r="1742" spans="45:45">
      <c r="AS1742" s="47"/>
    </row>
    <row r="1743" spans="45:45">
      <c r="AS1743" s="47"/>
    </row>
    <row r="1744" spans="45:45">
      <c r="AS1744" s="47"/>
    </row>
    <row r="1745" spans="45:45">
      <c r="AS1745" s="47"/>
    </row>
    <row r="1746" spans="45:45">
      <c r="AS1746" s="47"/>
    </row>
    <row r="1747" spans="45:45">
      <c r="AS1747" s="47"/>
    </row>
    <row r="1748" spans="45:45">
      <c r="AS1748" s="47"/>
    </row>
    <row r="1749" spans="45:45">
      <c r="AS1749" s="47"/>
    </row>
    <row r="1750" spans="45:45">
      <c r="AS1750" s="47"/>
    </row>
    <row r="1751" spans="45:45">
      <c r="AS1751" s="47"/>
    </row>
    <row r="1752" spans="45:45">
      <c r="AS1752" s="47"/>
    </row>
    <row r="1753" spans="45:45">
      <c r="AS1753" s="47"/>
    </row>
    <row r="1754" spans="45:45">
      <c r="AS1754" s="47"/>
    </row>
    <row r="1755" spans="45:45">
      <c r="AS1755" s="47"/>
    </row>
    <row r="1756" spans="45:45">
      <c r="AS1756" s="47"/>
    </row>
    <row r="1757" spans="45:45">
      <c r="AS1757" s="47"/>
    </row>
    <row r="1758" spans="45:45">
      <c r="AS1758" s="47"/>
    </row>
    <row r="1759" spans="45:45">
      <c r="AS1759" s="47"/>
    </row>
    <row r="1760" spans="45:45">
      <c r="AS1760" s="47"/>
    </row>
    <row r="1761" spans="45:45">
      <c r="AS1761" s="47"/>
    </row>
    <row r="1762" spans="45:45">
      <c r="AS1762" s="47"/>
    </row>
    <row r="1763" spans="45:45">
      <c r="AS1763" s="47"/>
    </row>
    <row r="1764" spans="45:45">
      <c r="AS1764" s="47"/>
    </row>
    <row r="1765" spans="45:45">
      <c r="AS1765" s="47"/>
    </row>
    <row r="1766" spans="45:45">
      <c r="AS1766" s="47"/>
    </row>
    <row r="1767" spans="45:45">
      <c r="AS1767" s="47"/>
    </row>
    <row r="1768" spans="45:45">
      <c r="AS1768" s="47"/>
    </row>
    <row r="1769" spans="45:45">
      <c r="AS1769" s="47"/>
    </row>
    <row r="1770" spans="45:45">
      <c r="AS1770" s="47"/>
    </row>
    <row r="1771" spans="45:45">
      <c r="AS1771" s="47"/>
    </row>
    <row r="1772" spans="45:45">
      <c r="AS1772" s="47"/>
    </row>
    <row r="1773" spans="45:45">
      <c r="AS1773" s="47"/>
    </row>
    <row r="1774" spans="45:45">
      <c r="AS1774" s="47"/>
    </row>
    <row r="1775" spans="45:45">
      <c r="AS1775" s="47"/>
    </row>
    <row r="1776" spans="45:45">
      <c r="AS1776" s="47"/>
    </row>
    <row r="1777" spans="45:45">
      <c r="AS1777" s="47"/>
    </row>
    <row r="1778" spans="45:45">
      <c r="AS1778" s="47"/>
    </row>
    <row r="1779" spans="45:45">
      <c r="AS1779" s="47"/>
    </row>
    <row r="1780" spans="45:45">
      <c r="AS1780" s="47"/>
    </row>
    <row r="1781" spans="45:45">
      <c r="AS1781" s="47"/>
    </row>
    <row r="1782" spans="45:45">
      <c r="AS1782" s="47"/>
    </row>
    <row r="1783" spans="45:45">
      <c r="AS1783" s="47"/>
    </row>
    <row r="1784" spans="45:45">
      <c r="AS1784" s="47"/>
    </row>
    <row r="1785" spans="45:45">
      <c r="AS1785" s="47"/>
    </row>
    <row r="1786" spans="45:45">
      <c r="AS1786" s="47"/>
    </row>
    <row r="1787" spans="45:45">
      <c r="AS1787" s="47"/>
    </row>
    <row r="1788" spans="45:45">
      <c r="AS1788" s="47"/>
    </row>
    <row r="1789" spans="45:45">
      <c r="AS1789" s="47"/>
    </row>
    <row r="1790" spans="45:45">
      <c r="AS1790" s="47"/>
    </row>
    <row r="1791" spans="45:45">
      <c r="AS1791" s="47"/>
    </row>
    <row r="1792" spans="45:45">
      <c r="AS1792" s="47"/>
    </row>
    <row r="1793" spans="45:45">
      <c r="AS1793" s="47"/>
    </row>
    <row r="1794" spans="45:45">
      <c r="AS1794" s="47"/>
    </row>
    <row r="1795" spans="45:45">
      <c r="AS1795" s="47"/>
    </row>
    <row r="1796" spans="45:45">
      <c r="AS1796" s="47"/>
    </row>
    <row r="1797" spans="45:45">
      <c r="AS1797" s="47"/>
    </row>
    <row r="1798" spans="45:45">
      <c r="AS1798" s="47"/>
    </row>
    <row r="1799" spans="45:45">
      <c r="AS1799" s="47"/>
    </row>
    <row r="1800" spans="45:45">
      <c r="AS1800" s="47"/>
    </row>
    <row r="1801" spans="45:45">
      <c r="AS1801" s="47"/>
    </row>
    <row r="1802" spans="45:45">
      <c r="AS1802" s="47"/>
    </row>
    <row r="1803" spans="45:45">
      <c r="AS1803" s="47"/>
    </row>
    <row r="1804" spans="45:45">
      <c r="AS1804" s="47"/>
    </row>
    <row r="1805" spans="45:45">
      <c r="AS1805" s="47"/>
    </row>
    <row r="1806" spans="45:45">
      <c r="AS1806" s="47"/>
    </row>
    <row r="1807" spans="45:45">
      <c r="AS1807" s="47"/>
    </row>
    <row r="1808" spans="45:45">
      <c r="AS1808" s="47"/>
    </row>
    <row r="1809" spans="45:45">
      <c r="AS1809" s="47"/>
    </row>
    <row r="1810" spans="45:45">
      <c r="AS1810" s="47"/>
    </row>
    <row r="1811" spans="45:45">
      <c r="AS1811" s="47"/>
    </row>
    <row r="1812" spans="45:45">
      <c r="AS1812" s="47"/>
    </row>
    <row r="1813" spans="45:45">
      <c r="AS1813" s="47"/>
    </row>
    <row r="1814" spans="45:45">
      <c r="AS1814" s="47"/>
    </row>
    <row r="1815" spans="45:45">
      <c r="AS1815" s="47"/>
    </row>
    <row r="1816" spans="45:45">
      <c r="AS1816" s="47"/>
    </row>
    <row r="1817" spans="45:45">
      <c r="AS1817" s="47"/>
    </row>
    <row r="1818" spans="45:45">
      <c r="AS1818" s="47"/>
    </row>
    <row r="1819" spans="45:45">
      <c r="AS1819" s="47"/>
    </row>
    <row r="1820" spans="45:45">
      <c r="AS1820" s="47"/>
    </row>
    <row r="1821" spans="45:45">
      <c r="AS1821" s="47"/>
    </row>
    <row r="1822" spans="45:45">
      <c r="AS1822" s="47"/>
    </row>
    <row r="1823" spans="45:45">
      <c r="AS1823" s="47"/>
    </row>
    <row r="1824" spans="45:45">
      <c r="AS1824" s="47"/>
    </row>
    <row r="1825" spans="45:45">
      <c r="AS1825" s="47"/>
    </row>
    <row r="1826" spans="45:45">
      <c r="AS1826" s="47"/>
    </row>
    <row r="1827" spans="45:45">
      <c r="AS1827" s="47"/>
    </row>
    <row r="1828" spans="45:45">
      <c r="AS1828" s="47"/>
    </row>
    <row r="1829" spans="45:45">
      <c r="AS1829" s="47"/>
    </row>
    <row r="1830" spans="45:45">
      <c r="AS1830" s="47"/>
    </row>
    <row r="1831" spans="45:45">
      <c r="AS1831" s="47"/>
    </row>
    <row r="1832" spans="45:45">
      <c r="AS1832" s="47"/>
    </row>
    <row r="1833" spans="45:45">
      <c r="AS1833" s="47"/>
    </row>
    <row r="1834" spans="45:45">
      <c r="AS1834" s="47"/>
    </row>
    <row r="1835" spans="45:45">
      <c r="AS1835" s="47"/>
    </row>
    <row r="1836" spans="45:45">
      <c r="AS1836" s="47"/>
    </row>
    <row r="1837" spans="45:45">
      <c r="AS1837" s="47"/>
    </row>
    <row r="1838" spans="45:45">
      <c r="AS1838" s="47"/>
    </row>
    <row r="1839" spans="45:45">
      <c r="AS1839" s="47"/>
    </row>
    <row r="1840" spans="45:45">
      <c r="AS1840" s="47"/>
    </row>
    <row r="1841" spans="45:45">
      <c r="AS1841" s="47"/>
    </row>
    <row r="1842" spans="45:45">
      <c r="AS1842" s="47"/>
    </row>
    <row r="1843" spans="45:45">
      <c r="AS1843" s="47"/>
    </row>
    <row r="1844" spans="45:45">
      <c r="AS1844" s="47"/>
    </row>
    <row r="1845" spans="45:45">
      <c r="AS1845" s="47"/>
    </row>
    <row r="1846" spans="45:45">
      <c r="AS1846" s="47"/>
    </row>
    <row r="1847" spans="45:45">
      <c r="AS1847" s="47"/>
    </row>
    <row r="1848" spans="45:45">
      <c r="AS1848" s="47"/>
    </row>
    <row r="1849" spans="45:45">
      <c r="AS1849" s="47"/>
    </row>
    <row r="1850" spans="45:45">
      <c r="AS1850" s="47"/>
    </row>
    <row r="1851" spans="45:45">
      <c r="AS1851" s="47"/>
    </row>
    <row r="1852" spans="45:45">
      <c r="AS1852" s="47"/>
    </row>
    <row r="1853" spans="45:45">
      <c r="AS1853" s="47"/>
    </row>
    <row r="1854" spans="45:45">
      <c r="AS1854" s="47"/>
    </row>
    <row r="1855" spans="45:45">
      <c r="AS1855" s="47"/>
    </row>
    <row r="1856" spans="45:45">
      <c r="AS1856" s="47"/>
    </row>
    <row r="1857" spans="45:45">
      <c r="AS1857" s="47"/>
    </row>
    <row r="1858" spans="45:45">
      <c r="AS1858" s="47"/>
    </row>
    <row r="1859" spans="45:45">
      <c r="AS1859" s="47"/>
    </row>
    <row r="1860" spans="45:45">
      <c r="AS1860" s="47"/>
    </row>
    <row r="1861" spans="45:45">
      <c r="AS1861" s="47"/>
    </row>
    <row r="1862" spans="45:45">
      <c r="AS1862" s="47"/>
    </row>
    <row r="1863" spans="45:45">
      <c r="AS1863" s="47"/>
    </row>
    <row r="1864" spans="45:45">
      <c r="AS1864" s="47"/>
    </row>
    <row r="1865" spans="45:45">
      <c r="AS1865" s="47"/>
    </row>
    <row r="1866" spans="45:45">
      <c r="AS1866" s="47"/>
    </row>
    <row r="1867" spans="45:45">
      <c r="AS1867" s="47"/>
    </row>
    <row r="1868" spans="45:45">
      <c r="AS1868" s="47"/>
    </row>
    <row r="1869" spans="45:45">
      <c r="AS1869" s="47"/>
    </row>
    <row r="1870" spans="45:45">
      <c r="AS1870" s="47"/>
    </row>
    <row r="1871" spans="45:45">
      <c r="AS1871" s="47"/>
    </row>
    <row r="1872" spans="45:45">
      <c r="AS1872" s="47"/>
    </row>
    <row r="1873" spans="45:45">
      <c r="AS1873" s="47"/>
    </row>
    <row r="1874" spans="45:45">
      <c r="AS1874" s="47"/>
    </row>
    <row r="1875" spans="45:45">
      <c r="AS1875" s="47"/>
    </row>
    <row r="1876" spans="45:45">
      <c r="AS1876" s="47"/>
    </row>
    <row r="1877" spans="45:45">
      <c r="AS1877" s="47"/>
    </row>
    <row r="1878" spans="45:45">
      <c r="AS1878" s="47"/>
    </row>
    <row r="1879" spans="45:45">
      <c r="AS1879" s="47"/>
    </row>
    <row r="1880" spans="45:45">
      <c r="AS1880" s="47"/>
    </row>
    <row r="1881" spans="45:45">
      <c r="AS1881" s="47"/>
    </row>
    <row r="1882" spans="45:45">
      <c r="AS1882" s="47"/>
    </row>
    <row r="1883" spans="45:45">
      <c r="AS1883" s="47"/>
    </row>
    <row r="1884" spans="45:45">
      <c r="AS1884" s="47"/>
    </row>
    <row r="1885" spans="45:45">
      <c r="AS1885" s="47"/>
    </row>
    <row r="1886" spans="45:45">
      <c r="AS1886" s="47"/>
    </row>
    <row r="1887" spans="45:45">
      <c r="AS1887" s="47"/>
    </row>
    <row r="1888" spans="45:45">
      <c r="AS1888" s="47"/>
    </row>
    <row r="1889" spans="45:45">
      <c r="AS1889" s="47"/>
    </row>
    <row r="1890" spans="45:45">
      <c r="AS1890" s="47"/>
    </row>
    <row r="1891" spans="45:45">
      <c r="AS1891" s="47"/>
    </row>
    <row r="1892" spans="45:45">
      <c r="AS1892" s="47"/>
    </row>
    <row r="1893" spans="45:45">
      <c r="AS1893" s="47"/>
    </row>
    <row r="1894" spans="45:45">
      <c r="AS1894" s="47"/>
    </row>
    <row r="1895" spans="45:45">
      <c r="AS1895" s="47"/>
    </row>
    <row r="1896" spans="45:45">
      <c r="AS1896" s="47"/>
    </row>
    <row r="1897" spans="45:45">
      <c r="AS1897" s="47"/>
    </row>
    <row r="1898" spans="45:45">
      <c r="AS1898" s="47"/>
    </row>
    <row r="1899" spans="45:45">
      <c r="AS1899" s="47"/>
    </row>
    <row r="1900" spans="45:45">
      <c r="AS1900" s="47"/>
    </row>
    <row r="1901" spans="45:45">
      <c r="AS1901" s="47"/>
    </row>
    <row r="1902" spans="45:45">
      <c r="AS1902" s="47"/>
    </row>
    <row r="1903" spans="45:45">
      <c r="AS1903" s="47"/>
    </row>
    <row r="1904" spans="45:45">
      <c r="AS1904" s="47"/>
    </row>
    <row r="1905" spans="45:45">
      <c r="AS1905" s="47"/>
    </row>
    <row r="1906" spans="45:45">
      <c r="AS1906" s="47"/>
    </row>
    <row r="1907" spans="45:45">
      <c r="AS1907" s="47"/>
    </row>
    <row r="1908" spans="45:45">
      <c r="AS1908" s="47"/>
    </row>
    <row r="1909" spans="45:45">
      <c r="AS1909" s="47"/>
    </row>
    <row r="1910" spans="45:45">
      <c r="AS1910" s="47"/>
    </row>
    <row r="1911" spans="45:45">
      <c r="AS1911" s="47"/>
    </row>
    <row r="1912" spans="45:45">
      <c r="AS1912" s="47"/>
    </row>
    <row r="1913" spans="45:45">
      <c r="AS1913" s="47"/>
    </row>
    <row r="1914" spans="45:45">
      <c r="AS1914" s="47"/>
    </row>
    <row r="1915" spans="45:45">
      <c r="AS1915" s="47"/>
    </row>
    <row r="1916" spans="45:45">
      <c r="AS1916" s="47"/>
    </row>
    <row r="1917" spans="45:45">
      <c r="AS1917" s="47"/>
    </row>
    <row r="1918" spans="45:45">
      <c r="AS1918" s="47"/>
    </row>
    <row r="1919" spans="45:45">
      <c r="AS1919" s="47"/>
    </row>
    <row r="1920" spans="45:45">
      <c r="AS1920" s="47"/>
    </row>
    <row r="1921" spans="45:45">
      <c r="AS1921" s="47"/>
    </row>
    <row r="1922" spans="45:45">
      <c r="AS1922" s="47"/>
    </row>
    <row r="1923" spans="45:45">
      <c r="AS1923" s="47"/>
    </row>
    <row r="1924" spans="45:45">
      <c r="AS1924" s="47"/>
    </row>
    <row r="1925" spans="45:45">
      <c r="AS1925" s="47"/>
    </row>
    <row r="1926" spans="45:45">
      <c r="AS1926" s="47"/>
    </row>
    <row r="1927" spans="45:45">
      <c r="AS1927" s="47"/>
    </row>
    <row r="1928" spans="45:45">
      <c r="AS1928" s="47"/>
    </row>
    <row r="1929" spans="45:45">
      <c r="AS1929" s="47"/>
    </row>
    <row r="1930" spans="45:45">
      <c r="AS1930" s="47"/>
    </row>
    <row r="1931" spans="45:45">
      <c r="AS1931" s="47"/>
    </row>
    <row r="1932" spans="45:45">
      <c r="AS1932" s="47"/>
    </row>
    <row r="1933" spans="45:45">
      <c r="AS1933" s="47"/>
    </row>
    <row r="1934" spans="45:45">
      <c r="AS1934" s="47"/>
    </row>
    <row r="1935" spans="45:45">
      <c r="AS1935" s="47"/>
    </row>
    <row r="1936" spans="45:45">
      <c r="AS1936" s="47"/>
    </row>
    <row r="1937" spans="45:45">
      <c r="AS1937" s="47"/>
    </row>
    <row r="1938" spans="45:45">
      <c r="AS1938" s="47"/>
    </row>
    <row r="1939" spans="45:45">
      <c r="AS1939" s="47"/>
    </row>
    <row r="1940" spans="45:45">
      <c r="AS1940" s="47"/>
    </row>
    <row r="1941" spans="45:45">
      <c r="AS1941" s="47"/>
    </row>
    <row r="1942" spans="45:45">
      <c r="AS1942" s="47"/>
    </row>
    <row r="1943" spans="45:45">
      <c r="AS1943" s="47"/>
    </row>
    <row r="1944" spans="45:45">
      <c r="AS1944" s="47"/>
    </row>
    <row r="1945" spans="45:45">
      <c r="AS1945" s="47"/>
    </row>
    <row r="1946" spans="45:45">
      <c r="AS1946" s="47"/>
    </row>
    <row r="1947" spans="45:45">
      <c r="AS1947" s="47"/>
    </row>
    <row r="1948" spans="45:45">
      <c r="AS1948" s="47"/>
    </row>
    <row r="1949" spans="45:45">
      <c r="AS1949" s="47"/>
    </row>
    <row r="1950" spans="45:45">
      <c r="AS1950" s="47"/>
    </row>
    <row r="1951" spans="45:45">
      <c r="AS1951" s="47"/>
    </row>
    <row r="1952" spans="45:45">
      <c r="AS1952" s="47"/>
    </row>
    <row r="1953" spans="45:45">
      <c r="AS1953" s="47"/>
    </row>
    <row r="1954" spans="45:45">
      <c r="AS1954" s="47"/>
    </row>
    <row r="1955" spans="45:45">
      <c r="AS1955" s="47"/>
    </row>
    <row r="1956" spans="45:45">
      <c r="AS1956" s="47"/>
    </row>
    <row r="1957" spans="45:45">
      <c r="AS1957" s="47"/>
    </row>
    <row r="1958" spans="45:45">
      <c r="AS1958" s="47"/>
    </row>
    <row r="1959" spans="45:45">
      <c r="AS1959" s="47"/>
    </row>
    <row r="1960" spans="45:45">
      <c r="AS1960" s="47"/>
    </row>
    <row r="1961" spans="45:45">
      <c r="AS1961" s="47"/>
    </row>
    <row r="1962" spans="45:45">
      <c r="AS1962" s="47"/>
    </row>
    <row r="1963" spans="45:45">
      <c r="AS1963" s="47"/>
    </row>
    <row r="1964" spans="45:45">
      <c r="AS1964" s="47"/>
    </row>
    <row r="1965" spans="45:45">
      <c r="AS1965" s="47"/>
    </row>
    <row r="1966" spans="45:45">
      <c r="AS1966" s="47"/>
    </row>
    <row r="1967" spans="45:45">
      <c r="AS1967" s="47"/>
    </row>
    <row r="1968" spans="45:45">
      <c r="AS1968" s="47"/>
    </row>
    <row r="1969" spans="45:45">
      <c r="AS1969" s="47"/>
    </row>
    <row r="1970" spans="45:45">
      <c r="AS1970" s="47"/>
    </row>
    <row r="1971" spans="45:45">
      <c r="AS1971" s="47"/>
    </row>
    <row r="1972" spans="45:45">
      <c r="AS1972" s="47"/>
    </row>
    <row r="1973" spans="45:45">
      <c r="AS1973" s="47"/>
    </row>
    <row r="1974" spans="45:45">
      <c r="AS1974" s="47"/>
    </row>
    <row r="1975" spans="45:45">
      <c r="AS1975" s="47"/>
    </row>
    <row r="1976" spans="45:45">
      <c r="AS1976" s="47"/>
    </row>
    <row r="1977" spans="45:45">
      <c r="AS1977" s="47"/>
    </row>
    <row r="1978" spans="45:45">
      <c r="AS1978" s="47"/>
    </row>
    <row r="1979" spans="45:45">
      <c r="AS1979" s="47"/>
    </row>
    <row r="1980" spans="45:45">
      <c r="AS1980" s="47"/>
    </row>
    <row r="1981" spans="45:45">
      <c r="AS1981" s="47"/>
    </row>
    <row r="1982" spans="45:45">
      <c r="AS1982" s="47"/>
    </row>
    <row r="1983" spans="45:45">
      <c r="AS1983" s="47"/>
    </row>
    <row r="1984" spans="45:45">
      <c r="AS1984" s="47"/>
    </row>
    <row r="1985" spans="45:45">
      <c r="AS1985" s="47"/>
    </row>
    <row r="1986" spans="45:45">
      <c r="AS1986" s="47"/>
    </row>
    <row r="1987" spans="45:45">
      <c r="AS1987" s="47"/>
    </row>
    <row r="1988" spans="45:45">
      <c r="AS1988" s="47"/>
    </row>
    <row r="1989" spans="45:45">
      <c r="AS1989" s="47"/>
    </row>
    <row r="1990" spans="45:45">
      <c r="AS1990" s="47"/>
    </row>
    <row r="1991" spans="45:45">
      <c r="AS1991" s="47"/>
    </row>
    <row r="1992" spans="45:45">
      <c r="AS1992" s="47"/>
    </row>
    <row r="1993" spans="45:45">
      <c r="AS1993" s="47"/>
    </row>
    <row r="1994" spans="45:45">
      <c r="AS1994" s="47"/>
    </row>
    <row r="1995" spans="45:45">
      <c r="AS1995" s="47"/>
    </row>
    <row r="1996" spans="45:45">
      <c r="AS1996" s="47"/>
    </row>
    <row r="1997" spans="45:45">
      <c r="AS1997" s="47"/>
    </row>
    <row r="1998" spans="45:45">
      <c r="AS1998" s="47"/>
    </row>
    <row r="1999" spans="45:45">
      <c r="AS1999" s="47"/>
    </row>
    <row r="2000" spans="45:45">
      <c r="AS2000" s="47"/>
    </row>
    <row r="2001" spans="45:45">
      <c r="AS2001" s="47"/>
    </row>
    <row r="2002" spans="45:45">
      <c r="AS2002" s="47"/>
    </row>
    <row r="2003" spans="45:45">
      <c r="AS2003" s="47"/>
    </row>
    <row r="2004" spans="45:45">
      <c r="AS2004" s="47"/>
    </row>
    <row r="2005" spans="45:45">
      <c r="AS2005" s="47"/>
    </row>
    <row r="2006" spans="45:45">
      <c r="AS2006" s="47"/>
    </row>
    <row r="2007" spans="45:45">
      <c r="AS2007" s="47"/>
    </row>
    <row r="2008" spans="45:45">
      <c r="AS2008" s="47"/>
    </row>
    <row r="2009" spans="45:45">
      <c r="AS2009" s="47"/>
    </row>
    <row r="2010" spans="45:45">
      <c r="AS2010" s="47"/>
    </row>
    <row r="2011" spans="45:45">
      <c r="AS2011" s="47"/>
    </row>
    <row r="2012" spans="45:45">
      <c r="AS2012" s="47"/>
    </row>
    <row r="2013" spans="45:45">
      <c r="AS2013" s="47"/>
    </row>
    <row r="2014" spans="45:45">
      <c r="AS2014" s="47"/>
    </row>
    <row r="2015" spans="45:45">
      <c r="AS2015" s="47"/>
    </row>
    <row r="2016" spans="45:45">
      <c r="AS2016" s="47"/>
    </row>
    <row r="2017" spans="45:45">
      <c r="AS2017" s="47"/>
    </row>
    <row r="2018" spans="45:45">
      <c r="AS2018" s="47"/>
    </row>
    <row r="2019" spans="45:45">
      <c r="AS2019" s="47"/>
    </row>
    <row r="2020" spans="45:45">
      <c r="AS2020" s="47"/>
    </row>
    <row r="2021" spans="45:45">
      <c r="AS2021" s="47"/>
    </row>
    <row r="2022" spans="45:45">
      <c r="AS2022" s="47"/>
    </row>
    <row r="2023" spans="45:45">
      <c r="AS2023" s="47"/>
    </row>
    <row r="2024" spans="45:45">
      <c r="AS2024" s="47"/>
    </row>
    <row r="2025" spans="45:45">
      <c r="AS2025" s="47"/>
    </row>
    <row r="2026" spans="45:45">
      <c r="AS2026" s="47"/>
    </row>
    <row r="2027" spans="45:45">
      <c r="AS2027" s="47"/>
    </row>
    <row r="2028" spans="45:45">
      <c r="AS2028" s="47"/>
    </row>
    <row r="2029" spans="45:45">
      <c r="AS2029" s="47"/>
    </row>
    <row r="2030" spans="45:45">
      <c r="AS2030" s="47"/>
    </row>
    <row r="2031" spans="45:45">
      <c r="AS2031" s="47"/>
    </row>
    <row r="2032" spans="45:45">
      <c r="AS2032" s="47"/>
    </row>
    <row r="2033" spans="45:45">
      <c r="AS2033" s="47"/>
    </row>
    <row r="2034" spans="45:45">
      <c r="AS2034" s="47"/>
    </row>
    <row r="2035" spans="45:45">
      <c r="AS2035" s="47"/>
    </row>
    <row r="2036" spans="45:45">
      <c r="AS2036" s="47"/>
    </row>
    <row r="2037" spans="45:45">
      <c r="AS2037" s="47"/>
    </row>
    <row r="2038" spans="45:45">
      <c r="AS2038" s="47"/>
    </row>
    <row r="2039" spans="45:45">
      <c r="AS2039" s="47"/>
    </row>
    <row r="2040" spans="45:45">
      <c r="AS2040" s="47"/>
    </row>
    <row r="2041" spans="45:45">
      <c r="AS2041" s="47"/>
    </row>
    <row r="2042" spans="45:45">
      <c r="AS2042" s="47"/>
    </row>
    <row r="2043" spans="45:45">
      <c r="AS2043" s="47"/>
    </row>
    <row r="2044" spans="45:45">
      <c r="AS2044" s="47"/>
    </row>
    <row r="2045" spans="45:45">
      <c r="AS2045" s="47"/>
    </row>
    <row r="2046" spans="45:45">
      <c r="AS2046" s="47"/>
    </row>
    <row r="2047" spans="45:45">
      <c r="AS2047" s="47"/>
    </row>
    <row r="2048" spans="45:45">
      <c r="AS2048" s="47"/>
    </row>
    <row r="2049" spans="45:45">
      <c r="AS2049" s="47"/>
    </row>
    <row r="2050" spans="45:45">
      <c r="AS2050" s="47"/>
    </row>
    <row r="2051" spans="45:45">
      <c r="AS2051" s="47"/>
    </row>
    <row r="2052" spans="45:45">
      <c r="AS2052" s="47"/>
    </row>
    <row r="2053" spans="45:45">
      <c r="AS2053" s="47"/>
    </row>
    <row r="2054" spans="45:45">
      <c r="AS2054" s="47"/>
    </row>
    <row r="2055" spans="45:45">
      <c r="AS2055" s="47"/>
    </row>
    <row r="2056" spans="45:45">
      <c r="AS2056" s="47"/>
    </row>
    <row r="2057" spans="45:45">
      <c r="AS2057" s="47"/>
    </row>
    <row r="2058" spans="45:45">
      <c r="AS2058" s="47"/>
    </row>
    <row r="2059" spans="45:45">
      <c r="AS2059" s="47"/>
    </row>
    <row r="2060" spans="45:45">
      <c r="AS2060" s="47"/>
    </row>
    <row r="2061" spans="45:45">
      <c r="AS2061" s="47"/>
    </row>
    <row r="2062" spans="45:45">
      <c r="AS2062" s="47"/>
    </row>
    <row r="2063" spans="45:45">
      <c r="AS2063" s="47"/>
    </row>
    <row r="2064" spans="45:45">
      <c r="AS2064" s="47"/>
    </row>
    <row r="2065" spans="45:45">
      <c r="AS2065" s="47"/>
    </row>
    <row r="2066" spans="45:45">
      <c r="AS2066" s="47"/>
    </row>
    <row r="2067" spans="45:45">
      <c r="AS2067" s="47"/>
    </row>
    <row r="2068" spans="45:45">
      <c r="AS2068" s="47"/>
    </row>
    <row r="2069" spans="45:45">
      <c r="AS2069" s="47"/>
    </row>
    <row r="2070" spans="45:45">
      <c r="AS2070" s="47"/>
    </row>
    <row r="2071" spans="45:45">
      <c r="AS2071" s="47"/>
    </row>
    <row r="2072" spans="45:45">
      <c r="AS2072" s="47"/>
    </row>
    <row r="2073" spans="45:45">
      <c r="AS2073" s="47"/>
    </row>
    <row r="2074" spans="45:45">
      <c r="AS2074" s="47"/>
    </row>
    <row r="2075" spans="45:45">
      <c r="AS2075" s="47"/>
    </row>
    <row r="2076" spans="45:45">
      <c r="AS2076" s="47"/>
    </row>
    <row r="2077" spans="45:45">
      <c r="AS2077" s="47"/>
    </row>
    <row r="2078" spans="45:45">
      <c r="AS2078" s="47"/>
    </row>
    <row r="2079" spans="45:45">
      <c r="AS2079" s="47"/>
    </row>
    <row r="2080" spans="45:45">
      <c r="AS2080" s="47"/>
    </row>
    <row r="2081" spans="45:45">
      <c r="AS2081" s="47"/>
    </row>
    <row r="2082" spans="45:45">
      <c r="AS2082" s="47"/>
    </row>
    <row r="2083" spans="45:45">
      <c r="AS2083" s="47"/>
    </row>
    <row r="2084" spans="45:45">
      <c r="AS2084" s="47"/>
    </row>
    <row r="2085" spans="45:45">
      <c r="AS2085" s="47"/>
    </row>
    <row r="2086" spans="45:45">
      <c r="AS2086" s="47"/>
    </row>
    <row r="2087" spans="45:45">
      <c r="AS2087" s="47"/>
    </row>
    <row r="2088" spans="45:45">
      <c r="AS2088" s="47"/>
    </row>
    <row r="2089" spans="45:45">
      <c r="AS2089" s="47"/>
    </row>
    <row r="2090" spans="45:45">
      <c r="AS2090" s="47"/>
    </row>
    <row r="2091" spans="45:45">
      <c r="AS2091" s="47"/>
    </row>
    <row r="2092" spans="45:45">
      <c r="AS2092" s="47"/>
    </row>
    <row r="2093" spans="45:45">
      <c r="AS2093" s="47"/>
    </row>
    <row r="2094" spans="45:45">
      <c r="AS2094" s="47"/>
    </row>
    <row r="2095" spans="45:45">
      <c r="AS2095" s="47"/>
    </row>
    <row r="2096" spans="45:45">
      <c r="AS2096" s="47"/>
    </row>
    <row r="2097" spans="45:45">
      <c r="AS2097" s="47"/>
    </row>
    <row r="2098" spans="45:45">
      <c r="AS2098" s="47"/>
    </row>
    <row r="2099" spans="45:45">
      <c r="AS2099" s="47"/>
    </row>
    <row r="2100" spans="45:45">
      <c r="AS2100" s="47"/>
    </row>
    <row r="2101" spans="45:45">
      <c r="AS2101" s="47"/>
    </row>
    <row r="2102" spans="45:45">
      <c r="AS2102" s="47"/>
    </row>
    <row r="2103" spans="45:45">
      <c r="AS2103" s="47"/>
    </row>
    <row r="2104" spans="45:45">
      <c r="AS2104" s="47"/>
    </row>
    <row r="2105" spans="45:45">
      <c r="AS2105" s="47"/>
    </row>
    <row r="2106" spans="45:45">
      <c r="AS2106" s="47"/>
    </row>
    <row r="2107" spans="45:45">
      <c r="AS2107" s="47"/>
    </row>
    <row r="2108" spans="45:45">
      <c r="AS2108" s="47"/>
    </row>
    <row r="2109" spans="45:45">
      <c r="AS2109" s="47"/>
    </row>
    <row r="2110" spans="45:45">
      <c r="AS2110" s="47"/>
    </row>
    <row r="2111" spans="45:45">
      <c r="AS2111" s="47"/>
    </row>
    <row r="2112" spans="45:45">
      <c r="AS2112" s="47"/>
    </row>
    <row r="2113" spans="45:45">
      <c r="AS2113" s="47"/>
    </row>
    <row r="2114" spans="45:45">
      <c r="AS2114" s="47"/>
    </row>
    <row r="2115" spans="45:45">
      <c r="AS2115" s="47"/>
    </row>
    <row r="2116" spans="45:45">
      <c r="AS2116" s="47"/>
    </row>
    <row r="2117" spans="45:45">
      <c r="AS2117" s="47"/>
    </row>
    <row r="2118" spans="45:45">
      <c r="AS2118" s="47"/>
    </row>
    <row r="2119" spans="45:45">
      <c r="AS2119" s="47"/>
    </row>
    <row r="2120" spans="45:45">
      <c r="AS2120" s="47"/>
    </row>
    <row r="2121" spans="45:45">
      <c r="AS2121" s="47"/>
    </row>
    <row r="2122" spans="45:45">
      <c r="AS2122" s="47"/>
    </row>
    <row r="2123" spans="45:45">
      <c r="AS2123" s="47"/>
    </row>
    <row r="2124" spans="45:45">
      <c r="AS2124" s="47"/>
    </row>
    <row r="2125" spans="45:45">
      <c r="AS2125" s="47"/>
    </row>
    <row r="2126" spans="45:45">
      <c r="AS2126" s="47"/>
    </row>
    <row r="2127" spans="45:45">
      <c r="AS2127" s="47"/>
    </row>
    <row r="2128" spans="45:45">
      <c r="AS2128" s="47"/>
    </row>
    <row r="2129" spans="45:45">
      <c r="AS2129" s="47"/>
    </row>
    <row r="2130" spans="45:45">
      <c r="AS2130" s="47"/>
    </row>
    <row r="2131" spans="45:45">
      <c r="AS2131" s="47"/>
    </row>
    <row r="2132" spans="45:45">
      <c r="AS2132" s="47"/>
    </row>
    <row r="2133" spans="45:45">
      <c r="AS2133" s="47"/>
    </row>
    <row r="2134" spans="45:45">
      <c r="AS2134" s="47"/>
    </row>
    <row r="2135" spans="45:45">
      <c r="AS2135" s="47"/>
    </row>
    <row r="2136" spans="45:45">
      <c r="AS2136" s="47"/>
    </row>
    <row r="2137" spans="45:45">
      <c r="AS2137" s="47"/>
    </row>
    <row r="2138" spans="45:45">
      <c r="AS2138" s="47"/>
    </row>
    <row r="2139" spans="45:45">
      <c r="AS2139" s="47"/>
    </row>
    <row r="2140" spans="45:45">
      <c r="AS2140" s="47"/>
    </row>
    <row r="2141" spans="45:45">
      <c r="AS2141" s="47"/>
    </row>
    <row r="2142" spans="45:45">
      <c r="AS2142" s="47"/>
    </row>
    <row r="2143" spans="45:45">
      <c r="AS2143" s="47"/>
    </row>
    <row r="2144" spans="45:45">
      <c r="AS2144" s="47"/>
    </row>
    <row r="2145" spans="45:45">
      <c r="AS2145" s="47"/>
    </row>
    <row r="2146" spans="45:45">
      <c r="AS2146" s="47"/>
    </row>
    <row r="2147" spans="45:45">
      <c r="AS2147" s="47"/>
    </row>
    <row r="2148" spans="45:45">
      <c r="AS2148" s="47"/>
    </row>
    <row r="2149" spans="45:45">
      <c r="AS2149" s="47"/>
    </row>
    <row r="2150" spans="45:45">
      <c r="AS2150" s="47"/>
    </row>
    <row r="2151" spans="45:45">
      <c r="AS2151" s="47"/>
    </row>
    <row r="2152" spans="45:45">
      <c r="AS2152" s="47"/>
    </row>
    <row r="2153" spans="45:45">
      <c r="AS2153" s="47"/>
    </row>
    <row r="2154" spans="45:45">
      <c r="AS2154" s="47"/>
    </row>
    <row r="2155" spans="45:45">
      <c r="AS2155" s="47"/>
    </row>
    <row r="2156" spans="45:45">
      <c r="AS2156" s="47"/>
    </row>
    <row r="2157" spans="45:45">
      <c r="AS2157" s="47"/>
    </row>
    <row r="2158" spans="45:45">
      <c r="AS2158" s="47"/>
    </row>
    <row r="2159" spans="45:45">
      <c r="AS2159" s="47"/>
    </row>
    <row r="2160" spans="45:45">
      <c r="AS2160" s="47"/>
    </row>
    <row r="2161" spans="45:45">
      <c r="AS2161" s="47"/>
    </row>
    <row r="2162" spans="45:45">
      <c r="AS2162" s="47"/>
    </row>
    <row r="2163" spans="45:45">
      <c r="AS2163" s="47"/>
    </row>
    <row r="2164" spans="45:45">
      <c r="AS2164" s="47"/>
    </row>
    <row r="2165" spans="45:45">
      <c r="AS2165" s="47"/>
    </row>
    <row r="2166" spans="45:45">
      <c r="AS2166" s="47"/>
    </row>
    <row r="2167" spans="45:45">
      <c r="AS2167" s="47"/>
    </row>
    <row r="2168" spans="45:45">
      <c r="AS2168" s="47"/>
    </row>
    <row r="2169" spans="45:45">
      <c r="AS2169" s="47"/>
    </row>
    <row r="2170" spans="45:45">
      <c r="AS2170" s="47"/>
    </row>
    <row r="2171" spans="45:45">
      <c r="AS2171" s="47"/>
    </row>
    <row r="2172" spans="45:45">
      <c r="AS2172" s="47"/>
    </row>
    <row r="2173" spans="45:45">
      <c r="AS2173" s="47"/>
    </row>
    <row r="2174" spans="45:45">
      <c r="AS2174" s="47"/>
    </row>
    <row r="2175" spans="45:45">
      <c r="AS2175" s="47"/>
    </row>
    <row r="2176" spans="45:45">
      <c r="AS2176" s="47"/>
    </row>
    <row r="2177" spans="45:45">
      <c r="AS2177" s="47"/>
    </row>
    <row r="2178" spans="45:45">
      <c r="AS2178" s="47"/>
    </row>
    <row r="2179" spans="45:45">
      <c r="AS2179" s="47"/>
    </row>
    <row r="2180" spans="45:45">
      <c r="AS2180" s="47"/>
    </row>
    <row r="2181" spans="45:45">
      <c r="AS2181" s="47"/>
    </row>
    <row r="2182" spans="45:45">
      <c r="AS2182" s="47"/>
    </row>
    <row r="2183" spans="45:45">
      <c r="AS2183" s="47"/>
    </row>
    <row r="2184" spans="45:45">
      <c r="AS2184" s="47"/>
    </row>
    <row r="2185" spans="45:45">
      <c r="AS2185" s="47"/>
    </row>
    <row r="2186" spans="45:45">
      <c r="AS2186" s="47"/>
    </row>
    <row r="2187" spans="45:45">
      <c r="AS2187" s="47"/>
    </row>
    <row r="2188" spans="45:45">
      <c r="AS2188" s="47"/>
    </row>
    <row r="2189" spans="45:45">
      <c r="AS2189" s="47"/>
    </row>
    <row r="2190" spans="45:45">
      <c r="AS2190" s="47"/>
    </row>
    <row r="2191" spans="45:45">
      <c r="AS2191" s="47"/>
    </row>
    <row r="2192" spans="45:45">
      <c r="AS2192" s="47"/>
    </row>
    <row r="2193" spans="45:45">
      <c r="AS2193" s="47"/>
    </row>
    <row r="2194" spans="45:45">
      <c r="AS2194" s="47"/>
    </row>
    <row r="2195" spans="45:45">
      <c r="AS2195" s="47"/>
    </row>
    <row r="2196" spans="45:45">
      <c r="AS2196" s="47"/>
    </row>
    <row r="2197" spans="45:45">
      <c r="AS2197" s="47"/>
    </row>
    <row r="2198" spans="45:45">
      <c r="AS2198" s="47"/>
    </row>
    <row r="2199" spans="45:45">
      <c r="AS2199" s="47"/>
    </row>
    <row r="2200" spans="45:45">
      <c r="AS2200" s="47"/>
    </row>
    <row r="2201" spans="45:45">
      <c r="AS2201" s="47"/>
    </row>
    <row r="2202" spans="45:45">
      <c r="AS2202" s="47"/>
    </row>
    <row r="2203" spans="45:45">
      <c r="AS2203" s="47"/>
    </row>
    <row r="2204" spans="45:45">
      <c r="AS2204" s="47"/>
    </row>
    <row r="2205" spans="45:45">
      <c r="AS2205" s="47"/>
    </row>
    <row r="2206" spans="45:45">
      <c r="AS2206" s="47"/>
    </row>
    <row r="2207" spans="45:45">
      <c r="AS2207" s="47"/>
    </row>
    <row r="2208" spans="45:45">
      <c r="AS2208" s="47"/>
    </row>
    <row r="2209" spans="45:45">
      <c r="AS2209" s="47"/>
    </row>
    <row r="2210" spans="45:45">
      <c r="AS2210" s="47"/>
    </row>
    <row r="2211" spans="45:45">
      <c r="AS2211" s="47"/>
    </row>
    <row r="2212" spans="45:45">
      <c r="AS2212" s="47"/>
    </row>
    <row r="2213" spans="45:45">
      <c r="AS2213" s="47"/>
    </row>
    <row r="2214" spans="45:45">
      <c r="AS2214" s="47"/>
    </row>
    <row r="2215" spans="45:45">
      <c r="AS2215" s="47"/>
    </row>
    <row r="2216" spans="45:45">
      <c r="AS2216" s="47"/>
    </row>
    <row r="2217" spans="45:45">
      <c r="AS2217" s="47"/>
    </row>
    <row r="2218" spans="45:45">
      <c r="AS2218" s="47"/>
    </row>
    <row r="2219" spans="45:45">
      <c r="AS2219" s="47"/>
    </row>
    <row r="2220" spans="45:45">
      <c r="AS2220" s="47"/>
    </row>
    <row r="2221" spans="45:45">
      <c r="AS2221" s="47"/>
    </row>
    <row r="2222" spans="45:45">
      <c r="AS2222" s="47"/>
    </row>
    <row r="2223" spans="45:45">
      <c r="AS2223" s="47"/>
    </row>
    <row r="2224" spans="45:45">
      <c r="AS2224" s="47"/>
    </row>
    <row r="2225" spans="45:45">
      <c r="AS2225" s="47"/>
    </row>
    <row r="2226" spans="45:45">
      <c r="AS2226" s="47"/>
    </row>
    <row r="2227" spans="45:45">
      <c r="AS2227" s="47"/>
    </row>
    <row r="2228" spans="45:45">
      <c r="AS2228" s="47"/>
    </row>
    <row r="2229" spans="45:45">
      <c r="AS2229" s="47"/>
    </row>
    <row r="2230" spans="45:45">
      <c r="AS2230" s="47"/>
    </row>
    <row r="2231" spans="45:45">
      <c r="AS2231" s="47"/>
    </row>
    <row r="2232" spans="45:45">
      <c r="AS2232" s="47"/>
    </row>
    <row r="2233" spans="45:45">
      <c r="AS2233" s="47"/>
    </row>
    <row r="2234" spans="45:45">
      <c r="AS2234" s="47"/>
    </row>
    <row r="2235" spans="45:45">
      <c r="AS2235" s="47"/>
    </row>
    <row r="2236" spans="45:45">
      <c r="AS2236" s="47"/>
    </row>
    <row r="2237" spans="45:45">
      <c r="AS2237" s="47"/>
    </row>
    <row r="2238" spans="45:45">
      <c r="AS2238" s="47"/>
    </row>
    <row r="2239" spans="45:45">
      <c r="AS2239" s="47"/>
    </row>
    <row r="2240" spans="45:45">
      <c r="AS2240" s="47"/>
    </row>
    <row r="2241" spans="45:45">
      <c r="AS2241" s="47"/>
    </row>
    <row r="2242" spans="45:45">
      <c r="AS2242" s="47"/>
    </row>
    <row r="2243" spans="45:45">
      <c r="AS2243" s="47"/>
    </row>
    <row r="2244" spans="45:45">
      <c r="AS2244" s="47"/>
    </row>
    <row r="2245" spans="45:45">
      <c r="AS2245" s="47"/>
    </row>
    <row r="2246" spans="45:45">
      <c r="AS2246" s="47"/>
    </row>
    <row r="2247" spans="45:45">
      <c r="AS2247" s="47"/>
    </row>
    <row r="2248" spans="45:45">
      <c r="AS2248" s="47"/>
    </row>
    <row r="2249" spans="45:45">
      <c r="AS2249" s="47"/>
    </row>
    <row r="2250" spans="45:45">
      <c r="AS2250" s="47"/>
    </row>
    <row r="2251" spans="45:45">
      <c r="AS2251" s="47"/>
    </row>
    <row r="2252" spans="45:45">
      <c r="AS2252" s="47"/>
    </row>
    <row r="2253" spans="45:45">
      <c r="AS2253" s="47"/>
    </row>
    <row r="2254" spans="45:45">
      <c r="AS2254" s="47"/>
    </row>
    <row r="2255" spans="45:45">
      <c r="AS2255" s="47"/>
    </row>
    <row r="2256" spans="45:45">
      <c r="AS2256" s="47"/>
    </row>
    <row r="2257" spans="45:45">
      <c r="AS2257" s="47"/>
    </row>
    <row r="2258" spans="45:45">
      <c r="AS2258" s="47"/>
    </row>
    <row r="2259" spans="45:45">
      <c r="AS2259" s="47"/>
    </row>
    <row r="2260" spans="45:45">
      <c r="AS2260" s="47"/>
    </row>
    <row r="2261" spans="45:45">
      <c r="AS2261" s="47"/>
    </row>
    <row r="2262" spans="45:45">
      <c r="AS2262" s="47"/>
    </row>
    <row r="2263" spans="45:45">
      <c r="AS2263" s="47"/>
    </row>
    <row r="2264" spans="45:45">
      <c r="AS2264" s="47"/>
    </row>
    <row r="2265" spans="45:45">
      <c r="AS2265" s="47"/>
    </row>
    <row r="2266" spans="45:45">
      <c r="AS2266" s="47"/>
    </row>
    <row r="2267" spans="45:45">
      <c r="AS2267" s="47"/>
    </row>
    <row r="2268" spans="45:45">
      <c r="AS2268" s="47"/>
    </row>
    <row r="2269" spans="45:45">
      <c r="AS2269" s="47"/>
    </row>
    <row r="2270" spans="45:45">
      <c r="AS2270" s="47"/>
    </row>
    <row r="2271" spans="45:45">
      <c r="AS2271" s="47"/>
    </row>
    <row r="2272" spans="45:45">
      <c r="AS2272" s="47"/>
    </row>
    <row r="2273" spans="45:45">
      <c r="AS2273" s="47"/>
    </row>
    <row r="2274" spans="45:45">
      <c r="AS2274" s="47"/>
    </row>
    <row r="2275" spans="45:45">
      <c r="AS2275" s="47"/>
    </row>
    <row r="2276" spans="45:45">
      <c r="AS2276" s="47"/>
    </row>
    <row r="2277" spans="45:45">
      <c r="AS2277" s="47"/>
    </row>
    <row r="2278" spans="45:45">
      <c r="AS2278" s="47"/>
    </row>
    <row r="2279" spans="45:45">
      <c r="AS2279" s="47"/>
    </row>
    <row r="2280" spans="45:45">
      <c r="AS2280" s="47"/>
    </row>
    <row r="2281" spans="45:45">
      <c r="AS2281" s="47"/>
    </row>
    <row r="2282" spans="45:45">
      <c r="AS2282" s="47"/>
    </row>
    <row r="2283" spans="45:45">
      <c r="AS2283" s="47"/>
    </row>
    <row r="2284" spans="45:45">
      <c r="AS2284" s="47"/>
    </row>
    <row r="2285" spans="45:45">
      <c r="AS2285" s="47"/>
    </row>
    <row r="2286" spans="45:45">
      <c r="AS2286" s="47"/>
    </row>
    <row r="2287" spans="45:45">
      <c r="AS2287" s="47"/>
    </row>
    <row r="2288" spans="45:45">
      <c r="AS2288" s="47"/>
    </row>
    <row r="2289" spans="45:45">
      <c r="AS2289" s="47"/>
    </row>
    <row r="2290" spans="45:45">
      <c r="AS2290" s="47"/>
    </row>
    <row r="2291" spans="45:45">
      <c r="AS2291" s="47"/>
    </row>
    <row r="2292" spans="45:45">
      <c r="AS2292" s="47"/>
    </row>
    <row r="2293" spans="45:45">
      <c r="AS2293" s="47"/>
    </row>
    <row r="2294" spans="45:45">
      <c r="AS2294" s="47"/>
    </row>
    <row r="2295" spans="45:45">
      <c r="AS2295" s="47"/>
    </row>
    <row r="2296" spans="45:45">
      <c r="AS2296" s="47"/>
    </row>
    <row r="2297" spans="45:45">
      <c r="AS2297" s="47"/>
    </row>
    <row r="2298" spans="45:45">
      <c r="AS2298" s="47"/>
    </row>
    <row r="2299" spans="45:45">
      <c r="AS2299" s="47"/>
    </row>
    <row r="2300" spans="45:45">
      <c r="AS2300" s="47"/>
    </row>
    <row r="2301" spans="45:45">
      <c r="AS2301" s="47"/>
    </row>
    <row r="2302" spans="45:45">
      <c r="AS2302" s="47"/>
    </row>
    <row r="2303" spans="45:45">
      <c r="AS2303" s="47"/>
    </row>
    <row r="2304" spans="45:45">
      <c r="AS2304" s="47"/>
    </row>
    <row r="2305" spans="45:45">
      <c r="AS2305" s="47"/>
    </row>
    <row r="2306" spans="45:45">
      <c r="AS2306" s="47"/>
    </row>
    <row r="2307" spans="45:45">
      <c r="AS2307" s="47"/>
    </row>
    <row r="2308" spans="45:45">
      <c r="AS2308" s="47"/>
    </row>
    <row r="2309" spans="45:45">
      <c r="AS2309" s="47"/>
    </row>
    <row r="2310" spans="45:45">
      <c r="AS2310" s="47"/>
    </row>
    <row r="2311" spans="45:45">
      <c r="AS2311" s="47"/>
    </row>
    <row r="2312" spans="45:45">
      <c r="AS2312" s="47"/>
    </row>
    <row r="2313" spans="45:45">
      <c r="AS2313" s="47"/>
    </row>
    <row r="2314" spans="45:45">
      <c r="AS2314" s="47"/>
    </row>
    <row r="2315" spans="45:45">
      <c r="AS2315" s="47"/>
    </row>
    <row r="2316" spans="45:45">
      <c r="AS2316" s="47"/>
    </row>
    <row r="2317" spans="45:45">
      <c r="AS2317" s="47"/>
    </row>
    <row r="2318" spans="45:45">
      <c r="AS2318" s="47"/>
    </row>
    <row r="2319" spans="45:45">
      <c r="AS2319" s="47"/>
    </row>
    <row r="2320" spans="45:45">
      <c r="AS2320" s="47"/>
    </row>
    <row r="2321" spans="45:45">
      <c r="AS2321" s="47"/>
    </row>
    <row r="2322" spans="45:45">
      <c r="AS2322" s="47"/>
    </row>
    <row r="2323" spans="45:45">
      <c r="AS2323" s="47"/>
    </row>
    <row r="2324" spans="45:45">
      <c r="AS2324" s="47"/>
    </row>
    <row r="2325" spans="45:45">
      <c r="AS2325" s="47"/>
    </row>
    <row r="2326" spans="45:45">
      <c r="AS2326" s="47"/>
    </row>
    <row r="2327" spans="45:45">
      <c r="AS2327" s="47"/>
    </row>
    <row r="2328" spans="45:45">
      <c r="AS2328" s="47"/>
    </row>
    <row r="2329" spans="45:45">
      <c r="AS2329" s="47"/>
    </row>
    <row r="2330" spans="45:45">
      <c r="AS2330" s="47"/>
    </row>
    <row r="2331" spans="45:45">
      <c r="AS2331" s="47"/>
    </row>
    <row r="2332" spans="45:45">
      <c r="AS2332" s="47"/>
    </row>
    <row r="2333" spans="45:45">
      <c r="AS2333" s="47"/>
    </row>
    <row r="2334" spans="45:45">
      <c r="AS2334" s="47"/>
    </row>
    <row r="2335" spans="45:45">
      <c r="AS2335" s="47"/>
    </row>
    <row r="2336" spans="45:45">
      <c r="AS2336" s="47"/>
    </row>
    <row r="2337" spans="45:45">
      <c r="AS2337" s="47"/>
    </row>
    <row r="2338" spans="45:45">
      <c r="AS2338" s="47"/>
    </row>
    <row r="2339" spans="45:45">
      <c r="AS2339" s="47"/>
    </row>
    <row r="2340" spans="45:45">
      <c r="AS2340" s="47"/>
    </row>
    <row r="2341" spans="45:45">
      <c r="AS2341" s="47"/>
    </row>
    <row r="2342" spans="45:45">
      <c r="AS2342" s="47"/>
    </row>
    <row r="2343" spans="45:45">
      <c r="AS2343" s="47"/>
    </row>
    <row r="2344" spans="45:45">
      <c r="AS2344" s="47"/>
    </row>
    <row r="2345" spans="45:45">
      <c r="AS2345" s="47"/>
    </row>
    <row r="2346" spans="45:45">
      <c r="AS2346" s="47"/>
    </row>
    <row r="2347" spans="45:45">
      <c r="AS2347" s="47"/>
    </row>
    <row r="2348" spans="45:45">
      <c r="AS2348" s="47"/>
    </row>
    <row r="2349" spans="45:45">
      <c r="AS2349" s="47"/>
    </row>
    <row r="2350" spans="45:45">
      <c r="AS2350" s="47"/>
    </row>
    <row r="2351" spans="45:45">
      <c r="AS2351" s="47"/>
    </row>
    <row r="2352" spans="45:45">
      <c r="AS2352" s="47"/>
    </row>
    <row r="2353" spans="45:45">
      <c r="AS2353" s="47"/>
    </row>
    <row r="2354" spans="45:45">
      <c r="AS2354" s="47"/>
    </row>
    <row r="2355" spans="45:45">
      <c r="AS2355" s="47"/>
    </row>
    <row r="2356" spans="45:45">
      <c r="AS2356" s="47"/>
    </row>
    <row r="2357" spans="45:45">
      <c r="AS2357" s="47"/>
    </row>
    <row r="2358" spans="45:45">
      <c r="AS2358" s="47"/>
    </row>
    <row r="2359" spans="45:45">
      <c r="AS2359" s="47"/>
    </row>
    <row r="2360" spans="45:45">
      <c r="AS2360" s="47"/>
    </row>
    <row r="2361" spans="45:45">
      <c r="AS2361" s="47"/>
    </row>
    <row r="2362" spans="45:45">
      <c r="AS2362" s="47"/>
    </row>
    <row r="2363" spans="45:45">
      <c r="AS2363" s="47"/>
    </row>
    <row r="2364" spans="45:45">
      <c r="AS2364" s="47"/>
    </row>
    <row r="2365" spans="45:45">
      <c r="AS2365" s="47"/>
    </row>
    <row r="2366" spans="45:45">
      <c r="AS2366" s="47"/>
    </row>
    <row r="2367" spans="45:45">
      <c r="AS2367" s="47"/>
    </row>
    <row r="2368" spans="45:45">
      <c r="AS2368" s="47"/>
    </row>
    <row r="2369" spans="45:45">
      <c r="AS2369" s="47"/>
    </row>
    <row r="2370" spans="45:45">
      <c r="AS2370" s="47"/>
    </row>
    <row r="2371" spans="45:45">
      <c r="AS2371" s="47"/>
    </row>
    <row r="2372" spans="45:45">
      <c r="AS2372" s="47"/>
    </row>
    <row r="2373" spans="45:45">
      <c r="AS2373" s="47"/>
    </row>
    <row r="2374" spans="45:45">
      <c r="AS2374" s="47"/>
    </row>
    <row r="2375" spans="45:45">
      <c r="AS2375" s="47"/>
    </row>
    <row r="2376" spans="45:45">
      <c r="AS2376" s="47"/>
    </row>
    <row r="2377" spans="45:45">
      <c r="AS2377" s="47"/>
    </row>
    <row r="2378" spans="45:45">
      <c r="AS2378" s="47"/>
    </row>
    <row r="2379" spans="45:45">
      <c r="AS2379" s="47"/>
    </row>
    <row r="2380" spans="45:45">
      <c r="AS2380" s="47"/>
    </row>
    <row r="2381" spans="45:45">
      <c r="AS2381" s="47"/>
    </row>
    <row r="2382" spans="45:45">
      <c r="AS2382" s="47"/>
    </row>
    <row r="2383" spans="45:45">
      <c r="AS2383" s="47"/>
    </row>
    <row r="2384" spans="45:45">
      <c r="AS2384" s="47"/>
    </row>
    <row r="2385" spans="45:45">
      <c r="AS2385" s="47"/>
    </row>
    <row r="2386" spans="45:45">
      <c r="AS2386" s="47"/>
    </row>
    <row r="2387" spans="45:45">
      <c r="AS2387" s="47"/>
    </row>
    <row r="2388" spans="45:45">
      <c r="AS2388" s="47"/>
    </row>
    <row r="2389" spans="45:45">
      <c r="AS2389" s="47"/>
    </row>
    <row r="2390" spans="45:45">
      <c r="AS2390" s="47"/>
    </row>
    <row r="2391" spans="45:45">
      <c r="AS2391" s="47"/>
    </row>
    <row r="2392" spans="45:45">
      <c r="AS2392" s="47"/>
    </row>
    <row r="2393" spans="45:45">
      <c r="AS2393" s="47"/>
    </row>
    <row r="2394" spans="45:45">
      <c r="AS2394" s="47"/>
    </row>
    <row r="2395" spans="45:45">
      <c r="AS2395" s="47"/>
    </row>
    <row r="2396" spans="45:45">
      <c r="AS2396" s="47"/>
    </row>
    <row r="2397" spans="45:45">
      <c r="AS2397" s="47"/>
    </row>
    <row r="2398" spans="45:45">
      <c r="AS2398" s="47"/>
    </row>
    <row r="2399" spans="45:45">
      <c r="AS2399" s="47"/>
    </row>
    <row r="2400" spans="45:45">
      <c r="AS2400" s="47"/>
    </row>
    <row r="2401" spans="45:45">
      <c r="AS2401" s="47"/>
    </row>
    <row r="2402" spans="45:45">
      <c r="AS2402" s="47"/>
    </row>
    <row r="2403" spans="45:45">
      <c r="AS2403" s="47"/>
    </row>
    <row r="2404" spans="45:45">
      <c r="AS2404" s="47"/>
    </row>
    <row r="2405" spans="45:45">
      <c r="AS2405" s="47"/>
    </row>
    <row r="2406" spans="45:45">
      <c r="AS2406" s="47"/>
    </row>
    <row r="2407" spans="45:45">
      <c r="AS2407" s="47"/>
    </row>
    <row r="2408" spans="45:45">
      <c r="AS2408" s="47"/>
    </row>
    <row r="2409" spans="45:45">
      <c r="AS2409" s="47"/>
    </row>
    <row r="2410" spans="45:45">
      <c r="AS2410" s="47"/>
    </row>
    <row r="2411" spans="45:45">
      <c r="AS2411" s="47"/>
    </row>
    <row r="2412" spans="45:45">
      <c r="AS2412" s="47"/>
    </row>
    <row r="2413" spans="45:45">
      <c r="AS2413" s="47"/>
    </row>
    <row r="2414" spans="45:45">
      <c r="AS2414" s="47"/>
    </row>
    <row r="2415" spans="45:45">
      <c r="AS2415" s="47"/>
    </row>
    <row r="2416" spans="45:45">
      <c r="AS2416" s="47"/>
    </row>
    <row r="2417" spans="45:45">
      <c r="AS2417" s="47"/>
    </row>
    <row r="2418" spans="45:45">
      <c r="AS2418" s="47"/>
    </row>
    <row r="2419" spans="45:45">
      <c r="AS2419" s="47"/>
    </row>
    <row r="2420" spans="45:45">
      <c r="AS2420" s="47"/>
    </row>
    <row r="2421" spans="45:45">
      <c r="AS2421" s="47"/>
    </row>
    <row r="2422" spans="45:45">
      <c r="AS2422" s="47"/>
    </row>
    <row r="2423" spans="45:45">
      <c r="AS2423" s="47"/>
    </row>
    <row r="2424" spans="45:45">
      <c r="AS2424" s="47"/>
    </row>
    <row r="2425" spans="45:45">
      <c r="AS2425" s="47"/>
    </row>
    <row r="2426" spans="45:45">
      <c r="AS2426" s="47"/>
    </row>
    <row r="2427" spans="45:45">
      <c r="AS2427" s="47"/>
    </row>
    <row r="2428" spans="45:45">
      <c r="AS2428" s="47"/>
    </row>
    <row r="2429" spans="45:45">
      <c r="AS2429" s="47"/>
    </row>
    <row r="2430" spans="45:45">
      <c r="AS2430" s="47"/>
    </row>
    <row r="2431" spans="45:45">
      <c r="AS2431" s="47"/>
    </row>
    <row r="2432" spans="45:45">
      <c r="AS2432" s="47"/>
    </row>
    <row r="2433" spans="45:45">
      <c r="AS2433" s="47"/>
    </row>
    <row r="2434" spans="45:45">
      <c r="AS2434" s="47"/>
    </row>
    <row r="2435" spans="45:45">
      <c r="AS2435" s="47"/>
    </row>
    <row r="2436" spans="45:45">
      <c r="AS2436" s="47"/>
    </row>
    <row r="2437" spans="45:45">
      <c r="AS2437" s="47"/>
    </row>
    <row r="2438" spans="45:45">
      <c r="AS2438" s="47"/>
    </row>
    <row r="2439" spans="45:45">
      <c r="AS2439" s="47"/>
    </row>
    <row r="2440" spans="45:45">
      <c r="AS2440" s="47"/>
    </row>
    <row r="2441" spans="45:45">
      <c r="AS2441" s="47"/>
    </row>
    <row r="2442" spans="45:45">
      <c r="AS2442" s="47"/>
    </row>
    <row r="2443" spans="45:45">
      <c r="AS2443" s="47"/>
    </row>
    <row r="2444" spans="45:45">
      <c r="AS2444" s="47"/>
    </row>
    <row r="2445" spans="45:45">
      <c r="AS2445" s="47"/>
    </row>
    <row r="2446" spans="45:45">
      <c r="AS2446" s="47"/>
    </row>
    <row r="2447" spans="45:45">
      <c r="AS2447" s="47"/>
    </row>
    <row r="2448" spans="45:45">
      <c r="AS2448" s="47"/>
    </row>
    <row r="2449" spans="45:45">
      <c r="AS2449" s="47"/>
    </row>
    <row r="2450" spans="45:45">
      <c r="AS2450" s="47"/>
    </row>
    <row r="2451" spans="45:45">
      <c r="AS2451" s="47"/>
    </row>
    <row r="2452" spans="45:45">
      <c r="AS2452" s="47"/>
    </row>
    <row r="2453" spans="45:45">
      <c r="AS2453" s="47"/>
    </row>
    <row r="2454" spans="45:45">
      <c r="AS2454" s="47"/>
    </row>
    <row r="2455" spans="45:45">
      <c r="AS2455" s="47"/>
    </row>
    <row r="2456" spans="45:45">
      <c r="AS2456" s="47"/>
    </row>
    <row r="2457" spans="45:45">
      <c r="AS2457" s="47"/>
    </row>
    <row r="2458" spans="45:45">
      <c r="AS2458" s="47"/>
    </row>
    <row r="2459" spans="45:45">
      <c r="AS2459" s="47"/>
    </row>
    <row r="2460" spans="45:45">
      <c r="AS2460" s="47"/>
    </row>
    <row r="2461" spans="45:45">
      <c r="AS2461" s="47"/>
    </row>
    <row r="2462" spans="45:45">
      <c r="AS2462" s="47"/>
    </row>
    <row r="2463" spans="45:45">
      <c r="AS2463" s="47"/>
    </row>
    <row r="2464" spans="45:45">
      <c r="AS2464" s="47"/>
    </row>
    <row r="2465" spans="45:45">
      <c r="AS2465" s="47"/>
    </row>
    <row r="2466" spans="45:45">
      <c r="AS2466" s="47"/>
    </row>
    <row r="2467" spans="45:45">
      <c r="AS2467" s="47"/>
    </row>
    <row r="2468" spans="45:45">
      <c r="AS2468" s="47"/>
    </row>
    <row r="2469" spans="45:45">
      <c r="AS2469" s="47"/>
    </row>
    <row r="2470" spans="45:45">
      <c r="AS2470" s="47"/>
    </row>
    <row r="2471" spans="45:45">
      <c r="AS2471" s="47"/>
    </row>
    <row r="2472" spans="45:45">
      <c r="AS2472" s="47"/>
    </row>
    <row r="2473" spans="45:45">
      <c r="AS2473" s="47"/>
    </row>
    <row r="2474" spans="45:45">
      <c r="AS2474" s="47"/>
    </row>
    <row r="2475" spans="45:45">
      <c r="AS2475" s="47"/>
    </row>
    <row r="2476" spans="45:45">
      <c r="AS2476" s="47"/>
    </row>
    <row r="2477" spans="45:45">
      <c r="AS2477" s="47"/>
    </row>
    <row r="2478" spans="45:45">
      <c r="AS2478" s="47"/>
    </row>
    <row r="2479" spans="45:45">
      <c r="AS2479" s="47"/>
    </row>
    <row r="2480" spans="45:45">
      <c r="AS2480" s="47"/>
    </row>
    <row r="2481" spans="45:45">
      <c r="AS2481" s="47"/>
    </row>
    <row r="2482" spans="45:45">
      <c r="AS2482" s="47"/>
    </row>
    <row r="2483" spans="45:45">
      <c r="AS2483" s="47"/>
    </row>
    <row r="2484" spans="45:45">
      <c r="AS2484" s="47"/>
    </row>
    <row r="2485" spans="45:45">
      <c r="AS2485" s="47"/>
    </row>
    <row r="2486" spans="45:45">
      <c r="AS2486" s="47"/>
    </row>
    <row r="2487" spans="45:45">
      <c r="AS2487" s="47"/>
    </row>
    <row r="2488" spans="45:45">
      <c r="AS2488" s="47"/>
    </row>
    <row r="2489" spans="45:45">
      <c r="AS2489" s="47"/>
    </row>
    <row r="2490" spans="45:45">
      <c r="AS2490" s="47"/>
    </row>
    <row r="2491" spans="45:45">
      <c r="AS2491" s="47"/>
    </row>
    <row r="2492" spans="45:45">
      <c r="AS2492" s="47"/>
    </row>
    <row r="2493" spans="45:45">
      <c r="AS2493" s="47"/>
    </row>
    <row r="2494" spans="45:45">
      <c r="AS2494" s="47"/>
    </row>
    <row r="2495" spans="45:45">
      <c r="AS2495" s="47"/>
    </row>
    <row r="2496" spans="45:45">
      <c r="AS2496" s="47"/>
    </row>
    <row r="2497" spans="45:45">
      <c r="AS2497" s="47"/>
    </row>
    <row r="2498" spans="45:45">
      <c r="AS2498" s="47"/>
    </row>
    <row r="2499" spans="45:45">
      <c r="AS2499" s="47"/>
    </row>
    <row r="2500" spans="45:45">
      <c r="AS2500" s="47"/>
    </row>
    <row r="2501" spans="45:45">
      <c r="AS2501" s="47"/>
    </row>
    <row r="2502" spans="45:45">
      <c r="AS2502" s="47"/>
    </row>
    <row r="2503" spans="45:45">
      <c r="AS2503" s="47"/>
    </row>
    <row r="2504" spans="45:45">
      <c r="AS2504" s="47"/>
    </row>
    <row r="2505" spans="45:45">
      <c r="AS2505" s="47"/>
    </row>
    <row r="2506" spans="45:45">
      <c r="AS2506" s="47"/>
    </row>
    <row r="2507" spans="45:45">
      <c r="AS2507" s="47"/>
    </row>
    <row r="2508" spans="45:45">
      <c r="AS2508" s="47"/>
    </row>
    <row r="2509" spans="45:45">
      <c r="AS2509" s="47"/>
    </row>
    <row r="2510" spans="45:45">
      <c r="AS2510" s="47"/>
    </row>
    <row r="2511" spans="45:45">
      <c r="AS2511" s="47"/>
    </row>
    <row r="2512" spans="45:45">
      <c r="AS2512" s="47"/>
    </row>
    <row r="2513" spans="45:45">
      <c r="AS2513" s="47"/>
    </row>
    <row r="2514" spans="45:45">
      <c r="AS2514" s="47"/>
    </row>
    <row r="2515" spans="45:45">
      <c r="AS2515" s="47"/>
    </row>
    <row r="2516" spans="45:45">
      <c r="AS2516" s="47"/>
    </row>
    <row r="2517" spans="45:45">
      <c r="AS2517" s="47"/>
    </row>
    <row r="2518" spans="45:45">
      <c r="AS2518" s="47"/>
    </row>
    <row r="2519" spans="45:45">
      <c r="AS2519" s="47"/>
    </row>
    <row r="2520" spans="45:45">
      <c r="AS2520" s="47"/>
    </row>
    <row r="2521" spans="45:45">
      <c r="AS2521" s="47"/>
    </row>
    <row r="2522" spans="45:45">
      <c r="AS2522" s="47"/>
    </row>
    <row r="2523" spans="45:45">
      <c r="AS2523" s="47"/>
    </row>
    <row r="2524" spans="45:45">
      <c r="AS2524" s="47"/>
    </row>
    <row r="2525" spans="45:45">
      <c r="AS2525" s="47"/>
    </row>
    <row r="2526" spans="45:45">
      <c r="AS2526" s="47"/>
    </row>
    <row r="2527" spans="45:45">
      <c r="AS2527" s="47"/>
    </row>
    <row r="2528" spans="45:45">
      <c r="AS2528" s="47"/>
    </row>
    <row r="2529" spans="45:45">
      <c r="AS2529" s="47"/>
    </row>
    <row r="2530" spans="45:45">
      <c r="AS2530" s="47"/>
    </row>
    <row r="2531" spans="45:45">
      <c r="AS2531" s="47"/>
    </row>
    <row r="2532" spans="45:45">
      <c r="AS2532" s="47"/>
    </row>
    <row r="2533" spans="45:45">
      <c r="AS2533" s="47"/>
    </row>
    <row r="2534" spans="45:45">
      <c r="AS2534" s="47"/>
    </row>
    <row r="2535" spans="45:45">
      <c r="AS2535" s="47"/>
    </row>
    <row r="2536" spans="45:45">
      <c r="AS2536" s="47"/>
    </row>
    <row r="2537" spans="45:45">
      <c r="AS2537" s="47"/>
    </row>
    <row r="2538" spans="45:45">
      <c r="AS2538" s="47"/>
    </row>
    <row r="2539" spans="45:45">
      <c r="AS2539" s="47"/>
    </row>
    <row r="2540" spans="45:45">
      <c r="AS2540" s="47"/>
    </row>
    <row r="2541" spans="45:45">
      <c r="AS2541" s="47"/>
    </row>
    <row r="2542" spans="45:45">
      <c r="AS2542" s="47"/>
    </row>
    <row r="2543" spans="45:45">
      <c r="AS2543" s="47"/>
    </row>
    <row r="2544" spans="45:45">
      <c r="AS2544" s="47"/>
    </row>
    <row r="2545" spans="45:45">
      <c r="AS2545" s="47"/>
    </row>
    <row r="2546" spans="45:45">
      <c r="AS2546" s="47"/>
    </row>
    <row r="2547" spans="45:45">
      <c r="AS2547" s="47"/>
    </row>
    <row r="2548" spans="45:45">
      <c r="AS2548" s="47"/>
    </row>
    <row r="2549" spans="45:45">
      <c r="AS2549" s="47"/>
    </row>
    <row r="2550" spans="45:45">
      <c r="AS2550" s="47"/>
    </row>
    <row r="2551" spans="45:45">
      <c r="AS2551" s="47"/>
    </row>
    <row r="2552" spans="45:45">
      <c r="AS2552" s="47"/>
    </row>
    <row r="2553" spans="45:45">
      <c r="AS2553" s="47"/>
    </row>
    <row r="2554" spans="45:45">
      <c r="AS2554" s="47"/>
    </row>
    <row r="2555" spans="45:45">
      <c r="AS2555" s="47"/>
    </row>
    <row r="2556" spans="45:45">
      <c r="AS2556" s="47"/>
    </row>
    <row r="2557" spans="45:45">
      <c r="AS2557" s="47"/>
    </row>
    <row r="2558" spans="45:45">
      <c r="AS2558" s="47"/>
    </row>
    <row r="2559" spans="45:45">
      <c r="AS2559" s="47"/>
    </row>
    <row r="2560" spans="45:45">
      <c r="AS2560" s="47"/>
    </row>
    <row r="2561" spans="45:45">
      <c r="AS2561" s="47"/>
    </row>
    <row r="2562" spans="45:45">
      <c r="AS2562" s="47"/>
    </row>
    <row r="2563" spans="45:45">
      <c r="AS2563" s="47"/>
    </row>
    <row r="2564" spans="45:45">
      <c r="AS2564" s="47"/>
    </row>
    <row r="2565" spans="45:45">
      <c r="AS2565" s="47"/>
    </row>
    <row r="2566" spans="45:45">
      <c r="AS2566" s="47"/>
    </row>
    <row r="2567" spans="45:45">
      <c r="AS2567" s="47"/>
    </row>
    <row r="2568" spans="45:45">
      <c r="AS2568" s="47"/>
    </row>
    <row r="2569" spans="45:45">
      <c r="AS2569" s="47"/>
    </row>
    <row r="2570" spans="45:45">
      <c r="AS2570" s="47"/>
    </row>
    <row r="2571" spans="45:45">
      <c r="AS2571" s="47"/>
    </row>
    <row r="2572" spans="45:45">
      <c r="AS2572" s="47"/>
    </row>
    <row r="2573" spans="45:45">
      <c r="AS2573" s="47"/>
    </row>
    <row r="2574" spans="45:45">
      <c r="AS2574" s="47"/>
    </row>
    <row r="2575" spans="45:45">
      <c r="AS2575" s="47"/>
    </row>
    <row r="2576" spans="45:45">
      <c r="AS2576" s="47"/>
    </row>
    <row r="2577" spans="45:45">
      <c r="AS2577" s="47"/>
    </row>
    <row r="2578" spans="45:45">
      <c r="AS2578" s="47"/>
    </row>
    <row r="2579" spans="45:45">
      <c r="AS2579" s="47"/>
    </row>
    <row r="2580" spans="45:45">
      <c r="AS2580" s="47"/>
    </row>
    <row r="2581" spans="45:45">
      <c r="AS2581" s="47"/>
    </row>
    <row r="2582" spans="45:45">
      <c r="AS2582" s="47"/>
    </row>
    <row r="2583" spans="45:45">
      <c r="AS2583" s="47"/>
    </row>
    <row r="2584" spans="45:45">
      <c r="AS2584" s="47"/>
    </row>
    <row r="2585" spans="45:45">
      <c r="AS2585" s="47"/>
    </row>
    <row r="2586" spans="45:45">
      <c r="AS2586" s="47"/>
    </row>
    <row r="2587" spans="45:45">
      <c r="AS2587" s="47"/>
    </row>
    <row r="2588" spans="45:45">
      <c r="AS2588" s="47"/>
    </row>
    <row r="2589" spans="45:45">
      <c r="AS2589" s="47"/>
    </row>
    <row r="2590" spans="45:45">
      <c r="AS2590" s="47"/>
    </row>
    <row r="2591" spans="45:45">
      <c r="AS2591" s="47"/>
    </row>
    <row r="2592" spans="45:45">
      <c r="AS2592" s="47"/>
    </row>
    <row r="2593" spans="45:45">
      <c r="AS2593" s="47"/>
    </row>
    <row r="2594" spans="45:45">
      <c r="AS2594" s="47"/>
    </row>
    <row r="2595" spans="45:45">
      <c r="AS2595" s="47"/>
    </row>
    <row r="2596" spans="45:45">
      <c r="AS2596" s="47"/>
    </row>
    <row r="2597" spans="45:45">
      <c r="AS2597" s="47"/>
    </row>
    <row r="2598" spans="45:45">
      <c r="AS2598" s="47"/>
    </row>
    <row r="2599" spans="45:45">
      <c r="AS2599" s="47"/>
    </row>
    <row r="2600" spans="45:45">
      <c r="AS2600" s="47"/>
    </row>
    <row r="2601" spans="45:45">
      <c r="AS2601" s="47"/>
    </row>
    <row r="2602" spans="45:45">
      <c r="AS2602" s="47"/>
    </row>
    <row r="2603" spans="45:45">
      <c r="AS2603" s="47"/>
    </row>
    <row r="2604" spans="45:45">
      <c r="AS2604" s="47"/>
    </row>
    <row r="2605" spans="45:45">
      <c r="AS2605" s="47"/>
    </row>
    <row r="2606" spans="45:45">
      <c r="AS2606" s="47"/>
    </row>
    <row r="2607" spans="45:45">
      <c r="AS2607" s="47"/>
    </row>
    <row r="2608" spans="45:45">
      <c r="AS2608" s="47"/>
    </row>
    <row r="2609" spans="45:45">
      <c r="AS2609" s="47"/>
    </row>
    <row r="2610" spans="45:45">
      <c r="AS2610" s="47"/>
    </row>
    <row r="2611" spans="45:45">
      <c r="AS2611" s="47"/>
    </row>
    <row r="2612" spans="45:45">
      <c r="AS2612" s="47"/>
    </row>
    <row r="2613" spans="45:45">
      <c r="AS2613" s="47"/>
    </row>
    <row r="2614" spans="45:45">
      <c r="AS2614" s="47"/>
    </row>
    <row r="2615" spans="45:45">
      <c r="AS2615" s="47"/>
    </row>
    <row r="2616" spans="45:45">
      <c r="AS2616" s="47"/>
    </row>
    <row r="2617" spans="45:45">
      <c r="AS2617" s="47"/>
    </row>
    <row r="2618" spans="45:45">
      <c r="AS2618" s="47"/>
    </row>
    <row r="2619" spans="45:45">
      <c r="AS2619" s="47"/>
    </row>
    <row r="2620" spans="45:45">
      <c r="AS2620" s="47"/>
    </row>
    <row r="2621" spans="45:45">
      <c r="AS2621" s="47"/>
    </row>
    <row r="2622" spans="45:45">
      <c r="AS2622" s="47"/>
    </row>
    <row r="2623" spans="45:45">
      <c r="AS2623" s="47"/>
    </row>
    <row r="2624" spans="45:45">
      <c r="AS2624" s="47"/>
    </row>
    <row r="2625" spans="45:45">
      <c r="AS2625" s="47"/>
    </row>
    <row r="2626" spans="45:45">
      <c r="AS2626" s="47"/>
    </row>
    <row r="2627" spans="45:45">
      <c r="AS2627" s="47"/>
    </row>
    <row r="2628" spans="45:45">
      <c r="AS2628" s="47"/>
    </row>
    <row r="2629" spans="45:45">
      <c r="AS2629" s="47"/>
    </row>
    <row r="2630" spans="45:45">
      <c r="AS2630" s="47"/>
    </row>
    <row r="2631" spans="45:45">
      <c r="AS2631" s="47"/>
    </row>
    <row r="2632" spans="45:45">
      <c r="AS2632" s="47"/>
    </row>
    <row r="2633" spans="45:45">
      <c r="AS2633" s="47"/>
    </row>
    <row r="2634" spans="45:45">
      <c r="AS2634" s="47"/>
    </row>
    <row r="2635" spans="45:45">
      <c r="AS2635" s="47"/>
    </row>
    <row r="2636" spans="45:45">
      <c r="AS2636" s="47"/>
    </row>
    <row r="2637" spans="45:45">
      <c r="AS2637" s="47"/>
    </row>
    <row r="2638" spans="45:45">
      <c r="AS2638" s="47"/>
    </row>
    <row r="2639" spans="45:45">
      <c r="AS2639" s="47"/>
    </row>
    <row r="2640" spans="45:45">
      <c r="AS2640" s="47"/>
    </row>
    <row r="2641" spans="45:45">
      <c r="AS2641" s="47"/>
    </row>
    <row r="2642" spans="45:45">
      <c r="AS2642" s="47"/>
    </row>
    <row r="2643" spans="45:45">
      <c r="AS2643" s="47"/>
    </row>
    <row r="2644" spans="45:45">
      <c r="AS2644" s="47"/>
    </row>
    <row r="2645" spans="45:45">
      <c r="AS2645" s="47"/>
    </row>
    <row r="2646" spans="45:45">
      <c r="AS2646" s="47"/>
    </row>
    <row r="2647" spans="45:45">
      <c r="AS2647" s="47"/>
    </row>
    <row r="2648" spans="45:45">
      <c r="AS2648" s="47"/>
    </row>
    <row r="2649" spans="45:45">
      <c r="AS2649" s="47"/>
    </row>
    <row r="2650" spans="45:45">
      <c r="AS2650" s="47"/>
    </row>
    <row r="2651" spans="45:45">
      <c r="AS2651" s="47"/>
    </row>
    <row r="2652" spans="45:45">
      <c r="AS2652" s="47"/>
    </row>
    <row r="2653" spans="45:45">
      <c r="AS2653" s="47"/>
    </row>
    <row r="2654" spans="45:45">
      <c r="AS2654" s="47"/>
    </row>
    <row r="2655" spans="45:45">
      <c r="AS2655" s="47"/>
    </row>
    <row r="2656" spans="45:45">
      <c r="AS2656" s="47"/>
    </row>
    <row r="2657" spans="45:45">
      <c r="AS2657" s="47"/>
    </row>
    <row r="2658" spans="45:45">
      <c r="AS2658" s="47"/>
    </row>
    <row r="2659" spans="45:45">
      <c r="AS2659" s="47"/>
    </row>
    <row r="2660" spans="45:45">
      <c r="AS2660" s="47"/>
    </row>
    <row r="2661" spans="45:45">
      <c r="AS2661" s="47"/>
    </row>
    <row r="2662" spans="45:45">
      <c r="AS2662" s="47"/>
    </row>
    <row r="2663" spans="45:45">
      <c r="AS2663" s="47"/>
    </row>
    <row r="2664" spans="45:45">
      <c r="AS2664" s="47"/>
    </row>
    <row r="2665" spans="45:45">
      <c r="AS2665" s="47"/>
    </row>
    <row r="2666" spans="45:45">
      <c r="AS2666" s="47"/>
    </row>
    <row r="2667" spans="45:45">
      <c r="AS2667" s="47"/>
    </row>
    <row r="2668" spans="45:45">
      <c r="AS2668" s="47"/>
    </row>
    <row r="2669" spans="45:45">
      <c r="AS2669" s="47"/>
    </row>
    <row r="2670" spans="45:45">
      <c r="AS2670" s="47"/>
    </row>
    <row r="2671" spans="45:45">
      <c r="AS2671" s="47"/>
    </row>
    <row r="2672" spans="45:45">
      <c r="AS2672" s="47"/>
    </row>
    <row r="2673" spans="45:45">
      <c r="AS2673" s="47"/>
    </row>
    <row r="2674" spans="45:45">
      <c r="AS2674" s="47"/>
    </row>
    <row r="2675" spans="45:45">
      <c r="AS2675" s="47"/>
    </row>
    <row r="2676" spans="45:45">
      <c r="AS2676" s="47"/>
    </row>
    <row r="2677" spans="45:45">
      <c r="AS2677" s="47"/>
    </row>
    <row r="2678" spans="45:45">
      <c r="AS2678" s="47"/>
    </row>
    <row r="2679" spans="45:45">
      <c r="AS2679" s="47"/>
    </row>
    <row r="2680" spans="45:45">
      <c r="AS2680" s="47"/>
    </row>
    <row r="2681" spans="45:45">
      <c r="AS2681" s="47"/>
    </row>
    <row r="2682" spans="45:45">
      <c r="AS2682" s="47"/>
    </row>
    <row r="2683" spans="45:45">
      <c r="AS2683" s="47"/>
    </row>
    <row r="2684" spans="45:45">
      <c r="AS2684" s="47"/>
    </row>
    <row r="2685" spans="45:45">
      <c r="AS2685" s="47"/>
    </row>
    <row r="2686" spans="45:45">
      <c r="AS2686" s="47"/>
    </row>
    <row r="2687" spans="45:45">
      <c r="AS2687" s="47"/>
    </row>
    <row r="2688" spans="45:45">
      <c r="AS2688" s="47"/>
    </row>
    <row r="2689" spans="45:45">
      <c r="AS2689" s="47"/>
    </row>
    <row r="2690" spans="45:45">
      <c r="AS2690" s="47"/>
    </row>
    <row r="2691" spans="45:45">
      <c r="AS2691" s="47"/>
    </row>
    <row r="2692" spans="45:45">
      <c r="AS2692" s="47"/>
    </row>
    <row r="2693" spans="45:45">
      <c r="AS2693" s="47"/>
    </row>
    <row r="2694" spans="45:45">
      <c r="AS2694" s="47"/>
    </row>
    <row r="2695" spans="45:45">
      <c r="AS2695" s="47"/>
    </row>
    <row r="2696" spans="45:45">
      <c r="AS2696" s="47"/>
    </row>
    <row r="2697" spans="45:45">
      <c r="AS2697" s="47"/>
    </row>
    <row r="2698" spans="45:45">
      <c r="AS2698" s="47"/>
    </row>
    <row r="2699" spans="45:45">
      <c r="AS2699" s="47"/>
    </row>
    <row r="2700" spans="45:45">
      <c r="AS2700" s="47"/>
    </row>
    <row r="2701" spans="45:45">
      <c r="AS2701" s="47"/>
    </row>
    <row r="2702" spans="45:45">
      <c r="AS2702" s="47"/>
    </row>
    <row r="2703" spans="45:45">
      <c r="AS2703" s="47"/>
    </row>
    <row r="2704" spans="45:45">
      <c r="AS2704" s="47"/>
    </row>
    <row r="2705" spans="45:45">
      <c r="AS2705" s="47"/>
    </row>
    <row r="2706" spans="45:45">
      <c r="AS2706" s="47"/>
    </row>
    <row r="2707" spans="45:45">
      <c r="AS2707" s="47"/>
    </row>
    <row r="2708" spans="45:45">
      <c r="AS2708" s="47"/>
    </row>
    <row r="2709" spans="45:45">
      <c r="AS2709" s="47"/>
    </row>
    <row r="2710" spans="45:45">
      <c r="AS2710" s="47"/>
    </row>
    <row r="2711" spans="45:45">
      <c r="AS2711" s="47"/>
    </row>
    <row r="2712" spans="45:45">
      <c r="AS2712" s="47"/>
    </row>
    <row r="2713" spans="45:45">
      <c r="AS2713" s="47"/>
    </row>
    <row r="2714" spans="45:45">
      <c r="AS2714" s="47"/>
    </row>
    <row r="2715" spans="45:45">
      <c r="AS2715" s="47"/>
    </row>
    <row r="2716" spans="45:45">
      <c r="AS2716" s="47"/>
    </row>
    <row r="2717" spans="45:45">
      <c r="AS2717" s="47"/>
    </row>
    <row r="2718" spans="45:45">
      <c r="AS2718" s="47"/>
    </row>
    <row r="2719" spans="45:45">
      <c r="AS2719" s="47"/>
    </row>
    <row r="2720" spans="45:45">
      <c r="AS2720" s="47"/>
    </row>
    <row r="2721" spans="45:45">
      <c r="AS2721" s="47"/>
    </row>
    <row r="2722" spans="45:45">
      <c r="AS2722" s="47"/>
    </row>
    <row r="2723" spans="45:45">
      <c r="AS2723" s="47"/>
    </row>
    <row r="2724" spans="45:45">
      <c r="AS2724" s="47"/>
    </row>
    <row r="2725" spans="45:45">
      <c r="AS2725" s="47"/>
    </row>
    <row r="2726" spans="45:45">
      <c r="AS2726" s="47"/>
    </row>
    <row r="2727" spans="45:45">
      <c r="AS2727" s="47"/>
    </row>
    <row r="2728" spans="45:45">
      <c r="AS2728" s="47"/>
    </row>
    <row r="2729" spans="45:45">
      <c r="AS2729" s="47"/>
    </row>
    <row r="2730" spans="45:45">
      <c r="AS2730" s="47"/>
    </row>
    <row r="2731" spans="45:45">
      <c r="AS2731" s="47"/>
    </row>
    <row r="2732" spans="45:45">
      <c r="AS2732" s="47"/>
    </row>
    <row r="2733" spans="45:45">
      <c r="AS2733" s="47"/>
    </row>
    <row r="2734" spans="45:45">
      <c r="AS2734" s="47"/>
    </row>
    <row r="2735" spans="45:45">
      <c r="AS2735" s="47"/>
    </row>
    <row r="2736" spans="45:45">
      <c r="AS2736" s="47"/>
    </row>
    <row r="2737" spans="45:45">
      <c r="AS2737" s="47"/>
    </row>
    <row r="2738" spans="45:45">
      <c r="AS2738" s="47"/>
    </row>
    <row r="2739" spans="45:45">
      <c r="AS2739" s="47"/>
    </row>
    <row r="2740" spans="45:45">
      <c r="AS2740" s="47"/>
    </row>
    <row r="2741" spans="45:45">
      <c r="AS2741" s="47"/>
    </row>
    <row r="2742" spans="45:45">
      <c r="AS2742" s="47"/>
    </row>
    <row r="2743" spans="45:45">
      <c r="AS2743" s="47"/>
    </row>
    <row r="2744" spans="45:45">
      <c r="AS2744" s="47"/>
    </row>
    <row r="2745" spans="45:45">
      <c r="AS2745" s="47"/>
    </row>
    <row r="2746" spans="45:45">
      <c r="AS2746" s="47"/>
    </row>
    <row r="2747" spans="45:45">
      <c r="AS2747" s="47"/>
    </row>
    <row r="2748" spans="45:45">
      <c r="AS2748" s="47"/>
    </row>
    <row r="2749" spans="45:45">
      <c r="AS2749" s="47"/>
    </row>
    <row r="2750" spans="45:45">
      <c r="AS2750" s="47"/>
    </row>
    <row r="2751" spans="45:45">
      <c r="AS2751" s="47"/>
    </row>
    <row r="2752" spans="45:45">
      <c r="AS2752" s="47"/>
    </row>
    <row r="2753" spans="45:45">
      <c r="AS2753" s="47"/>
    </row>
    <row r="2754" spans="45:45">
      <c r="AS2754" s="47"/>
    </row>
    <row r="2755" spans="45:45">
      <c r="AS2755" s="47"/>
    </row>
    <row r="2756" spans="45:45">
      <c r="AS2756" s="47"/>
    </row>
    <row r="2757" spans="45:45">
      <c r="AS2757" s="47"/>
    </row>
    <row r="2758" spans="45:45">
      <c r="AS2758" s="47"/>
    </row>
    <row r="2759" spans="45:45">
      <c r="AS2759" s="47"/>
    </row>
    <row r="2760" spans="45:45">
      <c r="AS2760" s="47"/>
    </row>
    <row r="2761" spans="45:45">
      <c r="AS2761" s="47"/>
    </row>
    <row r="2762" spans="45:45">
      <c r="AS2762" s="47"/>
    </row>
    <row r="2763" spans="45:45">
      <c r="AS2763" s="47"/>
    </row>
    <row r="2764" spans="45:45">
      <c r="AS2764" s="47"/>
    </row>
    <row r="2765" spans="45:45">
      <c r="AS2765" s="47"/>
    </row>
    <row r="2766" spans="45:45">
      <c r="AS2766" s="47"/>
    </row>
    <row r="2767" spans="45:45">
      <c r="AS2767" s="47"/>
    </row>
    <row r="2768" spans="45:45">
      <c r="AS2768" s="47"/>
    </row>
    <row r="2769" spans="45:45">
      <c r="AS2769" s="47"/>
    </row>
    <row r="2770" spans="45:45">
      <c r="AS2770" s="47"/>
    </row>
    <row r="2771" spans="45:45">
      <c r="AS2771" s="47"/>
    </row>
    <row r="2772" spans="45:45">
      <c r="AS2772" s="47"/>
    </row>
    <row r="2773" spans="45:45">
      <c r="AS2773" s="47"/>
    </row>
    <row r="2774" spans="45:45">
      <c r="AS2774" s="47"/>
    </row>
    <row r="2775" spans="45:45">
      <c r="AS2775" s="47"/>
    </row>
    <row r="2776" spans="45:45">
      <c r="AS2776" s="47"/>
    </row>
    <row r="2777" spans="45:45">
      <c r="AS2777" s="47"/>
    </row>
    <row r="2778" spans="45:45">
      <c r="AS2778" s="47"/>
    </row>
    <row r="2779" spans="45:45">
      <c r="AS2779" s="47"/>
    </row>
    <row r="2780" spans="45:45">
      <c r="AS2780" s="47"/>
    </row>
    <row r="2781" spans="45:45">
      <c r="AS2781" s="47"/>
    </row>
    <row r="2782" spans="45:45">
      <c r="AS2782" s="47"/>
    </row>
    <row r="2783" spans="45:45">
      <c r="AS2783" s="47"/>
    </row>
    <row r="2784" spans="45:45">
      <c r="AS2784" s="47"/>
    </row>
    <row r="2785" spans="45:45">
      <c r="AS2785" s="47"/>
    </row>
    <row r="2786" spans="45:45">
      <c r="AS2786" s="47"/>
    </row>
    <row r="2787" spans="45:45">
      <c r="AS2787" s="47"/>
    </row>
    <row r="2788" spans="45:45">
      <c r="AS2788" s="47"/>
    </row>
    <row r="2789" spans="45:45">
      <c r="AS2789" s="47"/>
    </row>
    <row r="2790" spans="45:45">
      <c r="AS2790" s="47"/>
    </row>
    <row r="2791" spans="45:45">
      <c r="AS2791" s="47"/>
    </row>
    <row r="2792" spans="45:45">
      <c r="AS2792" s="47"/>
    </row>
    <row r="2793" spans="45:45">
      <c r="AS2793" s="47"/>
    </row>
    <row r="2794" spans="45:45">
      <c r="AS2794" s="47"/>
    </row>
    <row r="2795" spans="45:45">
      <c r="AS2795" s="47"/>
    </row>
    <row r="2796" spans="45:45">
      <c r="AS2796" s="47"/>
    </row>
    <row r="2797" spans="45:45">
      <c r="AS2797" s="47"/>
    </row>
    <row r="2798" spans="45:45">
      <c r="AS2798" s="47"/>
    </row>
    <row r="2799" spans="45:45">
      <c r="AS2799" s="47"/>
    </row>
    <row r="2800" spans="45:45">
      <c r="AS2800" s="47"/>
    </row>
    <row r="2801" spans="45:45">
      <c r="AS2801" s="47"/>
    </row>
    <row r="2802" spans="45:45">
      <c r="AS2802" s="47"/>
    </row>
    <row r="2803" spans="45:45">
      <c r="AS2803" s="47"/>
    </row>
    <row r="2804" spans="45:45">
      <c r="AS2804" s="47"/>
    </row>
    <row r="2805" spans="45:45">
      <c r="AS2805" s="47"/>
    </row>
    <row r="2806" spans="45:45">
      <c r="AS2806" s="47"/>
    </row>
    <row r="2807" spans="45:45">
      <c r="AS2807" s="47"/>
    </row>
    <row r="2808" spans="45:45">
      <c r="AS2808" s="47"/>
    </row>
    <row r="2809" spans="45:45">
      <c r="AS2809" s="47"/>
    </row>
    <row r="2810" spans="45:45">
      <c r="AS2810" s="47"/>
    </row>
    <row r="2811" spans="45:45">
      <c r="AS2811" s="47"/>
    </row>
    <row r="2812" spans="45:45">
      <c r="AS2812" s="47"/>
    </row>
    <row r="2813" spans="45:45">
      <c r="AS2813" s="47"/>
    </row>
    <row r="2814" spans="45:45">
      <c r="AS2814" s="47"/>
    </row>
    <row r="2815" spans="45:45">
      <c r="AS2815" s="47"/>
    </row>
    <row r="2816" spans="45:45">
      <c r="AS2816" s="47"/>
    </row>
    <row r="2817" spans="45:45">
      <c r="AS2817" s="47"/>
    </row>
    <row r="2818" spans="45:45">
      <c r="AS2818" s="47"/>
    </row>
    <row r="2819" spans="45:45">
      <c r="AS2819" s="47"/>
    </row>
    <row r="2820" spans="45:45">
      <c r="AS2820" s="47"/>
    </row>
    <row r="2821" spans="45:45">
      <c r="AS2821" s="47"/>
    </row>
    <row r="2822" spans="45:45">
      <c r="AS2822" s="47"/>
    </row>
    <row r="2823" spans="45:45">
      <c r="AS2823" s="47"/>
    </row>
    <row r="2824" spans="45:45">
      <c r="AS2824" s="47"/>
    </row>
    <row r="2825" spans="45:45">
      <c r="AS2825" s="47"/>
    </row>
    <row r="2826" spans="45:45">
      <c r="AS2826" s="47"/>
    </row>
    <row r="2827" spans="45:45">
      <c r="AS2827" s="47"/>
    </row>
    <row r="2828" spans="45:45">
      <c r="AS2828" s="47"/>
    </row>
    <row r="2829" spans="45:45">
      <c r="AS2829" s="47"/>
    </row>
    <row r="2830" spans="45:45">
      <c r="AS2830" s="47"/>
    </row>
    <row r="2831" spans="45:45">
      <c r="AS2831" s="47"/>
    </row>
    <row r="2832" spans="45:45">
      <c r="AS2832" s="47"/>
    </row>
    <row r="2833" spans="45:45">
      <c r="AS2833" s="47"/>
    </row>
    <row r="2834" spans="45:45">
      <c r="AS2834" s="47"/>
    </row>
    <row r="2835" spans="45:45">
      <c r="AS2835" s="47"/>
    </row>
    <row r="2836" spans="45:45">
      <c r="AS2836" s="47"/>
    </row>
    <row r="2837" spans="45:45">
      <c r="AS2837" s="47"/>
    </row>
    <row r="2838" spans="45:45">
      <c r="AS2838" s="47"/>
    </row>
    <row r="2839" spans="45:45">
      <c r="AS2839" s="47"/>
    </row>
    <row r="2840" spans="45:45">
      <c r="AS2840" s="47"/>
    </row>
    <row r="2841" spans="45:45">
      <c r="AS2841" s="47"/>
    </row>
    <row r="2842" spans="45:45">
      <c r="AS2842" s="47"/>
    </row>
    <row r="2843" spans="45:45">
      <c r="AS2843" s="47"/>
    </row>
    <row r="2844" spans="45:45">
      <c r="AS2844" s="47"/>
    </row>
    <row r="2845" spans="45:45">
      <c r="AS2845" s="47"/>
    </row>
    <row r="2846" spans="45:45">
      <c r="AS2846" s="47"/>
    </row>
    <row r="2847" spans="45:45">
      <c r="AS2847" s="47"/>
    </row>
    <row r="2848" spans="45:45">
      <c r="AS2848" s="47"/>
    </row>
    <row r="2849" spans="45:45">
      <c r="AS2849" s="47"/>
    </row>
    <row r="2850" spans="45:45">
      <c r="AS2850" s="47"/>
    </row>
    <row r="2851" spans="45:45">
      <c r="AS2851" s="47"/>
    </row>
    <row r="2852" spans="45:45">
      <c r="AS2852" s="47"/>
    </row>
    <row r="2853" spans="45:45">
      <c r="AS2853" s="47"/>
    </row>
    <row r="2854" spans="45:45">
      <c r="AS2854" s="47"/>
    </row>
    <row r="2855" spans="45:45">
      <c r="AS2855" s="47"/>
    </row>
    <row r="2856" spans="45:45">
      <c r="AS2856" s="47"/>
    </row>
    <row r="2857" spans="45:45">
      <c r="AS2857" s="47"/>
    </row>
    <row r="2858" spans="45:45">
      <c r="AS2858" s="47"/>
    </row>
    <row r="2859" spans="45:45">
      <c r="AS2859" s="47"/>
    </row>
    <row r="2860" spans="45:45">
      <c r="AS2860" s="47"/>
    </row>
    <row r="2861" spans="45:45">
      <c r="AS2861" s="47"/>
    </row>
    <row r="2862" spans="45:45">
      <c r="AS2862" s="47"/>
    </row>
    <row r="2863" spans="45:45">
      <c r="AS2863" s="47"/>
    </row>
    <row r="2864" spans="45:45">
      <c r="AS2864" s="47"/>
    </row>
    <row r="2865" spans="45:45">
      <c r="AS2865" s="47"/>
    </row>
    <row r="2866" spans="45:45">
      <c r="AS2866" s="47"/>
    </row>
    <row r="2867" spans="45:45">
      <c r="AS2867" s="47"/>
    </row>
    <row r="2868" spans="45:45">
      <c r="AS2868" s="47"/>
    </row>
    <row r="2869" spans="45:45">
      <c r="AS2869" s="47"/>
    </row>
    <row r="2870" spans="45:45">
      <c r="AS2870" s="47"/>
    </row>
    <row r="2871" spans="45:45">
      <c r="AS2871" s="47"/>
    </row>
    <row r="2872" spans="45:45">
      <c r="AS2872" s="47"/>
    </row>
    <row r="2873" spans="45:45">
      <c r="AS2873" s="47"/>
    </row>
    <row r="2874" spans="45:45">
      <c r="AS2874" s="47"/>
    </row>
    <row r="2875" spans="45:45">
      <c r="AS2875" s="47"/>
    </row>
    <row r="2876" spans="45:45">
      <c r="AS2876" s="47"/>
    </row>
    <row r="2877" spans="45:45">
      <c r="AS2877" s="47"/>
    </row>
    <row r="2878" spans="45:45">
      <c r="AS2878" s="47"/>
    </row>
    <row r="2879" spans="45:45">
      <c r="AS2879" s="47"/>
    </row>
    <row r="2880" spans="45:45">
      <c r="AS2880" s="47"/>
    </row>
    <row r="2881" spans="45:45">
      <c r="AS2881" s="47"/>
    </row>
    <row r="2882" spans="45:45">
      <c r="AS2882" s="47"/>
    </row>
    <row r="2883" spans="45:45">
      <c r="AS2883" s="47"/>
    </row>
    <row r="2884" spans="45:45">
      <c r="AS2884" s="47"/>
    </row>
    <row r="2885" spans="45:45">
      <c r="AS2885" s="47"/>
    </row>
    <row r="2886" spans="45:45">
      <c r="AS2886" s="47"/>
    </row>
    <row r="2887" spans="45:45">
      <c r="AS2887" s="47"/>
    </row>
    <row r="2888" spans="45:45">
      <c r="AS2888" s="47"/>
    </row>
    <row r="2889" spans="45:45">
      <c r="AS2889" s="47"/>
    </row>
    <row r="2890" spans="45:45">
      <c r="AS2890" s="47"/>
    </row>
    <row r="2891" spans="45:45">
      <c r="AS2891" s="47"/>
    </row>
    <row r="2892" spans="45:45">
      <c r="AS2892" s="47"/>
    </row>
    <row r="2893" spans="45:45">
      <c r="AS2893" s="47"/>
    </row>
    <row r="2894" spans="45:45">
      <c r="AS2894" s="47"/>
    </row>
    <row r="2895" spans="45:45">
      <c r="AS2895" s="47"/>
    </row>
    <row r="2896" spans="45:45">
      <c r="AS2896" s="47"/>
    </row>
    <row r="2897" spans="45:45">
      <c r="AS2897" s="47"/>
    </row>
    <row r="2898" spans="45:45">
      <c r="AS2898" s="47"/>
    </row>
    <row r="2899" spans="45:45">
      <c r="AS2899" s="47"/>
    </row>
    <row r="2900" spans="45:45">
      <c r="AS2900" s="47"/>
    </row>
    <row r="2901" spans="45:45">
      <c r="AS2901" s="47"/>
    </row>
    <row r="2902" spans="45:45">
      <c r="AS2902" s="47"/>
    </row>
    <row r="2903" spans="45:45">
      <c r="AS2903" s="47"/>
    </row>
    <row r="2904" spans="45:45">
      <c r="AS2904" s="47"/>
    </row>
    <row r="2905" spans="45:45">
      <c r="AS2905" s="47"/>
    </row>
    <row r="2906" spans="45:45">
      <c r="AS2906" s="47"/>
    </row>
    <row r="2907" spans="45:45">
      <c r="AS2907" s="47"/>
    </row>
    <row r="2908" spans="45:45">
      <c r="AS2908" s="47"/>
    </row>
    <row r="2909" spans="45:45">
      <c r="AS2909" s="47"/>
    </row>
    <row r="2910" spans="45:45">
      <c r="AS2910" s="47"/>
    </row>
    <row r="2911" spans="45:45">
      <c r="AS2911" s="47"/>
    </row>
    <row r="2912" spans="45:45">
      <c r="AS2912" s="47"/>
    </row>
    <row r="2913" spans="45:45">
      <c r="AS2913" s="47"/>
    </row>
    <row r="2914" spans="45:45">
      <c r="AS2914" s="47"/>
    </row>
    <row r="2915" spans="45:45">
      <c r="AS2915" s="47"/>
    </row>
    <row r="2916" spans="45:45">
      <c r="AS2916" s="47"/>
    </row>
    <row r="2917" spans="45:45">
      <c r="AS2917" s="47"/>
    </row>
    <row r="2918" spans="45:45">
      <c r="AS2918" s="47"/>
    </row>
    <row r="2919" spans="45:45">
      <c r="AS2919" s="47"/>
    </row>
    <row r="2920" spans="45:45">
      <c r="AS2920" s="47"/>
    </row>
    <row r="2921" spans="45:45">
      <c r="AS2921" s="47"/>
    </row>
    <row r="2922" spans="45:45">
      <c r="AS2922" s="47"/>
    </row>
    <row r="2923" spans="45:45">
      <c r="AS2923" s="47"/>
    </row>
    <row r="2924" spans="45:45">
      <c r="AS2924" s="47"/>
    </row>
    <row r="2925" spans="45:45">
      <c r="AS2925" s="47"/>
    </row>
    <row r="2926" spans="45:45">
      <c r="AS2926" s="47"/>
    </row>
    <row r="2927" spans="45:45">
      <c r="AS2927" s="47"/>
    </row>
    <row r="2928" spans="45:45">
      <c r="AS2928" s="47"/>
    </row>
    <row r="2929" spans="45:45">
      <c r="AS2929" s="47"/>
    </row>
    <row r="2930" spans="45:45">
      <c r="AS2930" s="47"/>
    </row>
    <row r="2931" spans="45:45">
      <c r="AS2931" s="47"/>
    </row>
    <row r="2932" spans="45:45">
      <c r="AS2932" s="47"/>
    </row>
    <row r="2933" spans="45:45">
      <c r="AS2933" s="47"/>
    </row>
    <row r="2934" spans="45:45">
      <c r="AS2934" s="47"/>
    </row>
    <row r="2935" spans="45:45">
      <c r="AS2935" s="47"/>
    </row>
    <row r="2936" spans="45:45">
      <c r="AS2936" s="47"/>
    </row>
    <row r="2937" spans="45:45">
      <c r="AS2937" s="47"/>
    </row>
    <row r="2938" spans="45:45">
      <c r="AS2938" s="47"/>
    </row>
    <row r="2939" spans="45:45">
      <c r="AS2939" s="47"/>
    </row>
    <row r="2940" spans="45:45">
      <c r="AS2940" s="47"/>
    </row>
    <row r="2941" spans="45:45">
      <c r="AS2941" s="47"/>
    </row>
    <row r="2942" spans="45:45">
      <c r="AS2942" s="47"/>
    </row>
    <row r="2943" spans="45:45">
      <c r="AS2943" s="47"/>
    </row>
    <row r="2944" spans="45:45">
      <c r="AS2944" s="47"/>
    </row>
    <row r="2945" spans="45:45">
      <c r="AS2945" s="47"/>
    </row>
    <row r="2946" spans="45:45">
      <c r="AS2946" s="47"/>
    </row>
    <row r="2947" spans="45:45">
      <c r="AS2947" s="47"/>
    </row>
    <row r="2948" spans="45:45">
      <c r="AS2948" s="47"/>
    </row>
    <row r="2949" spans="45:45">
      <c r="AS2949" s="47"/>
    </row>
    <row r="2950" spans="45:45">
      <c r="AS2950" s="47"/>
    </row>
    <row r="2951" spans="45:45">
      <c r="AS2951" s="47"/>
    </row>
    <row r="2952" spans="45:45">
      <c r="AS2952" s="47"/>
    </row>
    <row r="2953" spans="45:45">
      <c r="AS2953" s="47"/>
    </row>
    <row r="2954" spans="45:45">
      <c r="AS2954" s="47"/>
    </row>
    <row r="2955" spans="45:45">
      <c r="AS2955" s="47"/>
    </row>
    <row r="2956" spans="45:45">
      <c r="AS2956" s="47"/>
    </row>
    <row r="2957" spans="45:45">
      <c r="AS2957" s="47"/>
    </row>
    <row r="2958" spans="45:45">
      <c r="AS2958" s="47"/>
    </row>
    <row r="2959" spans="45:45">
      <c r="AS2959" s="47"/>
    </row>
    <row r="2960" spans="45:45">
      <c r="AS2960" s="47"/>
    </row>
    <row r="2961" spans="45:45">
      <c r="AS2961" s="47"/>
    </row>
    <row r="2962" spans="45:45">
      <c r="AS2962" s="47"/>
    </row>
    <row r="2963" spans="45:45">
      <c r="AS2963" s="47"/>
    </row>
    <row r="2964" spans="45:45">
      <c r="AS2964" s="47"/>
    </row>
    <row r="2965" spans="45:45">
      <c r="AS2965" s="47"/>
    </row>
    <row r="2966" spans="45:45">
      <c r="AS2966" s="47"/>
    </row>
    <row r="2967" spans="45:45">
      <c r="AS2967" s="47"/>
    </row>
    <row r="2968" spans="45:45">
      <c r="AS2968" s="47"/>
    </row>
    <row r="2969" spans="45:45">
      <c r="AS2969" s="47"/>
    </row>
    <row r="2970" spans="45:45">
      <c r="AS2970" s="47"/>
    </row>
    <row r="2971" spans="45:45">
      <c r="AS2971" s="47"/>
    </row>
    <row r="2972" spans="45:45">
      <c r="AS2972" s="47"/>
    </row>
    <row r="2973" spans="45:45">
      <c r="AS2973" s="47"/>
    </row>
    <row r="2974" spans="45:45">
      <c r="AS2974" s="47"/>
    </row>
    <row r="2975" spans="45:45">
      <c r="AS2975" s="47"/>
    </row>
    <row r="2976" spans="45:45">
      <c r="AS2976" s="47"/>
    </row>
    <row r="2977" spans="45:45">
      <c r="AS2977" s="47"/>
    </row>
    <row r="2978" spans="45:45">
      <c r="AS2978" s="47"/>
    </row>
    <row r="2979" spans="45:45">
      <c r="AS2979" s="47"/>
    </row>
    <row r="2980" spans="45:45">
      <c r="AS2980" s="47"/>
    </row>
    <row r="2981" spans="45:45">
      <c r="AS2981" s="47"/>
    </row>
    <row r="2982" spans="45:45">
      <c r="AS2982" s="47"/>
    </row>
    <row r="2983" spans="45:45">
      <c r="AS2983" s="47"/>
    </row>
    <row r="2984" spans="45:45">
      <c r="AS2984" s="47"/>
    </row>
    <row r="2985" spans="45:45">
      <c r="AS2985" s="47"/>
    </row>
    <row r="2986" spans="45:45">
      <c r="AS2986" s="47"/>
    </row>
    <row r="2987" spans="45:45">
      <c r="AS2987" s="47"/>
    </row>
    <row r="2988" spans="45:45">
      <c r="AS2988" s="47"/>
    </row>
    <row r="2989" spans="45:45">
      <c r="AS2989" s="47"/>
    </row>
    <row r="2990" spans="45:45">
      <c r="AS2990" s="47"/>
    </row>
    <row r="2991" spans="45:45">
      <c r="AS2991" s="47"/>
    </row>
    <row r="2992" spans="45:45">
      <c r="AS2992" s="47"/>
    </row>
    <row r="2993" spans="45:45">
      <c r="AS2993" s="47"/>
    </row>
    <row r="2994" spans="45:45">
      <c r="AS2994" s="47"/>
    </row>
    <row r="2995" spans="45:45">
      <c r="AS2995" s="47"/>
    </row>
    <row r="2996" spans="45:45">
      <c r="AS2996" s="47"/>
    </row>
    <row r="2997" spans="45:45">
      <c r="AS2997" s="47"/>
    </row>
    <row r="2998" spans="45:45">
      <c r="AS2998" s="47"/>
    </row>
    <row r="2999" spans="45:45">
      <c r="AS2999" s="47"/>
    </row>
    <row r="3000" spans="45:45">
      <c r="AS3000" s="47"/>
    </row>
    <row r="3001" spans="45:45">
      <c r="AS3001" s="47"/>
    </row>
    <row r="3002" spans="45:45">
      <c r="AS3002" s="47"/>
    </row>
    <row r="3003" spans="45:45">
      <c r="AS3003" s="47"/>
    </row>
    <row r="3004" spans="45:45">
      <c r="AS3004" s="47"/>
    </row>
    <row r="3005" spans="45:45">
      <c r="AS3005" s="47"/>
    </row>
    <row r="3006" spans="45:45">
      <c r="AS3006" s="47"/>
    </row>
    <row r="3007" spans="45:45">
      <c r="AS3007" s="47"/>
    </row>
    <row r="3008" spans="45:45">
      <c r="AS3008" s="47"/>
    </row>
    <row r="3009" spans="45:45">
      <c r="AS3009" s="47"/>
    </row>
    <row r="3010" spans="45:45">
      <c r="AS3010" s="47"/>
    </row>
    <row r="3011" spans="45:45">
      <c r="AS3011" s="47"/>
    </row>
    <row r="3012" spans="45:45">
      <c r="AS3012" s="47"/>
    </row>
    <row r="3013" spans="45:45">
      <c r="AS3013" s="47"/>
    </row>
    <row r="3014" spans="45:45">
      <c r="AS3014" s="47"/>
    </row>
    <row r="3015" spans="45:45">
      <c r="AS3015" s="47"/>
    </row>
    <row r="3016" spans="45:45">
      <c r="AS3016" s="47"/>
    </row>
    <row r="3017" spans="45:45">
      <c r="AS3017" s="47"/>
    </row>
    <row r="3018" spans="45:45">
      <c r="AS3018" s="47"/>
    </row>
    <row r="3019" spans="45:45">
      <c r="AS3019" s="47"/>
    </row>
    <row r="3020" spans="45:45">
      <c r="AS3020" s="47"/>
    </row>
    <row r="3021" spans="45:45">
      <c r="AS3021" s="47"/>
    </row>
    <row r="3022" spans="45:45">
      <c r="AS3022" s="47"/>
    </row>
    <row r="3023" spans="45:45">
      <c r="AS3023" s="47"/>
    </row>
    <row r="3024" spans="45:45">
      <c r="AS3024" s="47"/>
    </row>
    <row r="3025" spans="45:45">
      <c r="AS3025" s="47"/>
    </row>
    <row r="3026" spans="45:45">
      <c r="AS3026" s="47"/>
    </row>
    <row r="3027" spans="45:45">
      <c r="AS3027" s="47"/>
    </row>
    <row r="3028" spans="45:45">
      <c r="AS3028" s="47"/>
    </row>
    <row r="3029" spans="45:45">
      <c r="AS3029" s="47"/>
    </row>
    <row r="3030" spans="45:45">
      <c r="AS3030" s="47"/>
    </row>
    <row r="3031" spans="45:45">
      <c r="AS3031" s="47"/>
    </row>
    <row r="3032" spans="45:45">
      <c r="AS3032" s="47"/>
    </row>
    <row r="3033" spans="45:45">
      <c r="AS3033" s="47"/>
    </row>
    <row r="3034" spans="45:45">
      <c r="AS3034" s="47"/>
    </row>
    <row r="3035" spans="45:45">
      <c r="AS3035" s="47"/>
    </row>
    <row r="3036" spans="45:45">
      <c r="AS3036" s="47"/>
    </row>
    <row r="3037" spans="45:45">
      <c r="AS3037" s="47"/>
    </row>
    <row r="3038" spans="45:45">
      <c r="AS3038" s="47"/>
    </row>
    <row r="3039" spans="45:45">
      <c r="AS3039" s="47"/>
    </row>
    <row r="3040" spans="45:45">
      <c r="AS3040" s="47"/>
    </row>
    <row r="3041" spans="45:45">
      <c r="AS3041" s="47"/>
    </row>
    <row r="3042" spans="45:45">
      <c r="AS3042" s="47"/>
    </row>
    <row r="3043" spans="45:45">
      <c r="AS3043" s="47"/>
    </row>
    <row r="3044" spans="45:45">
      <c r="AS3044" s="47"/>
    </row>
    <row r="3045" spans="45:45">
      <c r="AS3045" s="47"/>
    </row>
    <row r="3046" spans="45:45">
      <c r="AS3046" s="47"/>
    </row>
    <row r="3047" spans="45:45">
      <c r="AS3047" s="47"/>
    </row>
    <row r="3048" spans="45:45">
      <c r="AS3048" s="47"/>
    </row>
    <row r="3049" spans="45:45">
      <c r="AS3049" s="47"/>
    </row>
    <row r="3050" spans="45:45">
      <c r="AS3050" s="47"/>
    </row>
    <row r="3051" spans="45:45">
      <c r="AS3051" s="47"/>
    </row>
    <row r="3052" spans="45:45">
      <c r="AS3052" s="47"/>
    </row>
    <row r="3053" spans="45:45">
      <c r="AS3053" s="47"/>
    </row>
    <row r="3054" spans="45:45">
      <c r="AS3054" s="47"/>
    </row>
    <row r="3055" spans="45:45">
      <c r="AS3055" s="47"/>
    </row>
    <row r="3056" spans="45:45">
      <c r="AS3056" s="47"/>
    </row>
    <row r="3057" spans="45:45">
      <c r="AS3057" s="47"/>
    </row>
    <row r="3058" spans="45:45">
      <c r="AS3058" s="47"/>
    </row>
    <row r="3059" spans="45:45">
      <c r="AS3059" s="47"/>
    </row>
    <row r="3060" spans="45:45">
      <c r="AS3060" s="47"/>
    </row>
    <row r="3061" spans="45:45">
      <c r="AS3061" s="47"/>
    </row>
    <row r="3062" spans="45:45">
      <c r="AS3062" s="47"/>
    </row>
    <row r="3063" spans="45:45">
      <c r="AS3063" s="47"/>
    </row>
    <row r="3064" spans="45:45">
      <c r="AS3064" s="47"/>
    </row>
    <row r="3065" spans="45:45">
      <c r="AS3065" s="47"/>
    </row>
    <row r="3066" spans="45:45">
      <c r="AS3066" s="47"/>
    </row>
    <row r="3067" spans="45:45">
      <c r="AS3067" s="47"/>
    </row>
    <row r="3068" spans="45:45">
      <c r="AS3068" s="47"/>
    </row>
    <row r="3069" spans="45:45">
      <c r="AS3069" s="47"/>
    </row>
    <row r="3070" spans="45:45">
      <c r="AS3070" s="47"/>
    </row>
    <row r="3071" spans="45:45">
      <c r="AS3071" s="47"/>
    </row>
    <row r="3072" spans="45:45">
      <c r="AS3072" s="47"/>
    </row>
    <row r="3073" spans="45:45">
      <c r="AS3073" s="47"/>
    </row>
    <row r="3074" spans="45:45">
      <c r="AS3074" s="47"/>
    </row>
    <row r="3075" spans="45:45">
      <c r="AS3075" s="47"/>
    </row>
    <row r="3076" spans="45:45">
      <c r="AS3076" s="47"/>
    </row>
    <row r="3077" spans="45:45">
      <c r="AS3077" s="47"/>
    </row>
    <row r="3078" spans="45:45">
      <c r="AS3078" s="47"/>
    </row>
    <row r="3079" spans="45:45">
      <c r="AS3079" s="47"/>
    </row>
    <row r="3080" spans="45:45">
      <c r="AS3080" s="47"/>
    </row>
    <row r="3081" spans="45:45">
      <c r="AS3081" s="47"/>
    </row>
    <row r="3082" spans="45:45">
      <c r="AS3082" s="47"/>
    </row>
    <row r="3083" spans="45:45">
      <c r="AS3083" s="47"/>
    </row>
    <row r="3084" spans="45:45">
      <c r="AS3084" s="47"/>
    </row>
    <row r="3085" spans="45:45">
      <c r="AS3085" s="47"/>
    </row>
    <row r="3086" spans="45:45">
      <c r="AS3086" s="47"/>
    </row>
    <row r="3087" spans="45:45">
      <c r="AS3087" s="47"/>
    </row>
    <row r="3088" spans="45:45">
      <c r="AS3088" s="47"/>
    </row>
    <row r="3089" spans="45:45">
      <c r="AS3089" s="47"/>
    </row>
    <row r="3090" spans="45:45">
      <c r="AS3090" s="47"/>
    </row>
    <row r="3091" spans="45:45">
      <c r="AS3091" s="47"/>
    </row>
    <row r="3092" spans="45:45">
      <c r="AS3092" s="47"/>
    </row>
    <row r="3093" spans="45:45">
      <c r="AS3093" s="47"/>
    </row>
    <row r="3094" spans="45:45">
      <c r="AS3094" s="47"/>
    </row>
    <row r="3095" spans="45:45">
      <c r="AS3095" s="47"/>
    </row>
    <row r="3096" spans="45:45">
      <c r="AS3096" s="47"/>
    </row>
    <row r="3097" spans="45:45">
      <c r="AS3097" s="47"/>
    </row>
    <row r="3098" spans="45:45">
      <c r="AS3098" s="47"/>
    </row>
    <row r="3099" spans="45:45">
      <c r="AS3099" s="47"/>
    </row>
    <row r="3100" spans="45:45">
      <c r="AS3100" s="47"/>
    </row>
    <row r="3101" spans="45:45">
      <c r="AS3101" s="47"/>
    </row>
    <row r="3102" spans="45:45">
      <c r="AS3102" s="47"/>
    </row>
    <row r="3103" spans="45:45">
      <c r="AS3103" s="47"/>
    </row>
    <row r="3104" spans="45:45">
      <c r="AS3104" s="47"/>
    </row>
    <row r="3105" spans="45:45">
      <c r="AS3105" s="47"/>
    </row>
    <row r="3106" spans="45:45">
      <c r="AS3106" s="47"/>
    </row>
    <row r="3107" spans="45:45">
      <c r="AS3107" s="47"/>
    </row>
    <row r="3108" spans="45:45">
      <c r="AS3108" s="47"/>
    </row>
    <row r="3109" spans="45:45">
      <c r="AS3109" s="47"/>
    </row>
    <row r="3110" spans="45:45">
      <c r="AS3110" s="47"/>
    </row>
    <row r="3111" spans="45:45">
      <c r="AS3111" s="47"/>
    </row>
    <row r="3112" spans="45:45">
      <c r="AS3112" s="47"/>
    </row>
    <row r="3113" spans="45:45">
      <c r="AS3113" s="47"/>
    </row>
    <row r="3114" spans="45:45">
      <c r="AS3114" s="47"/>
    </row>
    <row r="3115" spans="45:45">
      <c r="AS3115" s="47"/>
    </row>
    <row r="3116" spans="45:45">
      <c r="AS3116" s="47"/>
    </row>
    <row r="3117" spans="45:45">
      <c r="AS3117" s="47"/>
    </row>
    <row r="3118" spans="45:45">
      <c r="AS3118" s="47"/>
    </row>
    <row r="3119" spans="45:45">
      <c r="AS3119" s="47"/>
    </row>
    <row r="3120" spans="45:45">
      <c r="AS3120" s="47"/>
    </row>
    <row r="3121" spans="45:45">
      <c r="AS3121" s="47"/>
    </row>
    <row r="3122" spans="45:45">
      <c r="AS3122" s="47"/>
    </row>
    <row r="3123" spans="45:45">
      <c r="AS3123" s="47"/>
    </row>
    <row r="3124" spans="45:45">
      <c r="AS3124" s="47"/>
    </row>
    <row r="3125" spans="45:45">
      <c r="AS3125" s="47"/>
    </row>
    <row r="3126" spans="45:45">
      <c r="AS3126" s="47"/>
    </row>
    <row r="3127" spans="45:45">
      <c r="AS3127" s="47"/>
    </row>
    <row r="3128" spans="45:45">
      <c r="AS3128" s="47"/>
    </row>
    <row r="3129" spans="45:45">
      <c r="AS3129" s="47"/>
    </row>
    <row r="3130" spans="45:45">
      <c r="AS3130" s="47"/>
    </row>
    <row r="3131" spans="45:45">
      <c r="AS3131" s="47"/>
    </row>
    <row r="3132" spans="45:45">
      <c r="AS3132" s="47"/>
    </row>
    <row r="3133" spans="45:45">
      <c r="AS3133" s="47"/>
    </row>
    <row r="3134" spans="45:45">
      <c r="AS3134" s="47"/>
    </row>
    <row r="3135" spans="45:45">
      <c r="AS3135" s="47"/>
    </row>
    <row r="3136" spans="45:45">
      <c r="AS3136" s="47"/>
    </row>
    <row r="3137" spans="45:45">
      <c r="AS3137" s="47"/>
    </row>
    <row r="3138" spans="45:45">
      <c r="AS3138" s="47"/>
    </row>
    <row r="3139" spans="45:45">
      <c r="AS3139" s="47"/>
    </row>
    <row r="3140" spans="45:45">
      <c r="AS3140" s="47"/>
    </row>
    <row r="3141" spans="45:45">
      <c r="AS3141" s="47"/>
    </row>
    <row r="3142" spans="45:45">
      <c r="AS3142" s="47"/>
    </row>
    <row r="3143" spans="45:45">
      <c r="AS3143" s="47"/>
    </row>
    <row r="3144" spans="45:45">
      <c r="AS3144" s="47"/>
    </row>
    <row r="3145" spans="45:45">
      <c r="AS3145" s="47"/>
    </row>
    <row r="3146" spans="45:45">
      <c r="AS3146" s="47"/>
    </row>
    <row r="3147" spans="45:45">
      <c r="AS3147" s="47"/>
    </row>
    <row r="3148" spans="45:45">
      <c r="AS3148" s="47"/>
    </row>
    <row r="3149" spans="45:45">
      <c r="AS3149" s="47"/>
    </row>
    <row r="3150" spans="45:45">
      <c r="AS3150" s="47"/>
    </row>
    <row r="3151" spans="45:45">
      <c r="AS3151" s="47"/>
    </row>
    <row r="3152" spans="45:45">
      <c r="AS3152" s="47"/>
    </row>
    <row r="3153" spans="45:45">
      <c r="AS3153" s="47"/>
    </row>
    <row r="3154" spans="45:45">
      <c r="AS3154" s="47"/>
    </row>
    <row r="3155" spans="45:45">
      <c r="AS3155" s="47"/>
    </row>
    <row r="3156" spans="45:45">
      <c r="AS3156" s="47"/>
    </row>
    <row r="3157" spans="45:45">
      <c r="AS3157" s="47"/>
    </row>
    <row r="3158" spans="45:45">
      <c r="AS3158" s="47"/>
    </row>
    <row r="3159" spans="45:45">
      <c r="AS3159" s="47"/>
    </row>
    <row r="3160" spans="45:45">
      <c r="AS3160" s="47"/>
    </row>
    <row r="3161" spans="45:45">
      <c r="AS3161" s="47"/>
    </row>
    <row r="3162" spans="45:45">
      <c r="AS3162" s="47"/>
    </row>
    <row r="3163" spans="45:45">
      <c r="AS3163" s="47"/>
    </row>
    <row r="3164" spans="45:45">
      <c r="AS3164" s="47"/>
    </row>
    <row r="3165" spans="45:45">
      <c r="AS3165" s="47"/>
    </row>
    <row r="3166" spans="45:45">
      <c r="AS3166" s="47"/>
    </row>
    <row r="3167" spans="45:45">
      <c r="AS3167" s="47"/>
    </row>
    <row r="3168" spans="45:45">
      <c r="AS3168" s="47"/>
    </row>
    <row r="3169" spans="45:45">
      <c r="AS3169" s="47"/>
    </row>
    <row r="3170" spans="45:45">
      <c r="AS3170" s="47"/>
    </row>
    <row r="3171" spans="45:45">
      <c r="AS3171" s="47"/>
    </row>
    <row r="3172" spans="45:45">
      <c r="AS3172" s="47"/>
    </row>
    <row r="3173" spans="45:45">
      <c r="AS3173" s="47"/>
    </row>
    <row r="3174" spans="45:45">
      <c r="AS3174" s="47"/>
    </row>
    <row r="3175" spans="45:45">
      <c r="AS3175" s="47"/>
    </row>
    <row r="3176" spans="45:45">
      <c r="AS3176" s="47"/>
    </row>
    <row r="3177" spans="45:45">
      <c r="AS3177" s="47"/>
    </row>
    <row r="3178" spans="45:45">
      <c r="AS3178" s="47"/>
    </row>
    <row r="3179" spans="45:45">
      <c r="AS3179" s="47"/>
    </row>
    <row r="3180" spans="45:45">
      <c r="AS3180" s="47"/>
    </row>
    <row r="3181" spans="45:45">
      <c r="AS3181" s="47"/>
    </row>
    <row r="3182" spans="45:45">
      <c r="AS3182" s="47"/>
    </row>
    <row r="3183" spans="45:45">
      <c r="AS3183" s="47"/>
    </row>
    <row r="3184" spans="45:45">
      <c r="AS3184" s="47"/>
    </row>
    <row r="3185" spans="45:45">
      <c r="AS3185" s="47"/>
    </row>
    <row r="3186" spans="45:45">
      <c r="AS3186" s="47"/>
    </row>
    <row r="3187" spans="45:45">
      <c r="AS3187" s="47"/>
    </row>
    <row r="3188" spans="45:45">
      <c r="AS3188" s="47"/>
    </row>
    <row r="3189" spans="45:45">
      <c r="AS3189" s="47"/>
    </row>
    <row r="3190" spans="45:45">
      <c r="AS3190" s="47"/>
    </row>
    <row r="3191" spans="45:45">
      <c r="AS3191" s="47"/>
    </row>
    <row r="3192" spans="45:45">
      <c r="AS3192" s="47"/>
    </row>
    <row r="3193" spans="45:45">
      <c r="AS3193" s="47"/>
    </row>
    <row r="3194" spans="45:45">
      <c r="AS3194" s="47"/>
    </row>
    <row r="3195" spans="45:45">
      <c r="AS3195" s="47"/>
    </row>
    <row r="3196" spans="45:45">
      <c r="AS3196" s="47"/>
    </row>
    <row r="3197" spans="45:45">
      <c r="AS3197" s="47"/>
    </row>
    <row r="3198" spans="45:45">
      <c r="AS3198" s="47"/>
    </row>
    <row r="3199" spans="45:45">
      <c r="AS3199" s="47"/>
    </row>
    <row r="3200" spans="45:45">
      <c r="AS3200" s="47"/>
    </row>
    <row r="3201" spans="45:45">
      <c r="AS3201" s="47"/>
    </row>
    <row r="3202" spans="45:45">
      <c r="AS3202" s="47"/>
    </row>
    <row r="3203" spans="45:45">
      <c r="AS3203" s="47"/>
    </row>
    <row r="3204" spans="45:45">
      <c r="AS3204" s="47"/>
    </row>
    <row r="3205" spans="45:45">
      <c r="AS3205" s="47"/>
    </row>
    <row r="3206" spans="45:45">
      <c r="AS3206" s="47"/>
    </row>
    <row r="3207" spans="45:45">
      <c r="AS3207" s="47"/>
    </row>
    <row r="3208" spans="45:45">
      <c r="AS3208" s="47"/>
    </row>
    <row r="3209" spans="45:45">
      <c r="AS3209" s="47"/>
    </row>
    <row r="3210" spans="45:45">
      <c r="AS3210" s="47"/>
    </row>
    <row r="3211" spans="45:45">
      <c r="AS3211" s="47"/>
    </row>
    <row r="3212" spans="45:45">
      <c r="AS3212" s="47"/>
    </row>
    <row r="3213" spans="45:45">
      <c r="AS3213" s="47"/>
    </row>
    <row r="3214" spans="45:45">
      <c r="AS3214" s="47"/>
    </row>
    <row r="3215" spans="45:45">
      <c r="AS3215" s="47"/>
    </row>
    <row r="3216" spans="45:45">
      <c r="AS3216" s="47"/>
    </row>
    <row r="3217" spans="45:45">
      <c r="AS3217" s="47"/>
    </row>
    <row r="3218" spans="45:45">
      <c r="AS3218" s="47"/>
    </row>
    <row r="3219" spans="45:45">
      <c r="AS3219" s="47"/>
    </row>
    <row r="3220" spans="45:45">
      <c r="AS3220" s="47"/>
    </row>
    <row r="3221" spans="45:45">
      <c r="AS3221" s="47"/>
    </row>
    <row r="3222" spans="45:45">
      <c r="AS3222" s="47"/>
    </row>
    <row r="3223" spans="45:45">
      <c r="AS3223" s="47"/>
    </row>
    <row r="3224" spans="45:45">
      <c r="AS3224" s="47"/>
    </row>
    <row r="3225" spans="45:45">
      <c r="AS3225" s="47"/>
    </row>
    <row r="3226" spans="45:45">
      <c r="AS3226" s="47"/>
    </row>
    <row r="3227" spans="45:45">
      <c r="AS3227" s="47"/>
    </row>
    <row r="3228" spans="45:45">
      <c r="AS3228" s="47"/>
    </row>
    <row r="3229" spans="45:45">
      <c r="AS3229" s="47"/>
    </row>
    <row r="3230" spans="45:45">
      <c r="AS3230" s="47"/>
    </row>
    <row r="3231" spans="45:45">
      <c r="AS3231" s="47"/>
    </row>
    <row r="3232" spans="45:45">
      <c r="AS3232" s="47"/>
    </row>
    <row r="3233" spans="45:45">
      <c r="AS3233" s="47"/>
    </row>
    <row r="3234" spans="45:45">
      <c r="AS3234" s="47"/>
    </row>
    <row r="3235" spans="45:45">
      <c r="AS3235" s="47"/>
    </row>
    <row r="3236" spans="45:45">
      <c r="AS3236" s="47"/>
    </row>
    <row r="3237" spans="45:45">
      <c r="AS3237" s="47"/>
    </row>
    <row r="3238" spans="45:45">
      <c r="AS3238" s="47"/>
    </row>
    <row r="3239" spans="45:45">
      <c r="AS3239" s="47"/>
    </row>
    <row r="3240" spans="45:45">
      <c r="AS3240" s="47"/>
    </row>
    <row r="3241" spans="45:45">
      <c r="AS3241" s="47"/>
    </row>
    <row r="3242" spans="45:45">
      <c r="AS3242" s="47"/>
    </row>
    <row r="3243" spans="45:45">
      <c r="AS3243" s="47"/>
    </row>
    <row r="3244" spans="45:45">
      <c r="AS3244" s="47"/>
    </row>
    <row r="3245" spans="45:45">
      <c r="AS3245" s="47"/>
    </row>
    <row r="3246" spans="45:45">
      <c r="AS3246" s="47"/>
    </row>
    <row r="3247" spans="45:45">
      <c r="AS3247" s="47"/>
    </row>
    <row r="3248" spans="45:45">
      <c r="AS3248" s="47"/>
    </row>
    <row r="3249" spans="45:45">
      <c r="AS3249" s="47"/>
    </row>
    <row r="3250" spans="45:45">
      <c r="AS3250" s="47"/>
    </row>
    <row r="3251" spans="45:45">
      <c r="AS3251" s="47"/>
    </row>
    <row r="3252" spans="45:45">
      <c r="AS3252" s="47"/>
    </row>
    <row r="3253" spans="45:45">
      <c r="AS3253" s="47"/>
    </row>
    <row r="3254" spans="45:45">
      <c r="AS3254" s="47"/>
    </row>
    <row r="3255" spans="45:45">
      <c r="AS3255" s="47"/>
    </row>
    <row r="3256" spans="45:45">
      <c r="AS3256" s="47"/>
    </row>
    <row r="3257" spans="45:45">
      <c r="AS3257" s="47"/>
    </row>
    <row r="3258" spans="45:45">
      <c r="AS3258" s="47"/>
    </row>
    <row r="3259" spans="45:45">
      <c r="AS3259" s="47"/>
    </row>
    <row r="3260" spans="45:45">
      <c r="AS3260" s="47"/>
    </row>
    <row r="3261" spans="45:45">
      <c r="AS3261" s="47"/>
    </row>
    <row r="3262" spans="45:45">
      <c r="AS3262" s="47"/>
    </row>
    <row r="3263" spans="45:45">
      <c r="AS3263" s="47"/>
    </row>
    <row r="3264" spans="45:45">
      <c r="AS3264" s="47"/>
    </row>
    <row r="3265" spans="45:45">
      <c r="AS3265" s="47"/>
    </row>
    <row r="3266" spans="45:45">
      <c r="AS3266" s="47"/>
    </row>
    <row r="3267" spans="45:45">
      <c r="AS3267" s="47"/>
    </row>
    <row r="3268" spans="45:45">
      <c r="AS3268" s="47"/>
    </row>
    <row r="3269" spans="45:45">
      <c r="AS3269" s="47"/>
    </row>
    <row r="3270" spans="45:45">
      <c r="AS3270" s="47"/>
    </row>
    <row r="3271" spans="45:45">
      <c r="AS3271" s="47"/>
    </row>
    <row r="3272" spans="45:45">
      <c r="AS3272" s="47"/>
    </row>
    <row r="3273" spans="45:45">
      <c r="AS3273" s="47"/>
    </row>
    <row r="3274" spans="45:45">
      <c r="AS3274" s="47"/>
    </row>
    <row r="3275" spans="45:45">
      <c r="AS3275" s="47"/>
    </row>
    <row r="3276" spans="45:45">
      <c r="AS3276" s="47"/>
    </row>
    <row r="3277" spans="45:45">
      <c r="AS3277" s="47"/>
    </row>
    <row r="3278" spans="45:45">
      <c r="AS3278" s="47"/>
    </row>
    <row r="3279" spans="45:45">
      <c r="AS3279" s="47"/>
    </row>
    <row r="3280" spans="45:45">
      <c r="AS3280" s="47"/>
    </row>
    <row r="3281" spans="45:45">
      <c r="AS3281" s="47"/>
    </row>
    <row r="3282" spans="45:45">
      <c r="AS3282" s="47"/>
    </row>
    <row r="3283" spans="45:45">
      <c r="AS3283" s="47"/>
    </row>
    <row r="3284" spans="45:45">
      <c r="AS3284" s="47"/>
    </row>
    <row r="3285" spans="45:45">
      <c r="AS3285" s="47"/>
    </row>
    <row r="3286" spans="45:45">
      <c r="AS3286" s="47"/>
    </row>
    <row r="3287" spans="45:45">
      <c r="AS3287" s="47"/>
    </row>
    <row r="3288" spans="45:45">
      <c r="AS3288" s="47"/>
    </row>
    <row r="3289" spans="45:45">
      <c r="AS3289" s="47"/>
    </row>
    <row r="3290" spans="45:45">
      <c r="AS3290" s="47"/>
    </row>
    <row r="3291" spans="45:45">
      <c r="AS3291" s="47"/>
    </row>
    <row r="3292" spans="45:45">
      <c r="AS3292" s="47"/>
    </row>
    <row r="3293" spans="45:45">
      <c r="AS3293" s="47"/>
    </row>
    <row r="3294" spans="45:45">
      <c r="AS3294" s="47"/>
    </row>
    <row r="3295" spans="45:45">
      <c r="AS3295" s="47"/>
    </row>
    <row r="3296" spans="45:45">
      <c r="AS3296" s="47"/>
    </row>
    <row r="3297" spans="45:45">
      <c r="AS3297" s="47"/>
    </row>
    <row r="3298" spans="45:45">
      <c r="AS3298" s="47"/>
    </row>
    <row r="3299" spans="45:45">
      <c r="AS3299" s="47"/>
    </row>
    <row r="3300" spans="45:45">
      <c r="AS3300" s="47"/>
    </row>
    <row r="3301" spans="45:45">
      <c r="AS3301" s="47"/>
    </row>
    <row r="3302" spans="45:45">
      <c r="AS3302" s="47"/>
    </row>
    <row r="3303" spans="45:45">
      <c r="AS3303" s="47"/>
    </row>
    <row r="3304" spans="45:45">
      <c r="AS3304" s="47"/>
    </row>
    <row r="3305" spans="45:45">
      <c r="AS3305" s="47"/>
    </row>
    <row r="3306" spans="45:45">
      <c r="AS3306" s="47"/>
    </row>
    <row r="3307" spans="45:45">
      <c r="AS3307" s="47"/>
    </row>
    <row r="3308" spans="45:45">
      <c r="AS3308" s="47"/>
    </row>
    <row r="3309" spans="45:45">
      <c r="AS3309" s="47"/>
    </row>
    <row r="3310" spans="45:45">
      <c r="AS3310" s="47"/>
    </row>
    <row r="3311" spans="45:45">
      <c r="AS3311" s="47"/>
    </row>
    <row r="3312" spans="45:45">
      <c r="AS3312" s="47"/>
    </row>
    <row r="3313" spans="45:45">
      <c r="AS3313" s="47"/>
    </row>
    <row r="3314" spans="45:45">
      <c r="AS3314" s="47"/>
    </row>
    <row r="3315" spans="45:45">
      <c r="AS3315" s="47"/>
    </row>
    <row r="3316" spans="45:45">
      <c r="AS3316" s="47"/>
    </row>
    <row r="3317" spans="45:45">
      <c r="AS3317" s="47"/>
    </row>
    <row r="3318" spans="45:45">
      <c r="AS3318" s="47"/>
    </row>
    <row r="3319" spans="45:45">
      <c r="AS3319" s="47"/>
    </row>
    <row r="3320" spans="45:45">
      <c r="AS3320" s="47"/>
    </row>
    <row r="3321" spans="45:45">
      <c r="AS3321" s="47"/>
    </row>
    <row r="3322" spans="45:45">
      <c r="AS3322" s="47"/>
    </row>
    <row r="3323" spans="45:45">
      <c r="AS3323" s="47"/>
    </row>
    <row r="3324" spans="45:45">
      <c r="AS3324" s="47"/>
    </row>
    <row r="3325" spans="45:45">
      <c r="AS3325" s="47"/>
    </row>
    <row r="3326" spans="45:45">
      <c r="AS3326" s="47"/>
    </row>
    <row r="3327" spans="45:45">
      <c r="AS3327" s="47"/>
    </row>
    <row r="3328" spans="45:45">
      <c r="AS3328" s="47"/>
    </row>
    <row r="3329" spans="45:45">
      <c r="AS3329" s="47"/>
    </row>
    <row r="3330" spans="45:45">
      <c r="AS3330" s="47"/>
    </row>
    <row r="3331" spans="45:45">
      <c r="AS3331" s="47"/>
    </row>
    <row r="3332" spans="45:45">
      <c r="AS3332" s="47"/>
    </row>
    <row r="3333" spans="45:45">
      <c r="AS3333" s="47"/>
    </row>
    <row r="3334" spans="45:45">
      <c r="AS3334" s="47"/>
    </row>
    <row r="3335" spans="45:45">
      <c r="AS3335" s="47"/>
    </row>
    <row r="3336" spans="45:45">
      <c r="AS3336" s="47"/>
    </row>
    <row r="3337" spans="45:45">
      <c r="AS3337" s="47"/>
    </row>
    <row r="3338" spans="45:45">
      <c r="AS3338" s="47"/>
    </row>
    <row r="3339" spans="45:45">
      <c r="AS3339" s="47"/>
    </row>
    <row r="3340" spans="45:45">
      <c r="AS3340" s="47"/>
    </row>
    <row r="3341" spans="45:45">
      <c r="AS3341" s="47"/>
    </row>
    <row r="3342" spans="45:45">
      <c r="AS3342" s="47"/>
    </row>
    <row r="3343" spans="45:45">
      <c r="AS3343" s="47"/>
    </row>
    <row r="3344" spans="45:45">
      <c r="AS3344" s="47"/>
    </row>
    <row r="3345" spans="45:45">
      <c r="AS3345" s="47"/>
    </row>
    <row r="3346" spans="45:45">
      <c r="AS3346" s="47"/>
    </row>
    <row r="3347" spans="45:45">
      <c r="AS3347" s="47"/>
    </row>
    <row r="3348" spans="45:45">
      <c r="AS3348" s="47"/>
    </row>
    <row r="3349" spans="45:45">
      <c r="AS3349" s="47"/>
    </row>
    <row r="3350" spans="45:45">
      <c r="AS3350" s="47"/>
    </row>
    <row r="3351" spans="45:45">
      <c r="AS3351" s="47"/>
    </row>
    <row r="3352" spans="45:45">
      <c r="AS3352" s="47"/>
    </row>
    <row r="3353" spans="45:45">
      <c r="AS3353" s="47"/>
    </row>
    <row r="3354" spans="45:45">
      <c r="AS3354" s="47"/>
    </row>
    <row r="3355" spans="45:45">
      <c r="AS3355" s="47"/>
    </row>
    <row r="3356" spans="45:45">
      <c r="AS3356" s="47"/>
    </row>
    <row r="3357" spans="45:45">
      <c r="AS3357" s="47"/>
    </row>
    <row r="3358" spans="45:45">
      <c r="AS3358" s="47"/>
    </row>
    <row r="3359" spans="45:45">
      <c r="AS3359" s="47"/>
    </row>
    <row r="3360" spans="45:45">
      <c r="AS3360" s="47"/>
    </row>
    <row r="3361" spans="45:45">
      <c r="AS3361" s="47"/>
    </row>
    <row r="3362" spans="45:45">
      <c r="AS3362" s="47"/>
    </row>
    <row r="3363" spans="45:45">
      <c r="AS3363" s="47"/>
    </row>
    <row r="3364" spans="45:45">
      <c r="AS3364" s="47"/>
    </row>
    <row r="3365" spans="45:45">
      <c r="AS3365" s="47"/>
    </row>
    <row r="3366" spans="45:45">
      <c r="AS3366" s="47"/>
    </row>
    <row r="3367" spans="45:45">
      <c r="AS3367" s="47"/>
    </row>
    <row r="3368" spans="45:45">
      <c r="AS3368" s="47"/>
    </row>
    <row r="3369" spans="45:45">
      <c r="AS3369" s="47"/>
    </row>
    <row r="3370" spans="45:45">
      <c r="AS3370" s="47"/>
    </row>
    <row r="3371" spans="45:45">
      <c r="AS3371" s="47"/>
    </row>
    <row r="3372" spans="45:45">
      <c r="AS3372" s="47"/>
    </row>
    <row r="3373" spans="45:45">
      <c r="AS3373" s="47"/>
    </row>
    <row r="3374" spans="45:45">
      <c r="AS3374" s="47"/>
    </row>
    <row r="3375" spans="45:45">
      <c r="AS3375" s="47"/>
    </row>
    <row r="3376" spans="45:45">
      <c r="AS3376" s="47"/>
    </row>
    <row r="3377" spans="45:45">
      <c r="AS3377" s="47"/>
    </row>
    <row r="3378" spans="45:45">
      <c r="AS3378" s="47"/>
    </row>
    <row r="3379" spans="45:45">
      <c r="AS3379" s="47"/>
    </row>
    <row r="3380" spans="45:45">
      <c r="AS3380" s="47"/>
    </row>
    <row r="3381" spans="45:45">
      <c r="AS3381" s="47"/>
    </row>
    <row r="3382" spans="45:45">
      <c r="AS3382" s="47"/>
    </row>
    <row r="3383" spans="45:45">
      <c r="AS3383" s="47"/>
    </row>
    <row r="3384" spans="45:45">
      <c r="AS3384" s="47"/>
    </row>
    <row r="3385" spans="45:45">
      <c r="AS3385" s="47"/>
    </row>
    <row r="3386" spans="45:45">
      <c r="AS3386" s="47"/>
    </row>
    <row r="3387" spans="45:45">
      <c r="AS3387" s="47"/>
    </row>
    <row r="3388" spans="45:45">
      <c r="AS3388" s="47"/>
    </row>
    <row r="3389" spans="45:45">
      <c r="AS3389" s="47"/>
    </row>
    <row r="3390" spans="45:45">
      <c r="AS3390" s="47"/>
    </row>
    <row r="3391" spans="45:45">
      <c r="AS3391" s="47"/>
    </row>
    <row r="3392" spans="45:45">
      <c r="AS3392" s="47"/>
    </row>
    <row r="3393" spans="45:45">
      <c r="AS3393" s="47"/>
    </row>
    <row r="3394" spans="45:45">
      <c r="AS3394" s="47"/>
    </row>
    <row r="3395" spans="45:45">
      <c r="AS3395" s="47"/>
    </row>
    <row r="3396" spans="45:45">
      <c r="AS3396" s="47"/>
    </row>
    <row r="3397" spans="45:45">
      <c r="AS3397" s="47"/>
    </row>
    <row r="3398" spans="45:45">
      <c r="AS3398" s="47"/>
    </row>
    <row r="3399" spans="45:45">
      <c r="AS3399" s="47"/>
    </row>
    <row r="3400" spans="45:45">
      <c r="AS3400" s="47"/>
    </row>
    <row r="3401" spans="45:45">
      <c r="AS3401" s="47"/>
    </row>
    <row r="3402" spans="45:45">
      <c r="AS3402" s="47"/>
    </row>
    <row r="3403" spans="45:45">
      <c r="AS3403" s="47"/>
    </row>
    <row r="3404" spans="45:45">
      <c r="AS3404" s="47"/>
    </row>
    <row r="3405" spans="45:45">
      <c r="AS3405" s="47"/>
    </row>
    <row r="3406" spans="45:45">
      <c r="AS3406" s="47"/>
    </row>
    <row r="3407" spans="45:45">
      <c r="AS3407" s="47"/>
    </row>
    <row r="3408" spans="45:45">
      <c r="AS3408" s="47"/>
    </row>
    <row r="3409" spans="45:45">
      <c r="AS3409" s="47"/>
    </row>
    <row r="3410" spans="45:45">
      <c r="AS3410" s="47"/>
    </row>
    <row r="3411" spans="45:45">
      <c r="AS3411" s="47"/>
    </row>
    <row r="3412" spans="45:45">
      <c r="AS3412" s="47"/>
    </row>
    <row r="3413" spans="45:45">
      <c r="AS3413" s="47"/>
    </row>
    <row r="3414" spans="45:45">
      <c r="AS3414" s="47"/>
    </row>
    <row r="3415" spans="45:45">
      <c r="AS3415" s="47"/>
    </row>
    <row r="3416" spans="45:45">
      <c r="AS3416" s="47"/>
    </row>
    <row r="3417" spans="45:45">
      <c r="AS3417" s="47"/>
    </row>
    <row r="3418" spans="45:45">
      <c r="AS3418" s="47"/>
    </row>
    <row r="3419" spans="45:45">
      <c r="AS3419" s="47"/>
    </row>
    <row r="3420" spans="45:45">
      <c r="AS3420" s="47"/>
    </row>
    <row r="3421" spans="45:45">
      <c r="AS3421" s="47"/>
    </row>
    <row r="3422" spans="45:45">
      <c r="AS3422" s="47"/>
    </row>
    <row r="3423" spans="45:45">
      <c r="AS3423" s="47"/>
    </row>
    <row r="3424" spans="45:45">
      <c r="AS3424" s="47"/>
    </row>
    <row r="3425" spans="45:45">
      <c r="AS3425" s="47"/>
    </row>
    <row r="3426" spans="45:45">
      <c r="AS3426" s="47"/>
    </row>
    <row r="3427" spans="45:45">
      <c r="AS3427" s="47"/>
    </row>
    <row r="3428" spans="45:45">
      <c r="AS3428" s="47"/>
    </row>
    <row r="3429" spans="45:45">
      <c r="AS3429" s="47"/>
    </row>
    <row r="3430" spans="45:45">
      <c r="AS3430" s="47"/>
    </row>
    <row r="3431" spans="45:45">
      <c r="AS3431" s="47"/>
    </row>
    <row r="3432" spans="45:45">
      <c r="AS3432" s="47"/>
    </row>
    <row r="3433" spans="45:45">
      <c r="AS3433" s="47"/>
    </row>
    <row r="3434" spans="45:45">
      <c r="AS3434" s="47"/>
    </row>
    <row r="3435" spans="45:45">
      <c r="AS3435" s="47"/>
    </row>
    <row r="3436" spans="45:45">
      <c r="AS3436" s="47"/>
    </row>
    <row r="3437" spans="45:45">
      <c r="AS3437" s="47"/>
    </row>
    <row r="3438" spans="45:45">
      <c r="AS3438" s="47"/>
    </row>
    <row r="3439" spans="45:45">
      <c r="AS3439" s="47"/>
    </row>
    <row r="3440" spans="45:45">
      <c r="AS3440" s="47"/>
    </row>
    <row r="3441" spans="45:45">
      <c r="AS3441" s="47"/>
    </row>
    <row r="3442" spans="45:45">
      <c r="AS3442" s="47"/>
    </row>
    <row r="3443" spans="45:45">
      <c r="AS3443" s="47"/>
    </row>
    <row r="3444" spans="45:45">
      <c r="AS3444" s="47"/>
    </row>
    <row r="3445" spans="45:45">
      <c r="AS3445" s="47"/>
    </row>
    <row r="3446" spans="45:45">
      <c r="AS3446" s="47"/>
    </row>
    <row r="3447" spans="45:45">
      <c r="AS3447" s="47"/>
    </row>
    <row r="3448" spans="45:45">
      <c r="AS3448" s="47"/>
    </row>
    <row r="3449" spans="45:45">
      <c r="AS3449" s="47"/>
    </row>
    <row r="3450" spans="45:45">
      <c r="AS3450" s="47"/>
    </row>
    <row r="3451" spans="45:45">
      <c r="AS3451" s="47"/>
    </row>
    <row r="3452" spans="45:45">
      <c r="AS3452" s="47"/>
    </row>
    <row r="3453" spans="45:45">
      <c r="AS3453" s="47"/>
    </row>
    <row r="3454" spans="45:45">
      <c r="AS3454" s="47"/>
    </row>
    <row r="3455" spans="45:45">
      <c r="AS3455" s="47"/>
    </row>
    <row r="3456" spans="45:45">
      <c r="AS3456" s="47"/>
    </row>
    <row r="3457" spans="45:45">
      <c r="AS3457" s="47"/>
    </row>
    <row r="3458" spans="45:45">
      <c r="AS3458" s="47"/>
    </row>
    <row r="3459" spans="45:45">
      <c r="AS3459" s="47"/>
    </row>
    <row r="3460" spans="45:45">
      <c r="AS3460" s="47"/>
    </row>
    <row r="3461" spans="45:45">
      <c r="AS3461" s="47"/>
    </row>
    <row r="3462" spans="45:45">
      <c r="AS3462" s="47"/>
    </row>
    <row r="3463" spans="45:45">
      <c r="AS3463" s="47"/>
    </row>
    <row r="3464" spans="45:45">
      <c r="AS3464" s="47"/>
    </row>
    <row r="3465" spans="45:45">
      <c r="AS3465" s="47"/>
    </row>
    <row r="3466" spans="45:45">
      <c r="AS3466" s="47"/>
    </row>
    <row r="3467" spans="45:45">
      <c r="AS3467" s="47"/>
    </row>
    <row r="3468" spans="45:45">
      <c r="AS3468" s="47"/>
    </row>
    <row r="3469" spans="45:45">
      <c r="AS3469" s="47"/>
    </row>
    <row r="3470" spans="45:45">
      <c r="AS3470" s="47"/>
    </row>
    <row r="3471" spans="45:45">
      <c r="AS3471" s="47"/>
    </row>
    <row r="3472" spans="45:45">
      <c r="AS3472" s="47"/>
    </row>
    <row r="3473" spans="45:45">
      <c r="AS3473" s="47"/>
    </row>
    <row r="3474" spans="45:45">
      <c r="AS3474" s="47"/>
    </row>
    <row r="3475" spans="45:45">
      <c r="AS3475" s="47"/>
    </row>
    <row r="3476" spans="45:45">
      <c r="AS3476" s="47"/>
    </row>
    <row r="3477" spans="45:45">
      <c r="AS3477" s="47"/>
    </row>
    <row r="3478" spans="45:45">
      <c r="AS3478" s="47"/>
    </row>
    <row r="3479" spans="45:45">
      <c r="AS3479" s="47"/>
    </row>
    <row r="3480" spans="45:45">
      <c r="AS3480" s="47"/>
    </row>
    <row r="3481" spans="45:45">
      <c r="AS3481" s="47"/>
    </row>
    <row r="3482" spans="45:45">
      <c r="AS3482" s="47"/>
    </row>
    <row r="3483" spans="45:45">
      <c r="AS3483" s="47"/>
    </row>
    <row r="3484" spans="45:45">
      <c r="AS3484" s="47"/>
    </row>
    <row r="3485" spans="45:45">
      <c r="AS3485" s="47"/>
    </row>
    <row r="3486" spans="45:45">
      <c r="AS3486" s="47"/>
    </row>
    <row r="3487" spans="45:45">
      <c r="AS3487" s="47"/>
    </row>
    <row r="3488" spans="45:45">
      <c r="AS3488" s="47"/>
    </row>
    <row r="3489" spans="45:45">
      <c r="AS3489" s="47"/>
    </row>
    <row r="3490" spans="45:45">
      <c r="AS3490" s="47"/>
    </row>
    <row r="3491" spans="45:45">
      <c r="AS3491" s="47"/>
    </row>
    <row r="3492" spans="45:45">
      <c r="AS3492" s="47"/>
    </row>
    <row r="3493" spans="45:45">
      <c r="AS3493" s="47"/>
    </row>
    <row r="3494" spans="45:45">
      <c r="AS3494" s="47"/>
    </row>
    <row r="3495" spans="45:45">
      <c r="AS3495" s="47"/>
    </row>
    <row r="3496" spans="45:45">
      <c r="AS3496" s="47"/>
    </row>
    <row r="3497" spans="45:45">
      <c r="AS3497" s="47"/>
    </row>
    <row r="3498" spans="45:45">
      <c r="AS3498" s="47"/>
    </row>
    <row r="3499" spans="45:45">
      <c r="AS3499" s="47"/>
    </row>
    <row r="3500" spans="45:45">
      <c r="AS3500" s="47"/>
    </row>
    <row r="3501" spans="45:45">
      <c r="AS3501" s="47"/>
    </row>
    <row r="3502" spans="45:45">
      <c r="AS3502" s="47"/>
    </row>
    <row r="3503" spans="45:45">
      <c r="AS3503" s="47"/>
    </row>
    <row r="3504" spans="45:45">
      <c r="AS3504" s="47"/>
    </row>
    <row r="3505" spans="45:45">
      <c r="AS3505" s="47"/>
    </row>
    <row r="3506" spans="45:45">
      <c r="AS3506" s="47"/>
    </row>
    <row r="3507" spans="45:45">
      <c r="AS3507" s="47"/>
    </row>
    <row r="3508" spans="45:45">
      <c r="AS3508" s="47"/>
    </row>
    <row r="3509" spans="45:45">
      <c r="AS3509" s="47"/>
    </row>
    <row r="3510" spans="45:45">
      <c r="AS3510" s="47"/>
    </row>
    <row r="3511" spans="45:45">
      <c r="AS3511" s="47"/>
    </row>
    <row r="3512" spans="45:45">
      <c r="AS3512" s="47"/>
    </row>
    <row r="3513" spans="45:45">
      <c r="AS3513" s="47"/>
    </row>
    <row r="3514" spans="45:45">
      <c r="AS3514" s="47"/>
    </row>
    <row r="3515" spans="45:45">
      <c r="AS3515" s="47"/>
    </row>
    <row r="3516" spans="45:45">
      <c r="AS3516" s="47"/>
    </row>
    <row r="3517" spans="45:45">
      <c r="AS3517" s="47"/>
    </row>
    <row r="3518" spans="45:45">
      <c r="AS3518" s="47"/>
    </row>
    <row r="3519" spans="45:45">
      <c r="AS3519" s="47"/>
    </row>
    <row r="3520" spans="45:45">
      <c r="AS3520" s="47"/>
    </row>
    <row r="3521" spans="45:45">
      <c r="AS3521" s="47"/>
    </row>
    <row r="3522" spans="45:45">
      <c r="AS3522" s="47"/>
    </row>
    <row r="3523" spans="45:45">
      <c r="AS3523" s="47"/>
    </row>
    <row r="3524" spans="45:45">
      <c r="AS3524" s="47"/>
    </row>
    <row r="3525" spans="45:45">
      <c r="AS3525" s="47"/>
    </row>
    <row r="3526" spans="45:45">
      <c r="AS3526" s="47"/>
    </row>
    <row r="3527" spans="45:45">
      <c r="AS3527" s="47"/>
    </row>
    <row r="3528" spans="45:45">
      <c r="AS3528" s="47"/>
    </row>
    <row r="3529" spans="45:45">
      <c r="AS3529" s="47"/>
    </row>
    <row r="3530" spans="45:45">
      <c r="AS3530" s="47"/>
    </row>
    <row r="3531" spans="45:45">
      <c r="AS3531" s="47"/>
    </row>
    <row r="3532" spans="45:45">
      <c r="AS3532" s="47"/>
    </row>
    <row r="3533" spans="45:45">
      <c r="AS3533" s="47"/>
    </row>
    <row r="3534" spans="45:45">
      <c r="AS3534" s="47"/>
    </row>
    <row r="3535" spans="45:45">
      <c r="AS3535" s="47"/>
    </row>
    <row r="3536" spans="45:45">
      <c r="AS3536" s="47"/>
    </row>
    <row r="3537" spans="45:45">
      <c r="AS3537" s="47"/>
    </row>
    <row r="3538" spans="45:45">
      <c r="AS3538" s="47"/>
    </row>
    <row r="3539" spans="45:45">
      <c r="AS3539" s="47"/>
    </row>
    <row r="3540" spans="45:45">
      <c r="AS3540" s="47"/>
    </row>
    <row r="3541" spans="45:45">
      <c r="AS3541" s="47"/>
    </row>
    <row r="3542" spans="45:45">
      <c r="AS3542" s="47"/>
    </row>
    <row r="3543" spans="45:45">
      <c r="AS3543" s="47"/>
    </row>
    <row r="3544" spans="45:45">
      <c r="AS3544" s="47"/>
    </row>
    <row r="3545" spans="45:45">
      <c r="AS3545" s="47"/>
    </row>
    <row r="3546" spans="45:45">
      <c r="AS3546" s="47"/>
    </row>
    <row r="3547" spans="45:45">
      <c r="AS3547" s="47"/>
    </row>
    <row r="3548" spans="45:45">
      <c r="AS3548" s="47"/>
    </row>
    <row r="3549" spans="45:45">
      <c r="AS3549" s="47"/>
    </row>
    <row r="3550" spans="45:45">
      <c r="AS3550" s="47"/>
    </row>
    <row r="3551" spans="45:45">
      <c r="AS3551" s="47"/>
    </row>
    <row r="3552" spans="45:45">
      <c r="AS3552" s="47"/>
    </row>
    <row r="3553" spans="45:45">
      <c r="AS3553" s="47"/>
    </row>
    <row r="3554" spans="45:45">
      <c r="AS3554" s="47"/>
    </row>
    <row r="3555" spans="45:45">
      <c r="AS3555" s="47"/>
    </row>
    <row r="3556" spans="45:45">
      <c r="AS3556" s="47"/>
    </row>
    <row r="3557" spans="45:45">
      <c r="AS3557" s="47"/>
    </row>
    <row r="3558" spans="45:45">
      <c r="AS3558" s="47"/>
    </row>
    <row r="3559" spans="45:45">
      <c r="AS3559" s="47"/>
    </row>
    <row r="3560" spans="45:45">
      <c r="AS3560" s="47"/>
    </row>
    <row r="3561" spans="45:45">
      <c r="AS3561" s="47"/>
    </row>
    <row r="3562" spans="45:45">
      <c r="AS3562" s="47"/>
    </row>
    <row r="3563" spans="45:45">
      <c r="AS3563" s="47"/>
    </row>
    <row r="3564" spans="45:45">
      <c r="AS3564" s="47"/>
    </row>
    <row r="3565" spans="45:45">
      <c r="AS3565" s="47"/>
    </row>
    <row r="3566" spans="45:45">
      <c r="AS3566" s="47"/>
    </row>
    <row r="3567" spans="45:45">
      <c r="AS3567" s="47"/>
    </row>
    <row r="3568" spans="45:45">
      <c r="AS3568" s="47"/>
    </row>
    <row r="3569" spans="45:45">
      <c r="AS3569" s="47"/>
    </row>
    <row r="3570" spans="45:45">
      <c r="AS3570" s="47"/>
    </row>
    <row r="3571" spans="45:45">
      <c r="AS3571" s="47"/>
    </row>
    <row r="3572" spans="45:45">
      <c r="AS3572" s="47"/>
    </row>
    <row r="3573" spans="45:45">
      <c r="AS3573" s="47"/>
    </row>
    <row r="3574" spans="45:45">
      <c r="AS3574" s="47"/>
    </row>
    <row r="3575" spans="45:45">
      <c r="AS3575" s="47"/>
    </row>
    <row r="3576" spans="45:45">
      <c r="AS3576" s="47"/>
    </row>
    <row r="3577" spans="45:45">
      <c r="AS3577" s="47"/>
    </row>
    <row r="3578" spans="45:45">
      <c r="AS3578" s="47"/>
    </row>
    <row r="3579" spans="45:45">
      <c r="AS3579" s="47"/>
    </row>
    <row r="3580" spans="45:45">
      <c r="AS3580" s="47"/>
    </row>
    <row r="3581" spans="45:45">
      <c r="AS3581" s="47"/>
    </row>
    <row r="3582" spans="45:45">
      <c r="AS3582" s="47"/>
    </row>
    <row r="3583" spans="45:45">
      <c r="AS3583" s="47"/>
    </row>
    <row r="3584" spans="45:45">
      <c r="AS3584" s="47"/>
    </row>
    <row r="3585" spans="45:45">
      <c r="AS3585" s="47"/>
    </row>
    <row r="3586" spans="45:45">
      <c r="AS3586" s="47"/>
    </row>
    <row r="3587" spans="45:45">
      <c r="AS3587" s="47"/>
    </row>
    <row r="3588" spans="45:45">
      <c r="AS3588" s="47"/>
    </row>
    <row r="3589" spans="45:45">
      <c r="AS3589" s="47"/>
    </row>
    <row r="3590" spans="45:45">
      <c r="AS3590" s="47"/>
    </row>
    <row r="3591" spans="45:45">
      <c r="AS3591" s="47"/>
    </row>
    <row r="3592" spans="45:45">
      <c r="AS3592" s="47"/>
    </row>
    <row r="3593" spans="45:45">
      <c r="AS3593" s="47"/>
    </row>
    <row r="3594" spans="45:45">
      <c r="AS3594" s="47"/>
    </row>
    <row r="3595" spans="45:45">
      <c r="AS3595" s="47"/>
    </row>
    <row r="3596" spans="45:45">
      <c r="AS3596" s="47"/>
    </row>
    <row r="3597" spans="45:45">
      <c r="AS3597" s="47"/>
    </row>
    <row r="3598" spans="45:45">
      <c r="AS3598" s="47"/>
    </row>
    <row r="3599" spans="45:45">
      <c r="AS3599" s="47"/>
    </row>
    <row r="3600" spans="45:45">
      <c r="AS3600" s="47"/>
    </row>
    <row r="3601" spans="45:45">
      <c r="AS3601" s="47"/>
    </row>
    <row r="3602" spans="45:45">
      <c r="AS3602" s="47"/>
    </row>
    <row r="3603" spans="45:45">
      <c r="AS3603" s="47"/>
    </row>
    <row r="3604" spans="45:45">
      <c r="AS3604" s="47"/>
    </row>
    <row r="3605" spans="45:45">
      <c r="AS3605" s="47"/>
    </row>
    <row r="3606" spans="45:45">
      <c r="AS3606" s="47"/>
    </row>
    <row r="3607" spans="45:45">
      <c r="AS3607" s="47"/>
    </row>
    <row r="3608" spans="45:45">
      <c r="AS3608" s="47"/>
    </row>
    <row r="3609" spans="45:45">
      <c r="AS3609" s="47"/>
    </row>
    <row r="3610" spans="45:45">
      <c r="AS3610" s="47"/>
    </row>
    <row r="3611" spans="45:45">
      <c r="AS3611" s="47"/>
    </row>
    <row r="3612" spans="45:45">
      <c r="AS3612" s="47"/>
    </row>
    <row r="3613" spans="45:45">
      <c r="AS3613" s="47"/>
    </row>
    <row r="3614" spans="45:45">
      <c r="AS3614" s="47"/>
    </row>
    <row r="3615" spans="45:45">
      <c r="AS3615" s="47"/>
    </row>
    <row r="3616" spans="45:45">
      <c r="AS3616" s="47"/>
    </row>
    <row r="3617" spans="45:45">
      <c r="AS3617" s="47"/>
    </row>
    <row r="3618" spans="45:45">
      <c r="AS3618" s="47"/>
    </row>
    <row r="3619" spans="45:45">
      <c r="AS3619" s="47"/>
    </row>
    <row r="3620" spans="45:45">
      <c r="AS3620" s="47"/>
    </row>
    <row r="3621" spans="45:45">
      <c r="AS3621" s="47"/>
    </row>
    <row r="3622" spans="45:45">
      <c r="AS3622" s="47"/>
    </row>
    <row r="3623" spans="45:45">
      <c r="AS3623" s="47"/>
    </row>
    <row r="3624" spans="45:45">
      <c r="AS3624" s="47"/>
    </row>
    <row r="3625" spans="45:45">
      <c r="AS3625" s="47"/>
    </row>
    <row r="3626" spans="45:45">
      <c r="AS3626" s="47"/>
    </row>
    <row r="3627" spans="45:45">
      <c r="AS3627" s="47"/>
    </row>
    <row r="3628" spans="45:45">
      <c r="AS3628" s="47"/>
    </row>
    <row r="3629" spans="45:45">
      <c r="AS3629" s="47"/>
    </row>
    <row r="3630" spans="45:45">
      <c r="AS3630" s="47"/>
    </row>
    <row r="3631" spans="45:45">
      <c r="AS3631" s="47"/>
    </row>
    <row r="3632" spans="45:45">
      <c r="AS3632" s="47"/>
    </row>
    <row r="3633" spans="45:45">
      <c r="AS3633" s="47"/>
    </row>
    <row r="3634" spans="45:45">
      <c r="AS3634" s="47"/>
    </row>
    <row r="3635" spans="45:45">
      <c r="AS3635" s="47"/>
    </row>
    <row r="3636" spans="45:45">
      <c r="AS3636" s="47"/>
    </row>
    <row r="3637" spans="45:45">
      <c r="AS3637" s="47"/>
    </row>
    <row r="3638" spans="45:45">
      <c r="AS3638" s="47"/>
    </row>
    <row r="3639" spans="45:45">
      <c r="AS3639" s="47"/>
    </row>
    <row r="3640" spans="45:45">
      <c r="AS3640" s="47"/>
    </row>
    <row r="3641" spans="45:45">
      <c r="AS3641" s="47"/>
    </row>
    <row r="3642" spans="45:45">
      <c r="AS3642" s="47"/>
    </row>
    <row r="3643" spans="45:45">
      <c r="AS3643" s="47"/>
    </row>
    <row r="3644" spans="45:45">
      <c r="AS3644" s="47"/>
    </row>
    <row r="3645" spans="45:45">
      <c r="AS3645" s="47"/>
    </row>
    <row r="3646" spans="45:45">
      <c r="AS3646" s="47"/>
    </row>
    <row r="3647" spans="45:45">
      <c r="AS3647" s="47"/>
    </row>
    <row r="3648" spans="45:45">
      <c r="AS3648" s="47"/>
    </row>
    <row r="3649" spans="45:45">
      <c r="AS3649" s="47"/>
    </row>
    <row r="3650" spans="45:45">
      <c r="AS3650" s="47"/>
    </row>
    <row r="3651" spans="45:45">
      <c r="AS3651" s="47"/>
    </row>
    <row r="3652" spans="45:45">
      <c r="AS3652" s="47"/>
    </row>
    <row r="3653" spans="45:45">
      <c r="AS3653" s="47"/>
    </row>
    <row r="3654" spans="45:45">
      <c r="AS3654" s="47"/>
    </row>
    <row r="3655" spans="45:45">
      <c r="AS3655" s="47"/>
    </row>
    <row r="3656" spans="45:45">
      <c r="AS3656" s="47"/>
    </row>
    <row r="3657" spans="45:45">
      <c r="AS3657" s="47"/>
    </row>
    <row r="3658" spans="45:45">
      <c r="AS3658" s="47"/>
    </row>
    <row r="3659" spans="45:45">
      <c r="AS3659" s="47"/>
    </row>
    <row r="3660" spans="45:45">
      <c r="AS3660" s="47"/>
    </row>
    <row r="3661" spans="45:45">
      <c r="AS3661" s="47"/>
    </row>
    <row r="3662" spans="45:45">
      <c r="AS3662" s="47"/>
    </row>
    <row r="3663" spans="45:45">
      <c r="AS3663" s="47"/>
    </row>
    <row r="3664" spans="45:45">
      <c r="AS3664" s="47"/>
    </row>
    <row r="3665" spans="45:45">
      <c r="AS3665" s="47"/>
    </row>
    <row r="3666" spans="45:45">
      <c r="AS3666" s="47"/>
    </row>
    <row r="3667" spans="45:45">
      <c r="AS3667" s="47"/>
    </row>
    <row r="3668" spans="45:45">
      <c r="AS3668" s="47"/>
    </row>
    <row r="3669" spans="45:45">
      <c r="AS3669" s="47"/>
    </row>
    <row r="3670" spans="45:45">
      <c r="AS3670" s="47"/>
    </row>
    <row r="3671" spans="45:45">
      <c r="AS3671" s="47"/>
    </row>
    <row r="3672" spans="45:45">
      <c r="AS3672" s="47"/>
    </row>
    <row r="3673" spans="45:45">
      <c r="AS3673" s="47"/>
    </row>
    <row r="3674" spans="45:45">
      <c r="AS3674" s="47"/>
    </row>
    <row r="3675" spans="45:45">
      <c r="AS3675" s="47"/>
    </row>
    <row r="3676" spans="45:45">
      <c r="AS3676" s="47"/>
    </row>
    <row r="3677" spans="45:45">
      <c r="AS3677" s="47"/>
    </row>
    <row r="3678" spans="45:45">
      <c r="AS3678" s="47"/>
    </row>
    <row r="3679" spans="45:45">
      <c r="AS3679" s="47"/>
    </row>
    <row r="3680" spans="45:45">
      <c r="AS3680" s="47"/>
    </row>
    <row r="3681" spans="45:45">
      <c r="AS3681" s="47"/>
    </row>
    <row r="3682" spans="45:45">
      <c r="AS3682" s="47"/>
    </row>
    <row r="3683" spans="45:45">
      <c r="AS3683" s="47"/>
    </row>
    <row r="3684" spans="45:45">
      <c r="AS3684" s="47"/>
    </row>
    <row r="3685" spans="45:45">
      <c r="AS3685" s="47"/>
    </row>
    <row r="3686" spans="45:45">
      <c r="AS3686" s="47"/>
    </row>
    <row r="3687" spans="45:45">
      <c r="AS3687" s="47"/>
    </row>
    <row r="3688" spans="45:45">
      <c r="AS3688" s="47"/>
    </row>
    <row r="3689" spans="45:45">
      <c r="AS3689" s="47"/>
    </row>
    <row r="3690" spans="45:45">
      <c r="AS3690" s="47"/>
    </row>
    <row r="3691" spans="45:45">
      <c r="AS3691" s="47"/>
    </row>
    <row r="3692" spans="45:45">
      <c r="AS3692" s="47"/>
    </row>
    <row r="3693" spans="45:45">
      <c r="AS3693" s="47"/>
    </row>
    <row r="3694" spans="45:45">
      <c r="AS3694" s="47"/>
    </row>
    <row r="3695" spans="45:45">
      <c r="AS3695" s="47"/>
    </row>
    <row r="3696" spans="45:45">
      <c r="AS3696" s="47"/>
    </row>
    <row r="3697" spans="45:45">
      <c r="AS3697" s="47"/>
    </row>
    <row r="3698" spans="45:45">
      <c r="AS3698" s="47"/>
    </row>
    <row r="3699" spans="45:45">
      <c r="AS3699" s="47"/>
    </row>
    <row r="3700" spans="45:45">
      <c r="AS3700" s="47"/>
    </row>
    <row r="3701" spans="45:45">
      <c r="AS3701" s="47"/>
    </row>
    <row r="3702" spans="45:45">
      <c r="AS3702" s="47"/>
    </row>
    <row r="3703" spans="45:45">
      <c r="AS3703" s="47"/>
    </row>
    <row r="3704" spans="45:45">
      <c r="AS3704" s="47"/>
    </row>
    <row r="3705" spans="45:45">
      <c r="AS3705" s="47"/>
    </row>
    <row r="3706" spans="45:45">
      <c r="AS3706" s="47"/>
    </row>
    <row r="3707" spans="45:45">
      <c r="AS3707" s="47"/>
    </row>
    <row r="3708" spans="45:45">
      <c r="AS3708" s="47"/>
    </row>
    <row r="3709" spans="45:45">
      <c r="AS3709" s="47"/>
    </row>
    <row r="3710" spans="45:45">
      <c r="AS3710" s="47"/>
    </row>
    <row r="3711" spans="45:45">
      <c r="AS3711" s="47"/>
    </row>
    <row r="3712" spans="45:45">
      <c r="AS3712" s="47"/>
    </row>
    <row r="3713" spans="45:45">
      <c r="AS3713" s="47"/>
    </row>
    <row r="3714" spans="45:45">
      <c r="AS3714" s="47"/>
    </row>
    <row r="3715" spans="45:45">
      <c r="AS3715" s="47"/>
    </row>
    <row r="3716" spans="45:45">
      <c r="AS3716" s="47"/>
    </row>
    <row r="3717" spans="45:45">
      <c r="AS3717" s="47"/>
    </row>
    <row r="3718" spans="45:45">
      <c r="AS3718" s="47"/>
    </row>
    <row r="3719" spans="45:45">
      <c r="AS3719" s="47"/>
    </row>
    <row r="3720" spans="45:45">
      <c r="AS3720" s="47"/>
    </row>
    <row r="3721" spans="45:45">
      <c r="AS3721" s="47"/>
    </row>
    <row r="3722" spans="45:45">
      <c r="AS3722" s="47"/>
    </row>
    <row r="3723" spans="45:45">
      <c r="AS3723" s="47"/>
    </row>
    <row r="3724" spans="45:45">
      <c r="AS3724" s="47"/>
    </row>
    <row r="3725" spans="45:45">
      <c r="AS3725" s="47"/>
    </row>
    <row r="3726" spans="45:45">
      <c r="AS3726" s="47"/>
    </row>
    <row r="3727" spans="45:45">
      <c r="AS3727" s="47"/>
    </row>
    <row r="3728" spans="45:45">
      <c r="AS3728" s="47"/>
    </row>
    <row r="3729" spans="45:45">
      <c r="AS3729" s="47"/>
    </row>
    <row r="3730" spans="45:45">
      <c r="AS3730" s="47"/>
    </row>
    <row r="3731" spans="45:45">
      <c r="AS3731" s="47"/>
    </row>
    <row r="3732" spans="45:45">
      <c r="AS3732" s="47"/>
    </row>
    <row r="3733" spans="45:45">
      <c r="AS3733" s="47"/>
    </row>
    <row r="3734" spans="45:45">
      <c r="AS3734" s="47"/>
    </row>
    <row r="3735" spans="45:45">
      <c r="AS3735" s="47"/>
    </row>
    <row r="3736" spans="45:45">
      <c r="AS3736" s="47"/>
    </row>
    <row r="3737" spans="45:45">
      <c r="AS3737" s="47"/>
    </row>
    <row r="3738" spans="45:45">
      <c r="AS3738" s="47"/>
    </row>
    <row r="3739" spans="45:45">
      <c r="AS3739" s="47"/>
    </row>
    <row r="3740" spans="45:45">
      <c r="AS3740" s="47"/>
    </row>
    <row r="3741" spans="45:45">
      <c r="AS3741" s="47"/>
    </row>
    <row r="3742" spans="45:45">
      <c r="AS3742" s="47"/>
    </row>
    <row r="3743" spans="45:45">
      <c r="AS3743" s="47"/>
    </row>
    <row r="3744" spans="45:45">
      <c r="AS3744" s="47"/>
    </row>
    <row r="3745" spans="45:45">
      <c r="AS3745" s="47"/>
    </row>
    <row r="3746" spans="45:45">
      <c r="AS3746" s="47"/>
    </row>
    <row r="3747" spans="45:45">
      <c r="AS3747" s="47"/>
    </row>
    <row r="3748" spans="45:45">
      <c r="AS3748" s="47"/>
    </row>
    <row r="3749" spans="45:45">
      <c r="AS3749" s="47"/>
    </row>
    <row r="3750" spans="45:45">
      <c r="AS3750" s="47"/>
    </row>
    <row r="3751" spans="45:45">
      <c r="AS3751" s="47"/>
    </row>
    <row r="3752" spans="45:45">
      <c r="AS3752" s="47"/>
    </row>
    <row r="3753" spans="45:45">
      <c r="AS3753" s="47"/>
    </row>
    <row r="3754" spans="45:45">
      <c r="AS3754" s="47"/>
    </row>
    <row r="3755" spans="45:45">
      <c r="AS3755" s="47"/>
    </row>
    <row r="3756" spans="45:45">
      <c r="AS3756" s="47"/>
    </row>
    <row r="3757" spans="45:45">
      <c r="AS3757" s="47"/>
    </row>
    <row r="3758" spans="45:45">
      <c r="AS3758" s="47"/>
    </row>
    <row r="3759" spans="45:45">
      <c r="AS3759" s="47"/>
    </row>
    <row r="3760" spans="45:45">
      <c r="AS3760" s="47"/>
    </row>
    <row r="3761" spans="45:45">
      <c r="AS3761" s="47"/>
    </row>
    <row r="3762" spans="45:45">
      <c r="AS3762" s="47"/>
    </row>
    <row r="3763" spans="45:45">
      <c r="AS3763" s="47"/>
    </row>
    <row r="3764" spans="45:45">
      <c r="AS3764" s="47"/>
    </row>
    <row r="3765" spans="45:45">
      <c r="AS3765" s="47"/>
    </row>
    <row r="3766" spans="45:45">
      <c r="AS3766" s="47"/>
    </row>
    <row r="3767" spans="45:45">
      <c r="AS3767" s="47"/>
    </row>
    <row r="3768" spans="45:45">
      <c r="AS3768" s="47"/>
    </row>
    <row r="3769" spans="45:45">
      <c r="AS3769" s="47"/>
    </row>
    <row r="3770" spans="45:45">
      <c r="AS3770" s="47"/>
    </row>
    <row r="3771" spans="45:45">
      <c r="AS3771" s="47"/>
    </row>
    <row r="3772" spans="45:45">
      <c r="AS3772" s="47"/>
    </row>
    <row r="3773" spans="45:45">
      <c r="AS3773" s="47"/>
    </row>
    <row r="3774" spans="45:45">
      <c r="AS3774" s="47"/>
    </row>
    <row r="3775" spans="45:45">
      <c r="AS3775" s="47"/>
    </row>
    <row r="3776" spans="45:45">
      <c r="AS3776" s="47"/>
    </row>
    <row r="3777" spans="45:45">
      <c r="AS3777" s="47"/>
    </row>
    <row r="3778" spans="45:45">
      <c r="AS3778" s="47"/>
    </row>
    <row r="3779" spans="45:45">
      <c r="AS3779" s="47"/>
    </row>
    <row r="3780" spans="45:45">
      <c r="AS3780" s="47"/>
    </row>
    <row r="3781" spans="45:45">
      <c r="AS3781" s="47"/>
    </row>
    <row r="3782" spans="45:45">
      <c r="AS3782" s="47"/>
    </row>
    <row r="3783" spans="45:45">
      <c r="AS3783" s="47"/>
    </row>
    <row r="3784" spans="45:45">
      <c r="AS3784" s="47"/>
    </row>
    <row r="3785" spans="45:45">
      <c r="AS3785" s="47"/>
    </row>
    <row r="3786" spans="45:45">
      <c r="AS3786" s="47"/>
    </row>
    <row r="3787" spans="45:45">
      <c r="AS3787" s="47"/>
    </row>
    <row r="3788" spans="45:45">
      <c r="AS3788" s="47"/>
    </row>
    <row r="3789" spans="45:45">
      <c r="AS3789" s="47"/>
    </row>
    <row r="3790" spans="45:45">
      <c r="AS3790" s="47"/>
    </row>
    <row r="3791" spans="45:45">
      <c r="AS3791" s="47"/>
    </row>
    <row r="3792" spans="45:45">
      <c r="AS3792" s="47"/>
    </row>
    <row r="3793" spans="45:45">
      <c r="AS3793" s="47"/>
    </row>
    <row r="3794" spans="45:45">
      <c r="AS3794" s="47"/>
    </row>
    <row r="3795" spans="45:45">
      <c r="AS3795" s="47"/>
    </row>
    <row r="3796" spans="45:45">
      <c r="AS3796" s="47"/>
    </row>
    <row r="3797" spans="45:45">
      <c r="AS3797" s="47"/>
    </row>
    <row r="3798" spans="45:45">
      <c r="AS3798" s="47"/>
    </row>
    <row r="3799" spans="45:45">
      <c r="AS3799" s="47"/>
    </row>
    <row r="3800" spans="45:45">
      <c r="AS3800" s="47"/>
    </row>
    <row r="3801" spans="45:45">
      <c r="AS3801" s="47"/>
    </row>
    <row r="3802" spans="45:45">
      <c r="AS3802" s="47"/>
    </row>
    <row r="3803" spans="45:45">
      <c r="AS3803" s="47"/>
    </row>
    <row r="3804" spans="45:45">
      <c r="AS3804" s="47"/>
    </row>
    <row r="3805" spans="45:45">
      <c r="AS3805" s="47"/>
    </row>
    <row r="3806" spans="45:45">
      <c r="AS3806" s="47"/>
    </row>
    <row r="3807" spans="45:45">
      <c r="AS3807" s="47"/>
    </row>
    <row r="3808" spans="45:45">
      <c r="AS3808" s="47"/>
    </row>
    <row r="3809" spans="45:45">
      <c r="AS3809" s="47"/>
    </row>
    <row r="3810" spans="45:45">
      <c r="AS3810" s="47"/>
    </row>
    <row r="3811" spans="45:45">
      <c r="AS3811" s="47"/>
    </row>
    <row r="3812" spans="45:45">
      <c r="AS3812" s="47"/>
    </row>
    <row r="3813" spans="45:45">
      <c r="AS3813" s="47"/>
    </row>
    <row r="3814" spans="45:45">
      <c r="AS3814" s="47"/>
    </row>
    <row r="3815" spans="45:45">
      <c r="AS3815" s="47"/>
    </row>
    <row r="3816" spans="45:45">
      <c r="AS3816" s="47"/>
    </row>
    <row r="3817" spans="45:45">
      <c r="AS3817" s="47"/>
    </row>
    <row r="3818" spans="45:45">
      <c r="AS3818" s="47"/>
    </row>
    <row r="3819" spans="45:45">
      <c r="AS3819" s="47"/>
    </row>
    <row r="3820" spans="45:45">
      <c r="AS3820" s="47"/>
    </row>
    <row r="3821" spans="45:45">
      <c r="AS3821" s="47"/>
    </row>
    <row r="3822" spans="45:45">
      <c r="AS3822" s="47"/>
    </row>
    <row r="3823" spans="45:45">
      <c r="AS3823" s="47"/>
    </row>
    <row r="3824" spans="45:45">
      <c r="AS3824" s="47"/>
    </row>
    <row r="3825" spans="45:45">
      <c r="AS3825" s="47"/>
    </row>
    <row r="3826" spans="45:45">
      <c r="AS3826" s="47"/>
    </row>
    <row r="3827" spans="45:45">
      <c r="AS3827" s="47"/>
    </row>
    <row r="3828" spans="45:45">
      <c r="AS3828" s="47"/>
    </row>
    <row r="3829" spans="45:45">
      <c r="AS3829" s="47"/>
    </row>
    <row r="3830" spans="45:45">
      <c r="AS3830" s="47"/>
    </row>
    <row r="3831" spans="45:45">
      <c r="AS3831" s="47"/>
    </row>
    <row r="3832" spans="45:45">
      <c r="AS3832" s="47"/>
    </row>
    <row r="3833" spans="45:45">
      <c r="AS3833" s="47"/>
    </row>
    <row r="3834" spans="45:45">
      <c r="AS3834" s="47"/>
    </row>
    <row r="3835" spans="45:45">
      <c r="AS3835" s="47"/>
    </row>
    <row r="3836" spans="45:45">
      <c r="AS3836" s="47"/>
    </row>
    <row r="3837" spans="45:45">
      <c r="AS3837" s="47"/>
    </row>
    <row r="3838" spans="45:45">
      <c r="AS3838" s="47"/>
    </row>
    <row r="3839" spans="45:45">
      <c r="AS3839" s="47"/>
    </row>
    <row r="3840" spans="45:45">
      <c r="AS3840" s="47"/>
    </row>
    <row r="3841" spans="45:45">
      <c r="AS3841" s="47"/>
    </row>
    <row r="3842" spans="45:45">
      <c r="AS3842" s="47"/>
    </row>
    <row r="3843" spans="45:45">
      <c r="AS3843" s="47"/>
    </row>
    <row r="3844" spans="45:45">
      <c r="AS3844" s="47"/>
    </row>
    <row r="3845" spans="45:45">
      <c r="AS3845" s="47"/>
    </row>
    <row r="3846" spans="45:45">
      <c r="AS3846" s="47"/>
    </row>
    <row r="3847" spans="45:45">
      <c r="AS3847" s="47"/>
    </row>
    <row r="3848" spans="45:45">
      <c r="AS3848" s="47"/>
    </row>
    <row r="3849" spans="45:45">
      <c r="AS3849" s="47"/>
    </row>
    <row r="3850" spans="45:45">
      <c r="AS3850" s="47"/>
    </row>
    <row r="3851" spans="45:45">
      <c r="AS3851" s="47"/>
    </row>
    <row r="3852" spans="45:45">
      <c r="AS3852" s="47"/>
    </row>
    <row r="3853" spans="45:45">
      <c r="AS3853" s="47"/>
    </row>
    <row r="3854" spans="45:45">
      <c r="AS3854" s="47"/>
    </row>
    <row r="3855" spans="45:45">
      <c r="AS3855" s="47"/>
    </row>
    <row r="3856" spans="45:45">
      <c r="AS3856" s="47"/>
    </row>
    <row r="3857" spans="45:45">
      <c r="AS3857" s="47"/>
    </row>
    <row r="3858" spans="45:45">
      <c r="AS3858" s="47"/>
    </row>
    <row r="3859" spans="45:45">
      <c r="AS3859" s="47"/>
    </row>
    <row r="3860" spans="45:45">
      <c r="AS3860" s="47"/>
    </row>
    <row r="3861" spans="45:45">
      <c r="AS3861" s="47"/>
    </row>
    <row r="3862" spans="45:45">
      <c r="AS3862" s="47"/>
    </row>
    <row r="3863" spans="45:45">
      <c r="AS3863" s="47"/>
    </row>
    <row r="3864" spans="45:45">
      <c r="AS3864" s="47"/>
    </row>
    <row r="3865" spans="45:45">
      <c r="AS3865" s="47"/>
    </row>
    <row r="3866" spans="45:45">
      <c r="AS3866" s="47"/>
    </row>
    <row r="3867" spans="45:45">
      <c r="AS3867" s="47"/>
    </row>
    <row r="3868" spans="45:45">
      <c r="AS3868" s="47"/>
    </row>
    <row r="3869" spans="45:45">
      <c r="AS3869" s="47"/>
    </row>
    <row r="3870" spans="45:45">
      <c r="AS3870" s="47"/>
    </row>
    <row r="3871" spans="45:45">
      <c r="AS3871" s="47"/>
    </row>
    <row r="3872" spans="45:45">
      <c r="AS3872" s="47"/>
    </row>
    <row r="3873" spans="45:45">
      <c r="AS3873" s="47"/>
    </row>
    <row r="3874" spans="45:45">
      <c r="AS3874" s="47"/>
    </row>
    <row r="3875" spans="45:45">
      <c r="AS3875" s="47"/>
    </row>
    <row r="3876" spans="45:45">
      <c r="AS3876" s="47"/>
    </row>
    <row r="3877" spans="45:45">
      <c r="AS3877" s="47"/>
    </row>
    <row r="3878" spans="45:45">
      <c r="AS3878" s="47"/>
    </row>
    <row r="3879" spans="45:45">
      <c r="AS3879" s="47"/>
    </row>
    <row r="3880" spans="45:45">
      <c r="AS3880" s="47"/>
    </row>
    <row r="3881" spans="45:45">
      <c r="AS3881" s="47"/>
    </row>
    <row r="3882" spans="45:45">
      <c r="AS3882" s="47"/>
    </row>
    <row r="3883" spans="45:45">
      <c r="AS3883" s="47"/>
    </row>
    <row r="3884" spans="45:45">
      <c r="AS3884" s="47"/>
    </row>
    <row r="3885" spans="45:45">
      <c r="AS3885" s="47"/>
    </row>
    <row r="3886" spans="45:45">
      <c r="AS3886" s="47"/>
    </row>
    <row r="3887" spans="45:45">
      <c r="AS3887" s="47"/>
    </row>
    <row r="3888" spans="45:45">
      <c r="AS3888" s="47"/>
    </row>
    <row r="3889" spans="45:45">
      <c r="AS3889" s="47"/>
    </row>
    <row r="3890" spans="45:45">
      <c r="AS3890" s="47"/>
    </row>
    <row r="3891" spans="45:45">
      <c r="AS3891" s="47"/>
    </row>
    <row r="3892" spans="45:45">
      <c r="AS3892" s="47"/>
    </row>
    <row r="3893" spans="45:45">
      <c r="AS3893" s="47"/>
    </row>
    <row r="3894" spans="45:45">
      <c r="AS3894" s="47"/>
    </row>
    <row r="3895" spans="45:45">
      <c r="AS3895" s="47"/>
    </row>
    <row r="3896" spans="45:45">
      <c r="AS3896" s="47"/>
    </row>
    <row r="3897" spans="45:45">
      <c r="AS3897" s="47"/>
    </row>
    <row r="3898" spans="45:45">
      <c r="AS3898" s="47"/>
    </row>
    <row r="3899" spans="45:45">
      <c r="AS3899" s="47"/>
    </row>
    <row r="3900" spans="45:45">
      <c r="AS3900" s="47"/>
    </row>
    <row r="3901" spans="45:45">
      <c r="AS3901" s="47"/>
    </row>
    <row r="3902" spans="45:45">
      <c r="AS3902" s="47"/>
    </row>
    <row r="3903" spans="45:45">
      <c r="AS3903" s="47"/>
    </row>
    <row r="3904" spans="45:45">
      <c r="AS3904" s="47"/>
    </row>
    <row r="3905" spans="45:45">
      <c r="AS3905" s="47"/>
    </row>
    <row r="3906" spans="45:45">
      <c r="AS3906" s="47"/>
    </row>
    <row r="3907" spans="45:45">
      <c r="AS3907" s="47"/>
    </row>
    <row r="3908" spans="45:45">
      <c r="AS3908" s="47"/>
    </row>
    <row r="3909" spans="45:45">
      <c r="AS3909" s="47"/>
    </row>
    <row r="3910" spans="45:45">
      <c r="AS3910" s="47"/>
    </row>
    <row r="3911" spans="45:45">
      <c r="AS3911" s="47"/>
    </row>
    <row r="3912" spans="45:45">
      <c r="AS3912" s="47"/>
    </row>
    <row r="3913" spans="45:45">
      <c r="AS3913" s="47"/>
    </row>
    <row r="3914" spans="45:45">
      <c r="AS3914" s="47"/>
    </row>
    <row r="3915" spans="45:45">
      <c r="AS3915" s="47"/>
    </row>
    <row r="3916" spans="45:45">
      <c r="AS3916" s="47"/>
    </row>
    <row r="3917" spans="45:45">
      <c r="AS3917" s="47"/>
    </row>
    <row r="3918" spans="45:45">
      <c r="AS3918" s="47"/>
    </row>
    <row r="3919" spans="45:45">
      <c r="AS3919" s="47"/>
    </row>
    <row r="3920" spans="45:45">
      <c r="AS3920" s="47"/>
    </row>
    <row r="3921" spans="45:45">
      <c r="AS3921" s="47"/>
    </row>
    <row r="3922" spans="45:45">
      <c r="AS3922" s="47"/>
    </row>
    <row r="3923" spans="45:45">
      <c r="AS3923" s="47"/>
    </row>
    <row r="3924" spans="45:45">
      <c r="AS3924" s="47"/>
    </row>
    <row r="3925" spans="45:45">
      <c r="AS3925" s="47"/>
    </row>
    <row r="3926" spans="45:45">
      <c r="AS3926" s="47"/>
    </row>
    <row r="3927" spans="45:45">
      <c r="AS3927" s="47"/>
    </row>
    <row r="3928" spans="45:45">
      <c r="AS3928" s="47"/>
    </row>
    <row r="3929" spans="45:45">
      <c r="AS3929" s="47"/>
    </row>
    <row r="3930" spans="45:45">
      <c r="AS3930" s="47"/>
    </row>
    <row r="3931" spans="45:45">
      <c r="AS3931" s="47"/>
    </row>
    <row r="3932" spans="45:45">
      <c r="AS3932" s="47"/>
    </row>
    <row r="3933" spans="45:45">
      <c r="AS3933" s="47"/>
    </row>
    <row r="3934" spans="45:45">
      <c r="AS3934" s="47"/>
    </row>
    <row r="3935" spans="45:45">
      <c r="AS3935" s="47"/>
    </row>
    <row r="3936" spans="45:45">
      <c r="AS3936" s="47"/>
    </row>
    <row r="3937" spans="45:45">
      <c r="AS3937" s="47"/>
    </row>
    <row r="3938" spans="45:45">
      <c r="AS3938" s="47"/>
    </row>
    <row r="3939" spans="45:45">
      <c r="AS3939" s="47"/>
    </row>
    <row r="3940" spans="45:45">
      <c r="AS3940" s="47"/>
    </row>
    <row r="3941" spans="45:45">
      <c r="AS3941" s="47"/>
    </row>
    <row r="3942" spans="45:45">
      <c r="AS3942" s="47"/>
    </row>
    <row r="3943" spans="45:45">
      <c r="AS3943" s="47"/>
    </row>
    <row r="3944" spans="45:45">
      <c r="AS3944" s="47"/>
    </row>
    <row r="3945" spans="45:45">
      <c r="AS3945" s="47"/>
    </row>
    <row r="3946" spans="45:45">
      <c r="AS3946" s="47"/>
    </row>
    <row r="3947" spans="45:45">
      <c r="AS3947" s="47"/>
    </row>
    <row r="3948" spans="45:45">
      <c r="AS3948" s="47"/>
    </row>
    <row r="3949" spans="45:45">
      <c r="AS3949" s="47"/>
    </row>
    <row r="3950" spans="45:45">
      <c r="AS3950" s="47"/>
    </row>
    <row r="3951" spans="45:45">
      <c r="AS3951" s="47"/>
    </row>
    <row r="3952" spans="45:45">
      <c r="AS3952" s="47"/>
    </row>
    <row r="3953" spans="45:45">
      <c r="AS3953" s="47"/>
    </row>
    <row r="3954" spans="45:45">
      <c r="AS3954" s="47"/>
    </row>
    <row r="3955" spans="45:45">
      <c r="AS3955" s="47"/>
    </row>
    <row r="3956" spans="45:45">
      <c r="AS3956" s="47"/>
    </row>
    <row r="3957" spans="45:45">
      <c r="AS3957" s="47"/>
    </row>
    <row r="3958" spans="45:45">
      <c r="AS3958" s="47"/>
    </row>
    <row r="3959" spans="45:45">
      <c r="AS3959" s="47"/>
    </row>
    <row r="3960" spans="45:45">
      <c r="AS3960" s="47"/>
    </row>
    <row r="3961" spans="45:45">
      <c r="AS3961" s="47"/>
    </row>
    <row r="3962" spans="45:45">
      <c r="AS3962" s="47"/>
    </row>
    <row r="3963" spans="45:45">
      <c r="AS3963" s="47"/>
    </row>
    <row r="3964" spans="45:45">
      <c r="AS3964" s="47"/>
    </row>
    <row r="3965" spans="45:45">
      <c r="AS3965" s="47"/>
    </row>
    <row r="3966" spans="45:45">
      <c r="AS3966" s="47"/>
    </row>
    <row r="3967" spans="45:45">
      <c r="AS3967" s="47"/>
    </row>
    <row r="3968" spans="45:45">
      <c r="AS3968" s="47"/>
    </row>
    <row r="3969" spans="45:45">
      <c r="AS3969" s="47"/>
    </row>
    <row r="3970" spans="45:45">
      <c r="AS3970" s="47"/>
    </row>
    <row r="3971" spans="45:45">
      <c r="AS3971" s="47"/>
    </row>
    <row r="3972" spans="45:45">
      <c r="AS3972" s="47"/>
    </row>
    <row r="3973" spans="45:45">
      <c r="AS3973" s="47"/>
    </row>
    <row r="3974" spans="45:45">
      <c r="AS3974" s="47"/>
    </row>
    <row r="3975" spans="45:45">
      <c r="AS3975" s="47"/>
    </row>
    <row r="3976" spans="45:45">
      <c r="AS3976" s="47"/>
    </row>
    <row r="3977" spans="45:45">
      <c r="AS3977" s="47"/>
    </row>
    <row r="3978" spans="45:45">
      <c r="AS3978" s="47"/>
    </row>
    <row r="3979" spans="45:45">
      <c r="AS3979" s="47"/>
    </row>
    <row r="3980" spans="45:45">
      <c r="AS3980" s="47"/>
    </row>
    <row r="3981" spans="45:45">
      <c r="AS3981" s="47"/>
    </row>
    <row r="3982" spans="45:45">
      <c r="AS3982" s="47"/>
    </row>
    <row r="3983" spans="45:45">
      <c r="AS3983" s="47"/>
    </row>
    <row r="3984" spans="45:45">
      <c r="AS3984" s="47"/>
    </row>
    <row r="3985" spans="45:45">
      <c r="AS3985" s="47"/>
    </row>
    <row r="3986" spans="45:45">
      <c r="AS3986" s="47"/>
    </row>
    <row r="3987" spans="45:45">
      <c r="AS3987" s="47"/>
    </row>
    <row r="3988" spans="45:45">
      <c r="AS3988" s="47"/>
    </row>
    <row r="3989" spans="45:45">
      <c r="AS3989" s="47"/>
    </row>
    <row r="3990" spans="45:45">
      <c r="AS3990" s="47"/>
    </row>
    <row r="3991" spans="45:45">
      <c r="AS3991" s="47"/>
    </row>
    <row r="3992" spans="45:45">
      <c r="AS3992" s="47"/>
    </row>
    <row r="3993" spans="45:45">
      <c r="AS3993" s="47"/>
    </row>
    <row r="3994" spans="45:45">
      <c r="AS3994" s="47"/>
    </row>
    <row r="3995" spans="45:45">
      <c r="AS3995" s="47"/>
    </row>
    <row r="3996" spans="45:45">
      <c r="AS3996" s="47"/>
    </row>
    <row r="3997" spans="45:45">
      <c r="AS3997" s="47"/>
    </row>
    <row r="3998" spans="45:45">
      <c r="AS3998" s="47"/>
    </row>
    <row r="3999" spans="45:45">
      <c r="AS3999" s="47"/>
    </row>
    <row r="4000" spans="45:45">
      <c r="AS4000" s="47"/>
    </row>
    <row r="4001" spans="45:45">
      <c r="AS4001" s="47"/>
    </row>
    <row r="4002" spans="45:45">
      <c r="AS4002" s="47"/>
    </row>
    <row r="4003" spans="45:45">
      <c r="AS4003" s="47"/>
    </row>
    <row r="4004" spans="45:45">
      <c r="AS4004" s="47"/>
    </row>
    <row r="4005" spans="45:45">
      <c r="AS4005" s="47"/>
    </row>
    <row r="4006" spans="45:45">
      <c r="AS4006" s="47"/>
    </row>
    <row r="4007" spans="45:45">
      <c r="AS4007" s="47"/>
    </row>
    <row r="4008" spans="45:45">
      <c r="AS4008" s="47"/>
    </row>
    <row r="4009" spans="45:45">
      <c r="AS4009" s="47"/>
    </row>
    <row r="4010" spans="45:45">
      <c r="AS4010" s="47"/>
    </row>
    <row r="4011" spans="45:45">
      <c r="AS4011" s="47"/>
    </row>
    <row r="4012" spans="45:45">
      <c r="AS4012" s="47"/>
    </row>
    <row r="4013" spans="45:45">
      <c r="AS4013" s="47"/>
    </row>
    <row r="4014" spans="45:45">
      <c r="AS4014" s="47"/>
    </row>
    <row r="4015" spans="45:45">
      <c r="AS4015" s="47"/>
    </row>
    <row r="4016" spans="45:45">
      <c r="AS4016" s="47"/>
    </row>
    <row r="4017" spans="45:45">
      <c r="AS4017" s="47"/>
    </row>
    <row r="4018" spans="45:45">
      <c r="AS4018" s="47"/>
    </row>
    <row r="4019" spans="45:45">
      <c r="AS4019" s="47"/>
    </row>
    <row r="4020" spans="45:45">
      <c r="AS4020" s="47"/>
    </row>
    <row r="4021" spans="45:45">
      <c r="AS4021" s="47"/>
    </row>
    <row r="4022" spans="45:45">
      <c r="AS4022" s="47"/>
    </row>
    <row r="4023" spans="45:45">
      <c r="AS4023" s="47"/>
    </row>
    <row r="4024" spans="45:45">
      <c r="AS4024" s="47"/>
    </row>
    <row r="4025" spans="45:45">
      <c r="AS4025" s="47"/>
    </row>
    <row r="4026" spans="45:45">
      <c r="AS4026" s="47"/>
    </row>
    <row r="4027" spans="45:45">
      <c r="AS4027" s="47"/>
    </row>
    <row r="4028" spans="45:45">
      <c r="AS4028" s="47"/>
    </row>
    <row r="4029" spans="45:45">
      <c r="AS4029" s="47"/>
    </row>
    <row r="4030" spans="45:45">
      <c r="AS4030" s="47"/>
    </row>
    <row r="4031" spans="45:45">
      <c r="AS4031" s="47"/>
    </row>
    <row r="4032" spans="45:45">
      <c r="AS4032" s="47"/>
    </row>
    <row r="4033" spans="45:45">
      <c r="AS4033" s="47"/>
    </row>
    <row r="4034" spans="45:45">
      <c r="AS4034" s="47"/>
    </row>
    <row r="4035" spans="45:45">
      <c r="AS4035" s="47"/>
    </row>
    <row r="4036" spans="45:45">
      <c r="AS4036" s="47"/>
    </row>
    <row r="4037" spans="45:45">
      <c r="AS4037" s="47"/>
    </row>
    <row r="4038" spans="45:45">
      <c r="AS4038" s="47"/>
    </row>
    <row r="4039" spans="45:45">
      <c r="AS4039" s="47"/>
    </row>
    <row r="4040" spans="45:45">
      <c r="AS4040" s="47"/>
    </row>
    <row r="4041" spans="45:45">
      <c r="AS4041" s="47"/>
    </row>
    <row r="4042" spans="45:45">
      <c r="AS4042" s="47"/>
    </row>
    <row r="4043" spans="45:45">
      <c r="AS4043" s="47"/>
    </row>
    <row r="4044" spans="45:45">
      <c r="AS4044" s="47"/>
    </row>
    <row r="4045" spans="45:45">
      <c r="AS4045" s="47"/>
    </row>
    <row r="4046" spans="45:45">
      <c r="AS4046" s="47"/>
    </row>
    <row r="4047" spans="45:45">
      <c r="AS4047" s="47"/>
    </row>
    <row r="4048" spans="45:45">
      <c r="AS4048" s="47"/>
    </row>
    <row r="4049" spans="45:45">
      <c r="AS4049" s="47"/>
    </row>
    <row r="4050" spans="45:45">
      <c r="AS4050" s="47"/>
    </row>
    <row r="4051" spans="45:45">
      <c r="AS4051" s="47"/>
    </row>
    <row r="4052" spans="45:45">
      <c r="AS4052" s="47"/>
    </row>
    <row r="4053" spans="45:45">
      <c r="AS4053" s="47"/>
    </row>
    <row r="4054" spans="45:45">
      <c r="AS4054" s="47"/>
    </row>
    <row r="4055" spans="45:45">
      <c r="AS4055" s="47"/>
    </row>
    <row r="4056" spans="45:45">
      <c r="AS4056" s="47"/>
    </row>
    <row r="4057" spans="45:45">
      <c r="AS4057" s="47"/>
    </row>
    <row r="4058" spans="45:45">
      <c r="AS4058" s="47"/>
    </row>
    <row r="4059" spans="45:45">
      <c r="AS4059" s="47"/>
    </row>
    <row r="4060" spans="45:45">
      <c r="AS4060" s="47"/>
    </row>
    <row r="4061" spans="45:45">
      <c r="AS4061" s="47"/>
    </row>
    <row r="4062" spans="45:45">
      <c r="AS4062" s="47"/>
    </row>
    <row r="4063" spans="45:45">
      <c r="AS4063" s="47"/>
    </row>
    <row r="4064" spans="45:45">
      <c r="AS4064" s="47"/>
    </row>
    <row r="4065" spans="45:45">
      <c r="AS4065" s="47"/>
    </row>
    <row r="4066" spans="45:45">
      <c r="AS4066" s="47"/>
    </row>
    <row r="4067" spans="45:45">
      <c r="AS4067" s="47"/>
    </row>
    <row r="4068" spans="45:45">
      <c r="AS4068" s="47"/>
    </row>
    <row r="4069" spans="45:45">
      <c r="AS4069" s="47"/>
    </row>
    <row r="4070" spans="45:45">
      <c r="AS4070" s="47"/>
    </row>
    <row r="4071" spans="45:45">
      <c r="AS4071" s="47"/>
    </row>
    <row r="4072" spans="45:45">
      <c r="AS4072" s="47"/>
    </row>
    <row r="4073" spans="45:45">
      <c r="AS4073" s="47"/>
    </row>
    <row r="4074" spans="45:45">
      <c r="AS4074" s="47"/>
    </row>
    <row r="4075" spans="45:45">
      <c r="AS4075" s="47"/>
    </row>
    <row r="4076" spans="45:45">
      <c r="AS4076" s="47"/>
    </row>
    <row r="4077" spans="45:45">
      <c r="AS4077" s="47"/>
    </row>
    <row r="4078" spans="45:45">
      <c r="AS4078" s="47"/>
    </row>
    <row r="4079" spans="45:45">
      <c r="AS4079" s="47"/>
    </row>
    <row r="4080" spans="45:45">
      <c r="AS4080" s="47"/>
    </row>
    <row r="4081" spans="45:45">
      <c r="AS4081" s="47"/>
    </row>
    <row r="4082" spans="45:45">
      <c r="AS4082" s="47"/>
    </row>
    <row r="4083" spans="45:45">
      <c r="AS4083" s="47"/>
    </row>
    <row r="4084" spans="45:45">
      <c r="AS4084" s="47"/>
    </row>
    <row r="4085" spans="45:45">
      <c r="AS4085" s="47"/>
    </row>
    <row r="4086" spans="45:45">
      <c r="AS4086" s="47"/>
    </row>
    <row r="4087" spans="45:45">
      <c r="AS4087" s="47"/>
    </row>
    <row r="4088" spans="45:45">
      <c r="AS4088" s="47"/>
    </row>
    <row r="4089" spans="45:45">
      <c r="AS4089" s="47"/>
    </row>
    <row r="4090" spans="45:45">
      <c r="AS4090" s="47"/>
    </row>
    <row r="4091" spans="45:45">
      <c r="AS4091" s="47"/>
    </row>
    <row r="4092" spans="45:45">
      <c r="AS4092" s="47"/>
    </row>
    <row r="4093" spans="45:45">
      <c r="AS4093" s="47"/>
    </row>
    <row r="4094" spans="45:45">
      <c r="AS4094" s="47"/>
    </row>
    <row r="4095" spans="45:45">
      <c r="AS4095" s="47"/>
    </row>
    <row r="4096" spans="45:45">
      <c r="AS4096" s="47"/>
    </row>
    <row r="4097" spans="45:45">
      <c r="AS4097" s="47"/>
    </row>
    <row r="4098" spans="45:45">
      <c r="AS4098" s="47"/>
    </row>
    <row r="4099" spans="45:45">
      <c r="AS4099" s="47"/>
    </row>
    <row r="4100" spans="45:45">
      <c r="AS4100" s="47"/>
    </row>
    <row r="4101" spans="45:45">
      <c r="AS4101" s="47"/>
    </row>
    <row r="4102" spans="45:45">
      <c r="AS4102" s="47"/>
    </row>
    <row r="4103" spans="45:45">
      <c r="AS4103" s="47"/>
    </row>
    <row r="4104" spans="45:45">
      <c r="AS4104" s="47"/>
    </row>
    <row r="4105" spans="45:45">
      <c r="AS4105" s="47"/>
    </row>
    <row r="4106" spans="45:45">
      <c r="AS4106" s="47"/>
    </row>
    <row r="4107" spans="45:45">
      <c r="AS4107" s="47"/>
    </row>
    <row r="4108" spans="45:45">
      <c r="AS4108" s="47"/>
    </row>
    <row r="4109" spans="45:45">
      <c r="AS4109" s="47"/>
    </row>
    <row r="4110" spans="45:45">
      <c r="AS4110" s="47"/>
    </row>
    <row r="4111" spans="45:45">
      <c r="AS4111" s="47"/>
    </row>
    <row r="4112" spans="45:45">
      <c r="AS4112" s="47"/>
    </row>
    <row r="4113" spans="45:45">
      <c r="AS4113" s="47"/>
    </row>
    <row r="4114" spans="45:45">
      <c r="AS4114" s="47"/>
    </row>
    <row r="4115" spans="45:45">
      <c r="AS4115" s="47"/>
    </row>
    <row r="4116" spans="45:45">
      <c r="AS4116" s="47"/>
    </row>
    <row r="4117" spans="45:45">
      <c r="AS4117" s="47"/>
    </row>
    <row r="4118" spans="45:45">
      <c r="AS4118" s="47"/>
    </row>
    <row r="4119" spans="45:45">
      <c r="AS4119" s="47"/>
    </row>
    <row r="4120" spans="45:45">
      <c r="AS4120" s="47"/>
    </row>
    <row r="4121" spans="45:45">
      <c r="AS4121" s="47"/>
    </row>
    <row r="4122" spans="45:45">
      <c r="AS4122" s="47"/>
    </row>
    <row r="4123" spans="45:45">
      <c r="AS4123" s="47"/>
    </row>
    <row r="4124" spans="45:45">
      <c r="AS4124" s="47"/>
    </row>
    <row r="4125" spans="45:45">
      <c r="AS4125" s="47"/>
    </row>
    <row r="4126" spans="45:45">
      <c r="AS4126" s="47"/>
    </row>
    <row r="4127" spans="45:45">
      <c r="AS4127" s="47"/>
    </row>
    <row r="4128" spans="45:45">
      <c r="AS4128" s="47"/>
    </row>
    <row r="4129" spans="45:45">
      <c r="AS4129" s="47"/>
    </row>
    <row r="4130" spans="45:45">
      <c r="AS4130" s="47"/>
    </row>
    <row r="4131" spans="45:45">
      <c r="AS4131" s="47"/>
    </row>
    <row r="4132" spans="45:45">
      <c r="AS4132" s="47"/>
    </row>
    <row r="4133" spans="45:45">
      <c r="AS4133" s="47"/>
    </row>
    <row r="4134" spans="45:45">
      <c r="AS4134" s="47"/>
    </row>
    <row r="4135" spans="45:45">
      <c r="AS4135" s="47"/>
    </row>
    <row r="4136" spans="45:45">
      <c r="AS4136" s="47"/>
    </row>
    <row r="4137" spans="45:45">
      <c r="AS4137" s="47"/>
    </row>
    <row r="4138" spans="45:45">
      <c r="AS4138" s="47"/>
    </row>
    <row r="4139" spans="45:45">
      <c r="AS4139" s="47"/>
    </row>
    <row r="4140" spans="45:45">
      <c r="AS4140" s="47"/>
    </row>
    <row r="4141" spans="45:45">
      <c r="AS4141" s="47"/>
    </row>
    <row r="4142" spans="45:45">
      <c r="AS4142" s="47"/>
    </row>
    <row r="4143" spans="45:45">
      <c r="AS4143" s="47"/>
    </row>
    <row r="4144" spans="45:45">
      <c r="AS4144" s="47"/>
    </row>
    <row r="4145" spans="45:45">
      <c r="AS4145" s="47"/>
    </row>
    <row r="4146" spans="45:45">
      <c r="AS4146" s="47"/>
    </row>
    <row r="4147" spans="45:45">
      <c r="AS4147" s="47"/>
    </row>
    <row r="4148" spans="45:45">
      <c r="AS4148" s="47"/>
    </row>
    <row r="4149" spans="45:45">
      <c r="AS4149" s="47"/>
    </row>
    <row r="4150" spans="45:45">
      <c r="AS4150" s="47"/>
    </row>
    <row r="4151" spans="45:45">
      <c r="AS4151" s="47"/>
    </row>
    <row r="4152" spans="45:45">
      <c r="AS4152" s="47"/>
    </row>
    <row r="4153" spans="45:45">
      <c r="AS4153" s="47"/>
    </row>
    <row r="4154" spans="45:45">
      <c r="AS4154" s="47"/>
    </row>
    <row r="4155" spans="45:45">
      <c r="AS4155" s="47"/>
    </row>
    <row r="4156" spans="45:45">
      <c r="AS4156" s="47"/>
    </row>
    <row r="4157" spans="45:45">
      <c r="AS4157" s="47"/>
    </row>
    <row r="4158" spans="45:45">
      <c r="AS4158" s="47"/>
    </row>
    <row r="4159" spans="45:45">
      <c r="AS4159" s="47"/>
    </row>
    <row r="4160" spans="45:45">
      <c r="AS4160" s="47"/>
    </row>
    <row r="4161" spans="45:45">
      <c r="AS4161" s="47"/>
    </row>
    <row r="4162" spans="45:45">
      <c r="AS4162" s="47"/>
    </row>
    <row r="4163" spans="45:45">
      <c r="AS4163" s="47"/>
    </row>
    <row r="4164" spans="45:45">
      <c r="AS4164" s="47"/>
    </row>
    <row r="4165" spans="45:45">
      <c r="AS4165" s="47"/>
    </row>
    <row r="4166" spans="45:45">
      <c r="AS4166" s="47"/>
    </row>
    <row r="4167" spans="45:45">
      <c r="AS4167" s="47"/>
    </row>
    <row r="4168" spans="45:45">
      <c r="AS4168" s="47"/>
    </row>
    <row r="4169" spans="45:45">
      <c r="AS4169" s="47"/>
    </row>
    <row r="4170" spans="45:45">
      <c r="AS4170" s="47"/>
    </row>
    <row r="4171" spans="45:45">
      <c r="AS4171" s="47"/>
    </row>
    <row r="4172" spans="45:45">
      <c r="AS4172" s="47"/>
    </row>
    <row r="4173" spans="45:45">
      <c r="AS4173" s="47"/>
    </row>
    <row r="4174" spans="45:45">
      <c r="AS4174" s="47"/>
    </row>
    <row r="4175" spans="45:45">
      <c r="AS4175" s="47"/>
    </row>
    <row r="4176" spans="45:45">
      <c r="AS4176" s="47"/>
    </row>
    <row r="4177" spans="45:45">
      <c r="AS4177" s="47"/>
    </row>
    <row r="4178" spans="45:45">
      <c r="AS4178" s="47"/>
    </row>
    <row r="4179" spans="45:45">
      <c r="AS4179" s="47"/>
    </row>
    <row r="4180" spans="45:45">
      <c r="AS4180" s="47"/>
    </row>
    <row r="4181" spans="45:45">
      <c r="AS4181" s="47"/>
    </row>
    <row r="4182" spans="45:45">
      <c r="AS4182" s="47"/>
    </row>
    <row r="4183" spans="45:45">
      <c r="AS4183" s="47"/>
    </row>
    <row r="4184" spans="45:45">
      <c r="AS4184" s="47"/>
    </row>
    <row r="4185" spans="45:45">
      <c r="AS4185" s="47"/>
    </row>
    <row r="4186" spans="45:45">
      <c r="AS4186" s="47"/>
    </row>
    <row r="4187" spans="45:45">
      <c r="AS4187" s="47"/>
    </row>
    <row r="4188" spans="45:45">
      <c r="AS4188" s="47"/>
    </row>
    <row r="4189" spans="45:45">
      <c r="AS4189" s="47"/>
    </row>
    <row r="4190" spans="45:45">
      <c r="AS4190" s="47"/>
    </row>
    <row r="4191" spans="45:45">
      <c r="AS4191" s="47"/>
    </row>
    <row r="4192" spans="45:45">
      <c r="AS4192" s="47"/>
    </row>
    <row r="4193" spans="45:45">
      <c r="AS4193" s="47"/>
    </row>
    <row r="4194" spans="45:45">
      <c r="AS4194" s="47"/>
    </row>
    <row r="4195" spans="45:45">
      <c r="AS4195" s="47"/>
    </row>
    <row r="4196" spans="45:45">
      <c r="AS4196" s="47"/>
    </row>
    <row r="4197" spans="45:45">
      <c r="AS4197" s="47"/>
    </row>
    <row r="4198" spans="45:45">
      <c r="AS4198" s="47"/>
    </row>
    <row r="4199" spans="45:45">
      <c r="AS4199" s="47"/>
    </row>
    <row r="4200" spans="45:45">
      <c r="AS4200" s="47"/>
    </row>
    <row r="4201" spans="45:45">
      <c r="AS4201" s="47"/>
    </row>
    <row r="4202" spans="45:45">
      <c r="AS4202" s="47"/>
    </row>
    <row r="4203" spans="45:45">
      <c r="AS4203" s="47"/>
    </row>
    <row r="4204" spans="45:45">
      <c r="AS4204" s="47"/>
    </row>
    <row r="4205" spans="45:45">
      <c r="AS4205" s="47"/>
    </row>
    <row r="4206" spans="45:45">
      <c r="AS4206" s="47"/>
    </row>
    <row r="4207" spans="45:45">
      <c r="AS4207" s="47"/>
    </row>
    <row r="4208" spans="45:45">
      <c r="AS4208" s="47"/>
    </row>
    <row r="4209" spans="45:45">
      <c r="AS4209" s="47"/>
    </row>
    <row r="4210" spans="45:45">
      <c r="AS4210" s="47"/>
    </row>
    <row r="4211" spans="45:45">
      <c r="AS4211" s="47"/>
    </row>
    <row r="4212" spans="45:45">
      <c r="AS4212" s="47"/>
    </row>
    <row r="4213" spans="45:45">
      <c r="AS4213" s="47"/>
    </row>
    <row r="4214" spans="45:45">
      <c r="AS4214" s="47"/>
    </row>
    <row r="4215" spans="45:45">
      <c r="AS4215" s="47"/>
    </row>
    <row r="4216" spans="45:45">
      <c r="AS4216" s="47"/>
    </row>
    <row r="4217" spans="45:45">
      <c r="AS4217" s="47"/>
    </row>
    <row r="4218" spans="45:45">
      <c r="AS4218" s="47"/>
    </row>
    <row r="4219" spans="45:45">
      <c r="AS4219" s="47"/>
    </row>
    <row r="4220" spans="45:45">
      <c r="AS4220" s="47"/>
    </row>
    <row r="4221" spans="45:45">
      <c r="AS4221" s="47"/>
    </row>
    <row r="4222" spans="45:45">
      <c r="AS4222" s="47"/>
    </row>
    <row r="4223" spans="45:45">
      <c r="AS4223" s="47"/>
    </row>
    <row r="4224" spans="45:45">
      <c r="AS4224" s="47"/>
    </row>
    <row r="4225" spans="45:45">
      <c r="AS4225" s="47"/>
    </row>
    <row r="4226" spans="45:45">
      <c r="AS4226" s="47"/>
    </row>
    <row r="4227" spans="45:45">
      <c r="AS4227" s="47"/>
    </row>
    <row r="4228" spans="45:45">
      <c r="AS4228" s="47"/>
    </row>
    <row r="4229" spans="45:45">
      <c r="AS4229" s="47"/>
    </row>
    <row r="4230" spans="45:45">
      <c r="AS4230" s="47"/>
    </row>
    <row r="4231" spans="45:45">
      <c r="AS4231" s="47"/>
    </row>
    <row r="4232" spans="45:45">
      <c r="AS4232" s="47"/>
    </row>
    <row r="4233" spans="45:45">
      <c r="AS4233" s="47"/>
    </row>
    <row r="4234" spans="45:45">
      <c r="AS4234" s="47"/>
    </row>
    <row r="4235" spans="45:45">
      <c r="AS4235" s="47"/>
    </row>
    <row r="4236" spans="45:45">
      <c r="AS4236" s="47"/>
    </row>
    <row r="4237" spans="45:45">
      <c r="AS4237" s="47"/>
    </row>
    <row r="4238" spans="45:45">
      <c r="AS4238" s="47"/>
    </row>
    <row r="4239" spans="45:45">
      <c r="AS4239" s="47"/>
    </row>
    <row r="4240" spans="45:45">
      <c r="AS4240" s="47"/>
    </row>
    <row r="4241" spans="45:45">
      <c r="AS4241" s="47"/>
    </row>
    <row r="4242" spans="45:45">
      <c r="AS4242" s="47"/>
    </row>
    <row r="4243" spans="45:45">
      <c r="AS4243" s="47"/>
    </row>
    <row r="4244" spans="45:45">
      <c r="AS4244" s="47"/>
    </row>
    <row r="4245" spans="45:45">
      <c r="AS4245" s="47"/>
    </row>
    <row r="4246" spans="45:45">
      <c r="AS4246" s="47"/>
    </row>
    <row r="4247" spans="45:45">
      <c r="AS4247" s="47"/>
    </row>
    <row r="4248" spans="45:45">
      <c r="AS4248" s="47"/>
    </row>
    <row r="4249" spans="45:45">
      <c r="AS4249" s="47"/>
    </row>
    <row r="4250" spans="45:45">
      <c r="AS4250" s="47"/>
    </row>
    <row r="4251" spans="45:45">
      <c r="AS4251" s="47"/>
    </row>
    <row r="4252" spans="45:45">
      <c r="AS4252" s="47"/>
    </row>
    <row r="4253" spans="45:45">
      <c r="AS4253" s="47"/>
    </row>
    <row r="4254" spans="45:45">
      <c r="AS4254" s="47"/>
    </row>
    <row r="4255" spans="45:45">
      <c r="AS4255" s="47"/>
    </row>
    <row r="4256" spans="45:45">
      <c r="AS4256" s="47"/>
    </row>
    <row r="4257" spans="45:45">
      <c r="AS4257" s="47"/>
    </row>
    <row r="4258" spans="45:45">
      <c r="AS4258" s="47"/>
    </row>
    <row r="4259" spans="45:45">
      <c r="AS4259" s="47"/>
    </row>
    <row r="4260" spans="45:45">
      <c r="AS4260" s="47"/>
    </row>
    <row r="4261" spans="45:45">
      <c r="AS4261" s="47"/>
    </row>
    <row r="4262" spans="45:45">
      <c r="AS4262" s="47"/>
    </row>
    <row r="4263" spans="45:45">
      <c r="AS4263" s="47"/>
    </row>
    <row r="4264" spans="45:45">
      <c r="AS4264" s="47"/>
    </row>
    <row r="4265" spans="45:45">
      <c r="AS4265" s="47"/>
    </row>
    <row r="4266" spans="45:45">
      <c r="AS4266" s="47"/>
    </row>
    <row r="4267" spans="45:45">
      <c r="AS4267" s="47"/>
    </row>
    <row r="4268" spans="45:45">
      <c r="AS4268" s="47"/>
    </row>
    <row r="4269" spans="45:45">
      <c r="AS4269" s="47"/>
    </row>
    <row r="4270" spans="45:45">
      <c r="AS4270" s="47"/>
    </row>
    <row r="4271" spans="45:45">
      <c r="AS4271" s="47"/>
    </row>
    <row r="4272" spans="45:45">
      <c r="AS4272" s="47"/>
    </row>
    <row r="4273" spans="45:45">
      <c r="AS4273" s="47"/>
    </row>
    <row r="4274" spans="45:45">
      <c r="AS4274" s="47"/>
    </row>
    <row r="4275" spans="45:45">
      <c r="AS4275" s="47"/>
    </row>
    <row r="4276" spans="45:45">
      <c r="AS4276" s="47"/>
    </row>
    <row r="4277" spans="45:45">
      <c r="AS4277" s="47"/>
    </row>
    <row r="4278" spans="45:45">
      <c r="AS4278" s="47"/>
    </row>
    <row r="4279" spans="45:45">
      <c r="AS4279" s="47"/>
    </row>
    <row r="4280" spans="45:45">
      <c r="AS4280" s="47"/>
    </row>
    <row r="4281" spans="45:45">
      <c r="AS4281" s="47"/>
    </row>
    <row r="4282" spans="45:45">
      <c r="AS4282" s="47"/>
    </row>
    <row r="4283" spans="45:45">
      <c r="AS4283" s="47"/>
    </row>
    <row r="4284" spans="45:45">
      <c r="AS4284" s="47"/>
    </row>
    <row r="4285" spans="45:45">
      <c r="AS4285" s="47"/>
    </row>
    <row r="4286" spans="45:45">
      <c r="AS4286" s="47"/>
    </row>
    <row r="4287" spans="45:45">
      <c r="AS4287" s="47"/>
    </row>
    <row r="4288" spans="45:45">
      <c r="AS4288" s="47"/>
    </row>
    <row r="4289" spans="45:45">
      <c r="AS4289" s="47"/>
    </row>
    <row r="4290" spans="45:45">
      <c r="AS4290" s="47"/>
    </row>
    <row r="4291" spans="45:45">
      <c r="AS4291" s="47"/>
    </row>
    <row r="4292" spans="45:45">
      <c r="AS4292" s="47"/>
    </row>
    <row r="4293" spans="45:45">
      <c r="AS4293" s="47"/>
    </row>
    <row r="4294" spans="45:45">
      <c r="AS4294" s="47"/>
    </row>
    <row r="4295" spans="45:45">
      <c r="AS4295" s="47"/>
    </row>
    <row r="4296" spans="45:45">
      <c r="AS4296" s="47"/>
    </row>
    <row r="4297" spans="45:45">
      <c r="AS4297" s="47"/>
    </row>
    <row r="4298" spans="45:45">
      <c r="AS4298" s="47"/>
    </row>
    <row r="4299" spans="45:45">
      <c r="AS4299" s="47"/>
    </row>
    <row r="4300" spans="45:45">
      <c r="AS4300" s="47"/>
    </row>
    <row r="4301" spans="45:45">
      <c r="AS4301" s="47"/>
    </row>
    <row r="4302" spans="45:45">
      <c r="AS4302" s="47"/>
    </row>
    <row r="4303" spans="45:45">
      <c r="AS4303" s="47"/>
    </row>
    <row r="4304" spans="45:45">
      <c r="AS4304" s="47"/>
    </row>
    <row r="4305" spans="45:45">
      <c r="AS4305" s="47"/>
    </row>
    <row r="4306" spans="45:45">
      <c r="AS4306" s="47"/>
    </row>
    <row r="4307" spans="45:45">
      <c r="AS4307" s="47"/>
    </row>
    <row r="4308" spans="45:45">
      <c r="AS4308" s="47"/>
    </row>
    <row r="4309" spans="45:45">
      <c r="AS4309" s="47"/>
    </row>
    <row r="4310" spans="45:45">
      <c r="AS4310" s="47"/>
    </row>
    <row r="4311" spans="45:45">
      <c r="AS4311" s="47"/>
    </row>
    <row r="4312" spans="45:45">
      <c r="AS4312" s="47"/>
    </row>
    <row r="4313" spans="45:45">
      <c r="AS4313" s="47"/>
    </row>
    <row r="4314" spans="45:45">
      <c r="AS4314" s="47"/>
    </row>
    <row r="4315" spans="45:45">
      <c r="AS4315" s="47"/>
    </row>
    <row r="4316" spans="45:45">
      <c r="AS4316" s="47"/>
    </row>
    <row r="4317" spans="45:45">
      <c r="AS4317" s="47"/>
    </row>
    <row r="4318" spans="45:45">
      <c r="AS4318" s="47"/>
    </row>
    <row r="4319" spans="45:45">
      <c r="AS4319" s="47"/>
    </row>
    <row r="4320" spans="45:45">
      <c r="AS4320" s="47"/>
    </row>
    <row r="4321" spans="45:45">
      <c r="AS4321" s="47"/>
    </row>
    <row r="4322" spans="45:45">
      <c r="AS4322" s="47"/>
    </row>
    <row r="4323" spans="45:45">
      <c r="AS4323" s="47"/>
    </row>
    <row r="4324" spans="45:45">
      <c r="AS4324" s="47"/>
    </row>
    <row r="4325" spans="45:45">
      <c r="AS4325" s="47"/>
    </row>
    <row r="4326" spans="45:45">
      <c r="AS4326" s="47"/>
    </row>
    <row r="4327" spans="45:45">
      <c r="AS4327" s="47"/>
    </row>
    <row r="4328" spans="45:45">
      <c r="AS4328" s="47"/>
    </row>
    <row r="4329" spans="45:45">
      <c r="AS4329" s="47"/>
    </row>
    <row r="4330" spans="45:45">
      <c r="AS4330" s="47"/>
    </row>
    <row r="4331" spans="45:45">
      <c r="AS4331" s="47"/>
    </row>
    <row r="4332" spans="45:45">
      <c r="AS4332" s="47"/>
    </row>
    <row r="4333" spans="45:45">
      <c r="AS4333" s="47"/>
    </row>
    <row r="4334" spans="45:45">
      <c r="AS4334" s="47"/>
    </row>
    <row r="4335" spans="45:45">
      <c r="AS4335" s="47"/>
    </row>
    <row r="4336" spans="45:45">
      <c r="AS4336" s="47"/>
    </row>
    <row r="4337" spans="45:45">
      <c r="AS4337" s="47"/>
    </row>
    <row r="4338" spans="45:45">
      <c r="AS4338" s="47"/>
    </row>
    <row r="4339" spans="45:45">
      <c r="AS4339" s="47"/>
    </row>
    <row r="4340" spans="45:45">
      <c r="AS4340" s="47"/>
    </row>
    <row r="4341" spans="45:45">
      <c r="AS4341" s="47"/>
    </row>
    <row r="4342" spans="45:45">
      <c r="AS4342" s="47"/>
    </row>
    <row r="4343" spans="45:45">
      <c r="AS4343" s="47"/>
    </row>
    <row r="4344" spans="45:45">
      <c r="AS4344" s="47"/>
    </row>
    <row r="4345" spans="45:45">
      <c r="AS4345" s="47"/>
    </row>
    <row r="4346" spans="45:45">
      <c r="AS4346" s="47"/>
    </row>
    <row r="4347" spans="45:45">
      <c r="AS4347" s="47"/>
    </row>
    <row r="4348" spans="45:45">
      <c r="AS4348" s="47"/>
    </row>
    <row r="4349" spans="45:45">
      <c r="AS4349" s="47"/>
    </row>
    <row r="4350" spans="45:45">
      <c r="AS4350" s="47"/>
    </row>
    <row r="4351" spans="45:45">
      <c r="AS4351" s="47"/>
    </row>
    <row r="4352" spans="45:45">
      <c r="AS4352" s="47"/>
    </row>
    <row r="4353" spans="45:45">
      <c r="AS4353" s="47"/>
    </row>
    <row r="4354" spans="45:45">
      <c r="AS4354" s="47"/>
    </row>
    <row r="4355" spans="45:45">
      <c r="AS4355" s="47"/>
    </row>
    <row r="4356" spans="45:45">
      <c r="AS4356" s="47"/>
    </row>
    <row r="4357" spans="45:45">
      <c r="AS4357" s="47"/>
    </row>
    <row r="4358" spans="45:45">
      <c r="AS4358" s="47"/>
    </row>
    <row r="4359" spans="45:45">
      <c r="AS4359" s="47"/>
    </row>
    <row r="4360" spans="45:45">
      <c r="AS4360" s="47"/>
    </row>
    <row r="4361" spans="45:45">
      <c r="AS4361" s="47"/>
    </row>
    <row r="4362" spans="45:45">
      <c r="AS4362" s="47"/>
    </row>
    <row r="4363" spans="45:45">
      <c r="AS4363" s="47"/>
    </row>
    <row r="4364" spans="45:45">
      <c r="AS4364" s="47"/>
    </row>
    <row r="4365" spans="45:45">
      <c r="AS4365" s="47"/>
    </row>
    <row r="4366" spans="45:45">
      <c r="AS4366" s="47"/>
    </row>
    <row r="4367" spans="45:45">
      <c r="AS4367" s="47"/>
    </row>
    <row r="4368" spans="45:45">
      <c r="AS4368" s="47"/>
    </row>
    <row r="4369" spans="45:45">
      <c r="AS4369" s="47"/>
    </row>
    <row r="4370" spans="45:45">
      <c r="AS4370" s="47"/>
    </row>
    <row r="4371" spans="45:45">
      <c r="AS4371" s="47"/>
    </row>
    <row r="4372" spans="45:45">
      <c r="AS4372" s="47"/>
    </row>
    <row r="4373" spans="45:45">
      <c r="AS4373" s="47"/>
    </row>
    <row r="4374" spans="45:45">
      <c r="AS4374" s="47"/>
    </row>
    <row r="4375" spans="45:45">
      <c r="AS4375" s="47"/>
    </row>
    <row r="4376" spans="45:45">
      <c r="AS4376" s="47"/>
    </row>
    <row r="4377" spans="45:45">
      <c r="AS4377" s="47"/>
    </row>
    <row r="4378" spans="45:45">
      <c r="AS4378" s="47"/>
    </row>
    <row r="4379" spans="45:45">
      <c r="AS4379" s="47"/>
    </row>
    <row r="4380" spans="45:45">
      <c r="AS4380" s="47"/>
    </row>
    <row r="4381" spans="45:45">
      <c r="AS4381" s="47"/>
    </row>
    <row r="4382" spans="45:45">
      <c r="AS4382" s="47"/>
    </row>
    <row r="4383" spans="45:45">
      <c r="AS4383" s="47"/>
    </row>
    <row r="4384" spans="45:45">
      <c r="AS4384" s="47"/>
    </row>
    <row r="4385" spans="45:45">
      <c r="AS4385" s="47"/>
    </row>
    <row r="4386" spans="45:45">
      <c r="AS4386" s="47"/>
    </row>
    <row r="4387" spans="45:45">
      <c r="AS4387" s="47"/>
    </row>
    <row r="4388" spans="45:45">
      <c r="AS4388" s="47"/>
    </row>
    <row r="4389" spans="45:45">
      <c r="AS4389" s="47"/>
    </row>
    <row r="4390" spans="45:45">
      <c r="AS4390" s="47"/>
    </row>
    <row r="4391" spans="45:45">
      <c r="AS4391" s="47"/>
    </row>
    <row r="4392" spans="45:45">
      <c r="AS4392" s="47"/>
    </row>
    <row r="4393" spans="45:45">
      <c r="AS4393" s="47"/>
    </row>
    <row r="4394" spans="45:45">
      <c r="AS4394" s="47"/>
    </row>
    <row r="4395" spans="45:45">
      <c r="AS4395" s="47"/>
    </row>
    <row r="4396" spans="45:45">
      <c r="AS4396" s="47"/>
    </row>
    <row r="4397" spans="45:45">
      <c r="AS4397" s="47"/>
    </row>
    <row r="4398" spans="45:45">
      <c r="AS4398" s="47"/>
    </row>
    <row r="4399" spans="45:45">
      <c r="AS4399" s="47"/>
    </row>
    <row r="4400" spans="45:45">
      <c r="AS4400" s="47"/>
    </row>
    <row r="4401" spans="45:45">
      <c r="AS4401" s="47"/>
    </row>
    <row r="4402" spans="45:45">
      <c r="AS4402" s="47"/>
    </row>
    <row r="4403" spans="45:45">
      <c r="AS4403" s="47"/>
    </row>
    <row r="4404" spans="45:45">
      <c r="AS4404" s="47"/>
    </row>
    <row r="4405" spans="45:45">
      <c r="AS4405" s="47"/>
    </row>
    <row r="4406" spans="45:45">
      <c r="AS4406" s="47"/>
    </row>
    <row r="4407" spans="45:45">
      <c r="AS4407" s="47"/>
    </row>
    <row r="4408" spans="45:45">
      <c r="AS4408" s="47"/>
    </row>
    <row r="4409" spans="45:45">
      <c r="AS4409" s="47"/>
    </row>
    <row r="4410" spans="45:45">
      <c r="AS4410" s="47"/>
    </row>
    <row r="4411" spans="45:45">
      <c r="AS4411" s="47"/>
    </row>
    <row r="4412" spans="45:45">
      <c r="AS4412" s="47"/>
    </row>
    <row r="4413" spans="45:45">
      <c r="AS4413" s="47"/>
    </row>
    <row r="4414" spans="45:45">
      <c r="AS4414" s="47"/>
    </row>
    <row r="4415" spans="45:45">
      <c r="AS4415" s="47"/>
    </row>
    <row r="4416" spans="45:45">
      <c r="AS4416" s="47"/>
    </row>
    <row r="4417" spans="45:45">
      <c r="AS4417" s="47"/>
    </row>
    <row r="4418" spans="45:45">
      <c r="AS4418" s="47"/>
    </row>
    <row r="4419" spans="45:45">
      <c r="AS4419" s="47"/>
    </row>
    <row r="4420" spans="45:45">
      <c r="AS4420" s="47"/>
    </row>
    <row r="4421" spans="45:45">
      <c r="AS4421" s="47"/>
    </row>
    <row r="4422" spans="45:45">
      <c r="AS4422" s="47"/>
    </row>
    <row r="4423" spans="45:45">
      <c r="AS4423" s="47"/>
    </row>
    <row r="4424" spans="45:45">
      <c r="AS4424" s="47"/>
    </row>
    <row r="4425" spans="45:45">
      <c r="AS4425" s="47"/>
    </row>
    <row r="4426" spans="45:45">
      <c r="AS4426" s="47"/>
    </row>
    <row r="4427" spans="45:45">
      <c r="AS4427" s="47"/>
    </row>
    <row r="4428" spans="45:45">
      <c r="AS4428" s="47"/>
    </row>
    <row r="4429" spans="45:45">
      <c r="AS4429" s="47"/>
    </row>
    <row r="4430" spans="45:45">
      <c r="AS4430" s="47"/>
    </row>
    <row r="4431" spans="45:45">
      <c r="AS4431" s="47"/>
    </row>
    <row r="4432" spans="45:45">
      <c r="AS4432" s="47"/>
    </row>
    <row r="4433" spans="45:45">
      <c r="AS4433" s="47"/>
    </row>
    <row r="4434" spans="45:45">
      <c r="AS4434" s="47"/>
    </row>
    <row r="4435" spans="45:45">
      <c r="AS4435" s="47"/>
    </row>
    <row r="4436" spans="45:45">
      <c r="AS4436" s="47"/>
    </row>
    <row r="4437" spans="45:45">
      <c r="AS4437" s="47"/>
    </row>
    <row r="4438" spans="45:45">
      <c r="AS4438" s="47"/>
    </row>
    <row r="4439" spans="45:45">
      <c r="AS4439" s="47"/>
    </row>
    <row r="4440" spans="45:45">
      <c r="AS4440" s="47"/>
    </row>
    <row r="4441" spans="45:45">
      <c r="AS4441" s="47"/>
    </row>
    <row r="4442" spans="45:45">
      <c r="AS4442" s="47"/>
    </row>
    <row r="4443" spans="45:45">
      <c r="AS4443" s="47"/>
    </row>
    <row r="4444" spans="45:45">
      <c r="AS4444" s="47"/>
    </row>
    <row r="4445" spans="45:45">
      <c r="AS4445" s="47"/>
    </row>
    <row r="4446" spans="45:45">
      <c r="AS4446" s="47"/>
    </row>
    <row r="4447" spans="45:45">
      <c r="AS4447" s="47"/>
    </row>
    <row r="4448" spans="45:45">
      <c r="AS4448" s="47"/>
    </row>
    <row r="4449" spans="45:45">
      <c r="AS4449" s="47"/>
    </row>
    <row r="4450" spans="45:45">
      <c r="AS4450" s="47"/>
    </row>
    <row r="4451" spans="45:45">
      <c r="AS4451" s="47"/>
    </row>
    <row r="4452" spans="45:45">
      <c r="AS4452" s="47"/>
    </row>
    <row r="4453" spans="45:45">
      <c r="AS4453" s="47"/>
    </row>
    <row r="4454" spans="45:45">
      <c r="AS4454" s="47"/>
    </row>
    <row r="4455" spans="45:45">
      <c r="AS4455" s="47"/>
    </row>
    <row r="4456" spans="45:45">
      <c r="AS4456" s="47"/>
    </row>
    <row r="4457" spans="45:45">
      <c r="AS4457" s="47"/>
    </row>
    <row r="4458" spans="45:45">
      <c r="AS4458" s="47"/>
    </row>
    <row r="4459" spans="45:45">
      <c r="AS4459" s="47"/>
    </row>
    <row r="4460" spans="45:45">
      <c r="AS4460" s="47"/>
    </row>
    <row r="4461" spans="45:45">
      <c r="AS4461" s="47"/>
    </row>
    <row r="4462" spans="45:45">
      <c r="AS4462" s="47"/>
    </row>
    <row r="4463" spans="45:45">
      <c r="AS4463" s="47"/>
    </row>
    <row r="4464" spans="45:45">
      <c r="AS4464" s="47"/>
    </row>
    <row r="4465" spans="45:45">
      <c r="AS4465" s="47"/>
    </row>
    <row r="4466" spans="45:45">
      <c r="AS4466" s="47"/>
    </row>
    <row r="4467" spans="45:45">
      <c r="AS4467" s="47"/>
    </row>
    <row r="4468" spans="45:45">
      <c r="AS4468" s="47"/>
    </row>
    <row r="4469" spans="45:45">
      <c r="AS4469" s="47"/>
    </row>
    <row r="4470" spans="45:45">
      <c r="AS4470" s="47"/>
    </row>
    <row r="4471" spans="45:45">
      <c r="AS4471" s="47"/>
    </row>
    <row r="4472" spans="45:45">
      <c r="AS4472" s="47"/>
    </row>
    <row r="4473" spans="45:45">
      <c r="AS4473" s="47"/>
    </row>
    <row r="4474" spans="45:45">
      <c r="AS4474" s="47"/>
    </row>
    <row r="4475" spans="45:45">
      <c r="AS4475" s="47"/>
    </row>
    <row r="4476" spans="45:45">
      <c r="AS4476" s="47"/>
    </row>
    <row r="4477" spans="45:45">
      <c r="AS4477" s="47"/>
    </row>
    <row r="4478" spans="45:45">
      <c r="AS4478" s="47"/>
    </row>
    <row r="4479" spans="45:45">
      <c r="AS4479" s="47"/>
    </row>
    <row r="4480" spans="45:45">
      <c r="AS4480" s="47"/>
    </row>
    <row r="4481" spans="45:45">
      <c r="AS4481" s="47"/>
    </row>
    <row r="4482" spans="45:45">
      <c r="AS4482" s="47"/>
    </row>
    <row r="4483" spans="45:45">
      <c r="AS4483" s="47"/>
    </row>
    <row r="4484" spans="45:45">
      <c r="AS4484" s="47"/>
    </row>
    <row r="4485" spans="45:45">
      <c r="AS4485" s="47"/>
    </row>
    <row r="4486" spans="45:45">
      <c r="AS4486" s="47"/>
    </row>
    <row r="4487" spans="45:45">
      <c r="AS4487" s="47"/>
    </row>
    <row r="4488" spans="45:45">
      <c r="AS4488" s="47"/>
    </row>
    <row r="4489" spans="45:45">
      <c r="AS4489" s="47"/>
    </row>
    <row r="4490" spans="45:45">
      <c r="AS4490" s="47"/>
    </row>
    <row r="4491" spans="45:45">
      <c r="AS4491" s="47"/>
    </row>
    <row r="4492" spans="45:45">
      <c r="AS4492" s="47"/>
    </row>
    <row r="4493" spans="45:45">
      <c r="AS4493" s="47"/>
    </row>
    <row r="4494" spans="45:45">
      <c r="AS4494" s="47"/>
    </row>
    <row r="4495" spans="45:45">
      <c r="AS4495" s="47"/>
    </row>
    <row r="4496" spans="45:45">
      <c r="AS4496" s="47"/>
    </row>
    <row r="4497" spans="45:45">
      <c r="AS4497" s="47"/>
    </row>
    <row r="4498" spans="45:45">
      <c r="AS4498" s="47"/>
    </row>
    <row r="4499" spans="45:45">
      <c r="AS4499" s="47"/>
    </row>
    <row r="4500" spans="45:45">
      <c r="AS4500" s="47"/>
    </row>
    <row r="4501" spans="45:45">
      <c r="AS4501" s="47"/>
    </row>
    <row r="4502" spans="45:45">
      <c r="AS4502" s="47"/>
    </row>
    <row r="4503" spans="45:45">
      <c r="AS4503" s="47"/>
    </row>
    <row r="4504" spans="45:45">
      <c r="AS4504" s="47"/>
    </row>
    <row r="4505" spans="45:45">
      <c r="AS4505" s="47"/>
    </row>
    <row r="4506" spans="45:45">
      <c r="AS4506" s="47"/>
    </row>
    <row r="4507" spans="45:45">
      <c r="AS4507" s="47"/>
    </row>
    <row r="4508" spans="45:45">
      <c r="AS4508" s="47"/>
    </row>
    <row r="4509" spans="45:45">
      <c r="AS4509" s="47"/>
    </row>
    <row r="4510" spans="45:45">
      <c r="AS4510" s="47"/>
    </row>
    <row r="4511" spans="45:45">
      <c r="AS4511" s="47"/>
    </row>
    <row r="4512" spans="45:45">
      <c r="AS4512" s="47"/>
    </row>
    <row r="4513" spans="45:45">
      <c r="AS4513" s="47"/>
    </row>
    <row r="4514" spans="45:45">
      <c r="AS4514" s="47"/>
    </row>
    <row r="4515" spans="45:45">
      <c r="AS4515" s="47"/>
    </row>
    <row r="4516" spans="45:45">
      <c r="AS4516" s="47"/>
    </row>
    <row r="4517" spans="45:45">
      <c r="AS4517" s="47"/>
    </row>
    <row r="4518" spans="45:45">
      <c r="AS4518" s="47"/>
    </row>
    <row r="4519" spans="45:45">
      <c r="AS4519" s="47"/>
    </row>
    <row r="4520" spans="45:45">
      <c r="AS4520" s="47"/>
    </row>
    <row r="4521" spans="45:45">
      <c r="AS4521" s="47"/>
    </row>
    <row r="4522" spans="45:45">
      <c r="AS4522" s="47"/>
    </row>
    <row r="4523" spans="45:45">
      <c r="AS4523" s="47"/>
    </row>
    <row r="4524" spans="45:45">
      <c r="AS4524" s="47"/>
    </row>
    <row r="4525" spans="45:45">
      <c r="AS4525" s="47"/>
    </row>
    <row r="4526" spans="45:45">
      <c r="AS4526" s="47"/>
    </row>
    <row r="4527" spans="45:45">
      <c r="AS4527" s="47"/>
    </row>
    <row r="4528" spans="45:45">
      <c r="AS4528" s="47"/>
    </row>
    <row r="4529" spans="45:45">
      <c r="AS4529" s="47"/>
    </row>
    <row r="4530" spans="45:45">
      <c r="AS4530" s="47"/>
    </row>
    <row r="4531" spans="45:45">
      <c r="AS4531" s="47"/>
    </row>
    <row r="4532" spans="45:45">
      <c r="AS4532" s="47"/>
    </row>
    <row r="4533" spans="45:45">
      <c r="AS4533" s="47"/>
    </row>
    <row r="4534" spans="45:45">
      <c r="AS4534" s="47"/>
    </row>
    <row r="4535" spans="45:45">
      <c r="AS4535" s="47"/>
    </row>
    <row r="4536" spans="45:45">
      <c r="AS4536" s="47"/>
    </row>
    <row r="4537" spans="45:45">
      <c r="AS4537" s="47"/>
    </row>
    <row r="4538" spans="45:45">
      <c r="AS4538" s="47"/>
    </row>
    <row r="4539" spans="45:45">
      <c r="AS4539" s="47"/>
    </row>
    <row r="4540" spans="45:45">
      <c r="AS4540" s="47"/>
    </row>
    <row r="4541" spans="45:45">
      <c r="AS4541" s="47"/>
    </row>
    <row r="4542" spans="45:45">
      <c r="AS4542" s="47"/>
    </row>
    <row r="4543" spans="45:45">
      <c r="AS4543" s="47"/>
    </row>
    <row r="4544" spans="45:45">
      <c r="AS4544" s="47"/>
    </row>
    <row r="4545" spans="45:45">
      <c r="AS4545" s="47"/>
    </row>
    <row r="4546" spans="45:45">
      <c r="AS4546" s="47"/>
    </row>
    <row r="4547" spans="45:45">
      <c r="AS4547" s="47"/>
    </row>
    <row r="4548" spans="45:45">
      <c r="AS4548" s="47"/>
    </row>
    <row r="4549" spans="45:45">
      <c r="AS4549" s="47"/>
    </row>
    <row r="4550" spans="45:45">
      <c r="AS4550" s="47"/>
    </row>
    <row r="4551" spans="45:45">
      <c r="AS4551" s="47"/>
    </row>
    <row r="4552" spans="45:45">
      <c r="AS4552" s="47"/>
    </row>
    <row r="4553" spans="45:45">
      <c r="AS4553" s="47"/>
    </row>
    <row r="4554" spans="45:45">
      <c r="AS4554" s="47"/>
    </row>
    <row r="4555" spans="45:45">
      <c r="AS4555" s="47"/>
    </row>
    <row r="4556" spans="45:45">
      <c r="AS4556" s="47"/>
    </row>
    <row r="4557" spans="45:45">
      <c r="AS4557" s="47"/>
    </row>
    <row r="4558" spans="45:45">
      <c r="AS4558" s="47"/>
    </row>
    <row r="4559" spans="45:45">
      <c r="AS4559" s="47"/>
    </row>
    <row r="4560" spans="45:45">
      <c r="AS4560" s="47"/>
    </row>
    <row r="4561" spans="45:45">
      <c r="AS4561" s="47"/>
    </row>
    <row r="4562" spans="45:45">
      <c r="AS4562" s="47"/>
    </row>
    <row r="4563" spans="45:45">
      <c r="AS4563" s="47"/>
    </row>
    <row r="4564" spans="45:45">
      <c r="AS4564" s="47"/>
    </row>
    <row r="4565" spans="45:45">
      <c r="AS4565" s="47"/>
    </row>
    <row r="4566" spans="45:45">
      <c r="AS4566" s="47"/>
    </row>
    <row r="4567" spans="45:45">
      <c r="AS4567" s="47"/>
    </row>
    <row r="4568" spans="45:45">
      <c r="AS4568" s="47"/>
    </row>
    <row r="4569" spans="45:45">
      <c r="AS4569" s="47"/>
    </row>
    <row r="4570" spans="45:45">
      <c r="AS4570" s="47"/>
    </row>
    <row r="4571" spans="45:45">
      <c r="AS4571" s="47"/>
    </row>
    <row r="4572" spans="45:45">
      <c r="AS4572" s="47"/>
    </row>
    <row r="4573" spans="45:45">
      <c r="AS4573" s="47"/>
    </row>
    <row r="4574" spans="45:45">
      <c r="AS4574" s="47"/>
    </row>
    <row r="4575" spans="45:45">
      <c r="AS4575" s="47"/>
    </row>
    <row r="4576" spans="45:45">
      <c r="AS4576" s="47"/>
    </row>
    <row r="4577" spans="45:45">
      <c r="AS4577" s="47"/>
    </row>
    <row r="4578" spans="45:45">
      <c r="AS4578" s="47"/>
    </row>
    <row r="4579" spans="45:45">
      <c r="AS4579" s="47"/>
    </row>
    <row r="4580" spans="45:45">
      <c r="AS4580" s="47"/>
    </row>
    <row r="4581" spans="45:45">
      <c r="AS4581" s="47"/>
    </row>
    <row r="4582" spans="45:45">
      <c r="AS4582" s="47"/>
    </row>
    <row r="4583" spans="45:45">
      <c r="AS4583" s="47"/>
    </row>
    <row r="4584" spans="45:45">
      <c r="AS4584" s="47"/>
    </row>
    <row r="4585" spans="45:45">
      <c r="AS4585" s="47"/>
    </row>
    <row r="4586" spans="45:45">
      <c r="AS4586" s="47"/>
    </row>
    <row r="4587" spans="45:45">
      <c r="AS4587" s="47"/>
    </row>
    <row r="4588" spans="45:45">
      <c r="AS4588" s="47"/>
    </row>
    <row r="4589" spans="45:45">
      <c r="AS4589" s="47"/>
    </row>
    <row r="4590" spans="45:45">
      <c r="AS4590" s="47"/>
    </row>
    <row r="4591" spans="45:45">
      <c r="AS4591" s="47"/>
    </row>
    <row r="4592" spans="45:45">
      <c r="AS4592" s="47"/>
    </row>
    <row r="4593" spans="45:45">
      <c r="AS4593" s="47"/>
    </row>
    <row r="4594" spans="45:45">
      <c r="AS4594" s="47"/>
    </row>
    <row r="4595" spans="45:45">
      <c r="AS4595" s="47"/>
    </row>
    <row r="4596" spans="45:45">
      <c r="AS4596" s="47"/>
    </row>
    <row r="4597" spans="45:45">
      <c r="AS4597" s="47"/>
    </row>
    <row r="4598" spans="45:45">
      <c r="AS4598" s="47"/>
    </row>
    <row r="4599" spans="45:45">
      <c r="AS4599" s="47"/>
    </row>
    <row r="4600" spans="45:45">
      <c r="AS4600" s="47"/>
    </row>
    <row r="4601" spans="45:45">
      <c r="AS4601" s="47"/>
    </row>
    <row r="4602" spans="45:45">
      <c r="AS4602" s="47"/>
    </row>
    <row r="4603" spans="45:45">
      <c r="AS4603" s="47"/>
    </row>
    <row r="4604" spans="45:45">
      <c r="AS4604" s="47"/>
    </row>
    <row r="4605" spans="45:45">
      <c r="AS4605" s="47"/>
    </row>
    <row r="4606" spans="45:45">
      <c r="AS4606" s="47"/>
    </row>
    <row r="4607" spans="45:45">
      <c r="AS4607" s="47"/>
    </row>
    <row r="4608" spans="45:45">
      <c r="AS4608" s="47"/>
    </row>
    <row r="4609" spans="45:45">
      <c r="AS4609" s="47"/>
    </row>
    <row r="4610" spans="45:45">
      <c r="AS4610" s="47"/>
    </row>
    <row r="4611" spans="45:45">
      <c r="AS4611" s="47"/>
    </row>
    <row r="4612" spans="45:45">
      <c r="AS4612" s="47"/>
    </row>
    <row r="4613" spans="45:45">
      <c r="AS4613" s="47"/>
    </row>
    <row r="4614" spans="45:45">
      <c r="AS4614" s="47"/>
    </row>
    <row r="4615" spans="45:45">
      <c r="AS4615" s="47"/>
    </row>
    <row r="4616" spans="45:45">
      <c r="AS4616" s="47"/>
    </row>
    <row r="4617" spans="45:45">
      <c r="AS4617" s="47"/>
    </row>
    <row r="4618" spans="45:45">
      <c r="AS4618" s="47"/>
    </row>
    <row r="4619" spans="45:45">
      <c r="AS4619" s="47"/>
    </row>
    <row r="4620" spans="45:45">
      <c r="AS4620" s="47"/>
    </row>
    <row r="4621" spans="45:45">
      <c r="AS4621" s="47"/>
    </row>
    <row r="4622" spans="45:45">
      <c r="AS4622" s="47"/>
    </row>
    <row r="4623" spans="45:45">
      <c r="AS4623" s="47"/>
    </row>
    <row r="4624" spans="45:45">
      <c r="AS4624" s="47"/>
    </row>
    <row r="4625" spans="45:45">
      <c r="AS4625" s="47"/>
    </row>
    <row r="4626" spans="45:45">
      <c r="AS4626" s="47"/>
    </row>
    <row r="4627" spans="45:45">
      <c r="AS4627" s="47"/>
    </row>
    <row r="4628" spans="45:45">
      <c r="AS4628" s="47"/>
    </row>
    <row r="4629" spans="45:45">
      <c r="AS4629" s="47"/>
    </row>
    <row r="4630" spans="45:45">
      <c r="AS4630" s="47"/>
    </row>
    <row r="4631" spans="45:45">
      <c r="AS4631" s="47"/>
    </row>
    <row r="4632" spans="45:45">
      <c r="AS4632" s="47"/>
    </row>
    <row r="4633" spans="45:45">
      <c r="AS4633" s="47"/>
    </row>
    <row r="4634" spans="45:45">
      <c r="AS4634" s="47"/>
    </row>
    <row r="4635" spans="45:45">
      <c r="AS4635" s="47"/>
    </row>
    <row r="4636" spans="45:45">
      <c r="AS4636" s="47"/>
    </row>
    <row r="4637" spans="45:45">
      <c r="AS4637" s="47"/>
    </row>
    <row r="4638" spans="45:45">
      <c r="AS4638" s="47"/>
    </row>
    <row r="4639" spans="45:45">
      <c r="AS4639" s="47"/>
    </row>
    <row r="4640" spans="45:45">
      <c r="AS4640" s="47"/>
    </row>
    <row r="4641" spans="45:45">
      <c r="AS4641" s="47"/>
    </row>
    <row r="4642" spans="45:45">
      <c r="AS4642" s="47"/>
    </row>
    <row r="4643" spans="45:45">
      <c r="AS4643" s="47"/>
    </row>
    <row r="4644" spans="45:45">
      <c r="AS4644" s="47"/>
    </row>
    <row r="4645" spans="45:45">
      <c r="AS4645" s="47"/>
    </row>
    <row r="4646" spans="45:45">
      <c r="AS4646" s="47"/>
    </row>
    <row r="4647" spans="45:45">
      <c r="AS4647" s="47"/>
    </row>
    <row r="4648" spans="45:45">
      <c r="AS4648" s="47"/>
    </row>
    <row r="4649" spans="45:45">
      <c r="AS4649" s="47"/>
    </row>
    <row r="4650" spans="45:45">
      <c r="AS4650" s="47"/>
    </row>
    <row r="4651" spans="45:45">
      <c r="AS4651" s="47"/>
    </row>
    <row r="4652" spans="45:45">
      <c r="AS4652" s="47"/>
    </row>
    <row r="4653" spans="45:45">
      <c r="AS4653" s="47"/>
    </row>
    <row r="4654" spans="45:45">
      <c r="AS4654" s="47"/>
    </row>
    <row r="4655" spans="45:45">
      <c r="AS4655" s="47"/>
    </row>
    <row r="4656" spans="45:45">
      <c r="AS4656" s="47"/>
    </row>
    <row r="4657" spans="45:45">
      <c r="AS4657" s="47"/>
    </row>
    <row r="4658" spans="45:45">
      <c r="AS4658" s="47"/>
    </row>
    <row r="4659" spans="45:45">
      <c r="AS4659" s="47"/>
    </row>
    <row r="4660" spans="45:45">
      <c r="AS4660" s="47"/>
    </row>
    <row r="4661" spans="45:45">
      <c r="AS4661" s="47"/>
    </row>
    <row r="4662" spans="45:45">
      <c r="AS4662" s="47"/>
    </row>
    <row r="4663" spans="45:45">
      <c r="AS4663" s="47"/>
    </row>
    <row r="4664" spans="45:45">
      <c r="AS4664" s="47"/>
    </row>
    <row r="4665" spans="45:45">
      <c r="AS4665" s="47"/>
    </row>
    <row r="4666" spans="45:45">
      <c r="AS4666" s="47"/>
    </row>
    <row r="4667" spans="45:45">
      <c r="AS4667" s="47"/>
    </row>
    <row r="4668" spans="45:45">
      <c r="AS4668" s="47"/>
    </row>
    <row r="4669" spans="45:45">
      <c r="AS4669" s="47"/>
    </row>
    <row r="4670" spans="45:45">
      <c r="AS4670" s="47"/>
    </row>
    <row r="4671" spans="45:45">
      <c r="AS4671" s="47"/>
    </row>
    <row r="4672" spans="45:45">
      <c r="AS4672" s="47"/>
    </row>
    <row r="4673" spans="45:45">
      <c r="AS4673" s="47"/>
    </row>
    <row r="4674" spans="45:45">
      <c r="AS4674" s="47"/>
    </row>
    <row r="4675" spans="45:45">
      <c r="AS4675" s="47"/>
    </row>
    <row r="4676" spans="45:45">
      <c r="AS4676" s="47"/>
    </row>
    <row r="4677" spans="45:45">
      <c r="AS4677" s="47"/>
    </row>
    <row r="4678" spans="45:45">
      <c r="AS4678" s="47"/>
    </row>
    <row r="4679" spans="45:45">
      <c r="AS4679" s="47"/>
    </row>
    <row r="4680" spans="45:45">
      <c r="AS4680" s="47"/>
    </row>
    <row r="4681" spans="45:45">
      <c r="AS4681" s="47"/>
    </row>
    <row r="4682" spans="45:45">
      <c r="AS4682" s="47"/>
    </row>
    <row r="4683" spans="45:45">
      <c r="AS4683" s="47"/>
    </row>
    <row r="4684" spans="45:45">
      <c r="AS4684" s="47"/>
    </row>
    <row r="4685" spans="45:45">
      <c r="AS4685" s="47"/>
    </row>
    <row r="4686" spans="45:45">
      <c r="AS4686" s="47"/>
    </row>
    <row r="4687" spans="45:45">
      <c r="AS4687" s="47"/>
    </row>
    <row r="4688" spans="45:45">
      <c r="AS4688" s="47"/>
    </row>
    <row r="4689" spans="45:45">
      <c r="AS4689" s="47"/>
    </row>
    <row r="4690" spans="45:45">
      <c r="AS4690" s="47"/>
    </row>
    <row r="4691" spans="45:45">
      <c r="AS4691" s="47"/>
    </row>
    <row r="4692" spans="45:45">
      <c r="AS4692" s="47"/>
    </row>
    <row r="4693" spans="45:45">
      <c r="AS4693" s="47"/>
    </row>
    <row r="4694" spans="45:45">
      <c r="AS4694" s="47"/>
    </row>
    <row r="4695" spans="45:45">
      <c r="AS4695" s="47"/>
    </row>
    <row r="4696" spans="45:45">
      <c r="AS4696" s="47"/>
    </row>
    <row r="4697" spans="45:45">
      <c r="AS4697" s="47"/>
    </row>
    <row r="4698" spans="45:45">
      <c r="AS4698" s="47"/>
    </row>
    <row r="4699" spans="45:45">
      <c r="AS4699" s="47"/>
    </row>
    <row r="4700" spans="45:45">
      <c r="AS4700" s="47"/>
    </row>
    <row r="4701" spans="45:45">
      <c r="AS4701" s="47"/>
    </row>
    <row r="4702" spans="45:45">
      <c r="AS4702" s="47"/>
    </row>
    <row r="4703" spans="45:45">
      <c r="AS4703" s="47"/>
    </row>
    <row r="4704" spans="45:45">
      <c r="AS4704" s="47"/>
    </row>
    <row r="4705" spans="45:45">
      <c r="AS4705" s="47"/>
    </row>
    <row r="4706" spans="45:45">
      <c r="AS4706" s="47"/>
    </row>
    <row r="4707" spans="45:45">
      <c r="AS4707" s="47"/>
    </row>
    <row r="4708" spans="45:45">
      <c r="AS4708" s="47"/>
    </row>
    <row r="4709" spans="45:45">
      <c r="AS4709" s="47"/>
    </row>
    <row r="4710" spans="45:45">
      <c r="AS4710" s="47"/>
    </row>
    <row r="4711" spans="45:45">
      <c r="AS4711" s="47"/>
    </row>
    <row r="4712" spans="45:45">
      <c r="AS4712" s="47"/>
    </row>
    <row r="4713" spans="45:45">
      <c r="AS4713" s="47"/>
    </row>
    <row r="4714" spans="45:45">
      <c r="AS4714" s="47"/>
    </row>
    <row r="4715" spans="45:45">
      <c r="AS4715" s="47"/>
    </row>
    <row r="4716" spans="45:45">
      <c r="AS4716" s="47"/>
    </row>
    <row r="4717" spans="45:45">
      <c r="AS4717" s="47"/>
    </row>
    <row r="4718" spans="45:45">
      <c r="AS4718" s="47"/>
    </row>
    <row r="4719" spans="45:45">
      <c r="AS4719" s="47"/>
    </row>
    <row r="4720" spans="45:45">
      <c r="AS4720" s="47"/>
    </row>
    <row r="4721" spans="45:45">
      <c r="AS4721" s="47"/>
    </row>
    <row r="4722" spans="45:45">
      <c r="AS4722" s="47"/>
    </row>
    <row r="4723" spans="45:45">
      <c r="AS4723" s="47"/>
    </row>
    <row r="4724" spans="45:45">
      <c r="AS4724" s="47"/>
    </row>
    <row r="4725" spans="45:45">
      <c r="AS4725" s="47"/>
    </row>
    <row r="4726" spans="45:45">
      <c r="AS4726" s="47"/>
    </row>
    <row r="4727" spans="45:45">
      <c r="AS4727" s="47"/>
    </row>
    <row r="4728" spans="45:45">
      <c r="AS4728" s="47"/>
    </row>
    <row r="4729" spans="45:45">
      <c r="AS4729" s="47"/>
    </row>
    <row r="4730" spans="45:45">
      <c r="AS4730" s="47"/>
    </row>
    <row r="4731" spans="45:45">
      <c r="AS4731" s="47"/>
    </row>
    <row r="4732" spans="45:45">
      <c r="AS4732" s="47"/>
    </row>
    <row r="4733" spans="45:45">
      <c r="AS4733" s="47"/>
    </row>
    <row r="4734" spans="45:45">
      <c r="AS4734" s="47"/>
    </row>
    <row r="4735" spans="45:45">
      <c r="AS4735" s="47"/>
    </row>
    <row r="4736" spans="45:45">
      <c r="AS4736" s="47"/>
    </row>
    <row r="4737" spans="45:45">
      <c r="AS4737" s="47"/>
    </row>
    <row r="4738" spans="45:45">
      <c r="AS4738" s="47"/>
    </row>
    <row r="4739" spans="45:45">
      <c r="AS4739" s="47"/>
    </row>
    <row r="4740" spans="45:45">
      <c r="AS4740" s="47"/>
    </row>
    <row r="4741" spans="45:45">
      <c r="AS4741" s="47"/>
    </row>
    <row r="4742" spans="45:45">
      <c r="AS4742" s="47"/>
    </row>
    <row r="4743" spans="45:45">
      <c r="AS4743" s="47"/>
    </row>
    <row r="4744" spans="45:45">
      <c r="AS4744" s="47"/>
    </row>
    <row r="4745" spans="45:45">
      <c r="AS4745" s="47"/>
    </row>
    <row r="4746" spans="45:45">
      <c r="AS4746" s="47"/>
    </row>
    <row r="4747" spans="45:45">
      <c r="AS4747" s="47"/>
    </row>
    <row r="4748" spans="45:45">
      <c r="AS4748" s="47"/>
    </row>
    <row r="4749" spans="45:45">
      <c r="AS4749" s="47"/>
    </row>
    <row r="4750" spans="45:45">
      <c r="AS4750" s="47"/>
    </row>
    <row r="4751" spans="45:45">
      <c r="AS4751" s="47"/>
    </row>
    <row r="4752" spans="45:45">
      <c r="AS4752" s="47"/>
    </row>
    <row r="4753" spans="45:45">
      <c r="AS4753" s="47"/>
    </row>
    <row r="4754" spans="45:45">
      <c r="AS4754" s="47"/>
    </row>
    <row r="4755" spans="45:45">
      <c r="AS4755" s="47"/>
    </row>
    <row r="4756" spans="45:45">
      <c r="AS4756" s="47"/>
    </row>
    <row r="4757" spans="45:45">
      <c r="AS4757" s="47"/>
    </row>
    <row r="4758" spans="45:45">
      <c r="AS4758" s="47"/>
    </row>
    <row r="4759" spans="45:45">
      <c r="AS4759" s="47"/>
    </row>
    <row r="4760" spans="45:45">
      <c r="AS4760" s="47"/>
    </row>
    <row r="4761" spans="45:45">
      <c r="AS4761" s="47"/>
    </row>
    <row r="4762" spans="45:45">
      <c r="AS4762" s="47"/>
    </row>
    <row r="4763" spans="45:45">
      <c r="AS4763" s="47"/>
    </row>
    <row r="4764" spans="45:45">
      <c r="AS4764" s="47"/>
    </row>
    <row r="4765" spans="45:45">
      <c r="AS4765" s="47"/>
    </row>
    <row r="4766" spans="45:45">
      <c r="AS4766" s="47"/>
    </row>
    <row r="4767" spans="45:45">
      <c r="AS4767" s="47"/>
    </row>
    <row r="4768" spans="45:45">
      <c r="AS4768" s="47"/>
    </row>
    <row r="4769" spans="45:45">
      <c r="AS4769" s="47"/>
    </row>
    <row r="4770" spans="45:45">
      <c r="AS4770" s="47"/>
    </row>
    <row r="4771" spans="45:45">
      <c r="AS4771" s="47"/>
    </row>
    <row r="4772" spans="45:45">
      <c r="AS4772" s="47"/>
    </row>
    <row r="4773" spans="45:45">
      <c r="AS4773" s="47"/>
    </row>
    <row r="4774" spans="45:45">
      <c r="AS4774" s="47"/>
    </row>
    <row r="4775" spans="45:45">
      <c r="AS4775" s="47"/>
    </row>
    <row r="4776" spans="45:45">
      <c r="AS4776" s="47"/>
    </row>
    <row r="4777" spans="45:45">
      <c r="AS4777" s="47"/>
    </row>
    <row r="4778" spans="45:45">
      <c r="AS4778" s="47"/>
    </row>
    <row r="4779" spans="45:45">
      <c r="AS4779" s="47"/>
    </row>
    <row r="4780" spans="45:45">
      <c r="AS4780" s="47"/>
    </row>
    <row r="4781" spans="45:45">
      <c r="AS4781" s="47"/>
    </row>
    <row r="4782" spans="45:45">
      <c r="AS4782" s="47"/>
    </row>
    <row r="4783" spans="45:45">
      <c r="AS4783" s="47"/>
    </row>
    <row r="4784" spans="45:45">
      <c r="AS4784" s="47"/>
    </row>
    <row r="4785" spans="45:45">
      <c r="AS4785" s="47"/>
    </row>
    <row r="4786" spans="45:45">
      <c r="AS4786" s="47"/>
    </row>
    <row r="4787" spans="45:45">
      <c r="AS4787" s="47"/>
    </row>
    <row r="4788" spans="45:45">
      <c r="AS4788" s="47"/>
    </row>
    <row r="4789" spans="45:45">
      <c r="AS4789" s="47"/>
    </row>
    <row r="4790" spans="45:45">
      <c r="AS4790" s="47"/>
    </row>
    <row r="4791" spans="45:45">
      <c r="AS4791" s="47"/>
    </row>
    <row r="4792" spans="45:45">
      <c r="AS4792" s="47"/>
    </row>
    <row r="4793" spans="45:45">
      <c r="AS4793" s="47"/>
    </row>
    <row r="4794" spans="45:45">
      <c r="AS4794" s="47"/>
    </row>
    <row r="4795" spans="45:45">
      <c r="AS4795" s="47"/>
    </row>
    <row r="4796" spans="45:45">
      <c r="AS4796" s="47"/>
    </row>
    <row r="4797" spans="45:45">
      <c r="AS4797" s="47"/>
    </row>
    <row r="4798" spans="45:45">
      <c r="AS4798" s="47"/>
    </row>
    <row r="4799" spans="45:45">
      <c r="AS4799" s="47"/>
    </row>
    <row r="4800" spans="45:45">
      <c r="AS4800" s="47"/>
    </row>
    <row r="4801" spans="45:45">
      <c r="AS4801" s="47"/>
    </row>
    <row r="4802" spans="45:45">
      <c r="AS4802" s="47"/>
    </row>
    <row r="4803" spans="45:45">
      <c r="AS4803" s="47"/>
    </row>
    <row r="4804" spans="45:45">
      <c r="AS4804" s="47"/>
    </row>
    <row r="4805" spans="45:45">
      <c r="AS4805" s="47"/>
    </row>
    <row r="4806" spans="45:45">
      <c r="AS4806" s="47"/>
    </row>
    <row r="4807" spans="45:45">
      <c r="AS4807" s="47"/>
    </row>
    <row r="4808" spans="45:45">
      <c r="AS4808" s="47"/>
    </row>
    <row r="4809" spans="45:45">
      <c r="AS4809" s="47"/>
    </row>
    <row r="4810" spans="45:45">
      <c r="AS4810" s="47"/>
    </row>
    <row r="4811" spans="45:45">
      <c r="AS4811" s="47"/>
    </row>
    <row r="4812" spans="45:45">
      <c r="AS4812" s="47"/>
    </row>
    <row r="4813" spans="45:45">
      <c r="AS4813" s="47"/>
    </row>
    <row r="4814" spans="45:45">
      <c r="AS4814" s="47"/>
    </row>
    <row r="4815" spans="45:45">
      <c r="AS4815" s="47"/>
    </row>
    <row r="4816" spans="45:45">
      <c r="AS4816" s="47"/>
    </row>
    <row r="4817" spans="45:45">
      <c r="AS4817" s="47"/>
    </row>
    <row r="4818" spans="45:45">
      <c r="AS4818" s="47"/>
    </row>
    <row r="4819" spans="45:45">
      <c r="AS4819" s="47"/>
    </row>
    <row r="4820" spans="45:45">
      <c r="AS4820" s="47"/>
    </row>
    <row r="4821" spans="45:45">
      <c r="AS4821" s="47"/>
    </row>
    <row r="4822" spans="45:45">
      <c r="AS4822" s="47"/>
    </row>
    <row r="4823" spans="45:45">
      <c r="AS4823" s="47"/>
    </row>
    <row r="4824" spans="45:45">
      <c r="AS4824" s="47"/>
    </row>
    <row r="4825" spans="45:45">
      <c r="AS4825" s="47"/>
    </row>
    <row r="4826" spans="45:45">
      <c r="AS4826" s="47"/>
    </row>
    <row r="4827" spans="45:45">
      <c r="AS4827" s="47"/>
    </row>
    <row r="4828" spans="45:45">
      <c r="AS4828" s="47"/>
    </row>
    <row r="4829" spans="45:45">
      <c r="AS4829" s="47"/>
    </row>
    <row r="4830" spans="45:45">
      <c r="AS4830" s="47"/>
    </row>
    <row r="4831" spans="45:45">
      <c r="AS4831" s="47"/>
    </row>
    <row r="4832" spans="45:45">
      <c r="AS4832" s="47"/>
    </row>
    <row r="4833" spans="45:45">
      <c r="AS4833" s="47"/>
    </row>
    <row r="4834" spans="45:45">
      <c r="AS4834" s="47"/>
    </row>
    <row r="4835" spans="45:45">
      <c r="AS4835" s="47"/>
    </row>
    <row r="4836" spans="45:45">
      <c r="AS4836" s="47"/>
    </row>
    <row r="4837" spans="45:45">
      <c r="AS4837" s="47"/>
    </row>
    <row r="4838" spans="45:45">
      <c r="AS4838" s="47"/>
    </row>
    <row r="4839" spans="45:45">
      <c r="AS4839" s="47"/>
    </row>
    <row r="4840" spans="45:45">
      <c r="AS4840" s="47"/>
    </row>
    <row r="4841" spans="45:45">
      <c r="AS4841" s="47"/>
    </row>
    <row r="4842" spans="45:45">
      <c r="AS4842" s="47"/>
    </row>
    <row r="4843" spans="45:45">
      <c r="AS4843" s="47"/>
    </row>
    <row r="4844" spans="45:45">
      <c r="AS4844" s="47"/>
    </row>
    <row r="4845" spans="45:45">
      <c r="AS4845" s="47"/>
    </row>
    <row r="4846" spans="45:45">
      <c r="AS4846" s="47"/>
    </row>
    <row r="4847" spans="45:45">
      <c r="AS4847" s="47"/>
    </row>
    <row r="4848" spans="45:45">
      <c r="AS4848" s="47"/>
    </row>
    <row r="4849" spans="45:45">
      <c r="AS4849" s="47"/>
    </row>
    <row r="4850" spans="45:45">
      <c r="AS4850" s="47"/>
    </row>
    <row r="4851" spans="45:45">
      <c r="AS4851" s="47"/>
    </row>
    <row r="4852" spans="45:45">
      <c r="AS4852" s="47"/>
    </row>
    <row r="4853" spans="45:45">
      <c r="AS4853" s="47"/>
    </row>
    <row r="4854" spans="45:45">
      <c r="AS4854" s="47"/>
    </row>
    <row r="4855" spans="45:45">
      <c r="AS4855" s="47"/>
    </row>
    <row r="4856" spans="45:45">
      <c r="AS4856" s="47"/>
    </row>
    <row r="4857" spans="45:45">
      <c r="AS4857" s="47"/>
    </row>
    <row r="4858" spans="45:45">
      <c r="AS4858" s="47"/>
    </row>
    <row r="4859" spans="45:45">
      <c r="AS4859" s="47"/>
    </row>
    <row r="4860" spans="45:45">
      <c r="AS4860" s="47"/>
    </row>
    <row r="4861" spans="45:45">
      <c r="AS4861" s="47"/>
    </row>
    <row r="4862" spans="45:45">
      <c r="AS4862" s="47"/>
    </row>
    <row r="4863" spans="45:45">
      <c r="AS4863" s="47"/>
    </row>
    <row r="4864" spans="45:45">
      <c r="AS4864" s="47"/>
    </row>
    <row r="4865" spans="45:45">
      <c r="AS4865" s="47"/>
    </row>
    <row r="4866" spans="45:45">
      <c r="AS4866" s="47"/>
    </row>
    <row r="4867" spans="45:45">
      <c r="AS4867" s="47"/>
    </row>
    <row r="4868" spans="45:45">
      <c r="AS4868" s="47"/>
    </row>
    <row r="4869" spans="45:45">
      <c r="AS4869" s="47"/>
    </row>
    <row r="4870" spans="45:45">
      <c r="AS4870" s="47"/>
    </row>
    <row r="4871" spans="45:45">
      <c r="AS4871" s="47"/>
    </row>
    <row r="4872" spans="45:45">
      <c r="AS4872" s="47"/>
    </row>
    <row r="4873" spans="45:45">
      <c r="AS4873" s="47"/>
    </row>
    <row r="4874" spans="45:45">
      <c r="AS4874" s="47"/>
    </row>
    <row r="4875" spans="45:45">
      <c r="AS4875" s="47"/>
    </row>
    <row r="4876" spans="45:45">
      <c r="AS4876" s="47"/>
    </row>
    <row r="4877" spans="45:45">
      <c r="AS4877" s="47"/>
    </row>
    <row r="4878" spans="45:45">
      <c r="AS4878" s="47"/>
    </row>
    <row r="4879" spans="45:45">
      <c r="AS4879" s="47"/>
    </row>
    <row r="4880" spans="45:45">
      <c r="AS4880" s="47"/>
    </row>
    <row r="4881" spans="45:45">
      <c r="AS4881" s="47"/>
    </row>
    <row r="4882" spans="45:45">
      <c r="AS4882" s="47"/>
    </row>
    <row r="4883" spans="45:45">
      <c r="AS4883" s="47"/>
    </row>
    <row r="4884" spans="45:45">
      <c r="AS4884" s="47"/>
    </row>
    <row r="4885" spans="45:45">
      <c r="AS4885" s="47"/>
    </row>
    <row r="4886" spans="45:45">
      <c r="AS4886" s="47"/>
    </row>
    <row r="4887" spans="45:45">
      <c r="AS4887" s="47"/>
    </row>
    <row r="4888" spans="45:45">
      <c r="AS4888" s="47"/>
    </row>
    <row r="4889" spans="45:45">
      <c r="AS4889" s="47"/>
    </row>
    <row r="4890" spans="45:45">
      <c r="AS4890" s="47"/>
    </row>
    <row r="4891" spans="45:45">
      <c r="AS4891" s="47"/>
    </row>
    <row r="4892" spans="45:45">
      <c r="AS4892" s="47"/>
    </row>
    <row r="4893" spans="45:45">
      <c r="AS4893" s="47"/>
    </row>
    <row r="4894" spans="45:45">
      <c r="AS4894" s="47"/>
    </row>
    <row r="4895" spans="45:45">
      <c r="AS4895" s="47"/>
    </row>
    <row r="4896" spans="45:45">
      <c r="AS4896" s="47"/>
    </row>
    <row r="4897" spans="45:45">
      <c r="AS4897" s="47"/>
    </row>
    <row r="4898" spans="45:45">
      <c r="AS4898" s="47"/>
    </row>
    <row r="4899" spans="45:45">
      <c r="AS4899" s="47"/>
    </row>
    <row r="4900" spans="45:45">
      <c r="AS4900" s="47"/>
    </row>
    <row r="4901" spans="45:45">
      <c r="AS4901" s="47"/>
    </row>
    <row r="4902" spans="45:45">
      <c r="AS4902" s="47"/>
    </row>
    <row r="4903" spans="45:45">
      <c r="AS4903" s="47"/>
    </row>
    <row r="4904" spans="45:45">
      <c r="AS4904" s="47"/>
    </row>
    <row r="4905" spans="45:45">
      <c r="AS4905" s="47"/>
    </row>
    <row r="4906" spans="45:45">
      <c r="AS4906" s="47"/>
    </row>
    <row r="4907" spans="45:45">
      <c r="AS4907" s="47"/>
    </row>
    <row r="4908" spans="45:45">
      <c r="AS4908" s="47"/>
    </row>
    <row r="4909" spans="45:45">
      <c r="AS4909" s="47"/>
    </row>
    <row r="4910" spans="45:45">
      <c r="AS4910" s="47"/>
    </row>
    <row r="4911" spans="45:45">
      <c r="AS4911" s="47"/>
    </row>
    <row r="4912" spans="45:45">
      <c r="AS4912" s="47"/>
    </row>
    <row r="4913" spans="45:45">
      <c r="AS4913" s="47"/>
    </row>
    <row r="4914" spans="45:45">
      <c r="AS4914" s="47"/>
    </row>
    <row r="4915" spans="45:45">
      <c r="AS4915" s="47"/>
    </row>
    <row r="4916" spans="45:45">
      <c r="AS4916" s="47"/>
    </row>
    <row r="4917" spans="45:45">
      <c r="AS4917" s="47"/>
    </row>
    <row r="4918" spans="45:45">
      <c r="AS4918" s="47"/>
    </row>
    <row r="4919" spans="45:45">
      <c r="AS4919" s="47"/>
    </row>
    <row r="4920" spans="45:45">
      <c r="AS4920" s="47"/>
    </row>
    <row r="4921" spans="45:45">
      <c r="AS4921" s="47"/>
    </row>
    <row r="4922" spans="45:45">
      <c r="AS4922" s="47"/>
    </row>
    <row r="4923" spans="45:45">
      <c r="AS4923" s="47"/>
    </row>
    <row r="4924" spans="45:45">
      <c r="AS4924" s="47"/>
    </row>
    <row r="4925" spans="45:45">
      <c r="AS4925" s="47"/>
    </row>
    <row r="4926" spans="45:45">
      <c r="AS4926" s="47"/>
    </row>
    <row r="4927" spans="45:45">
      <c r="AS4927" s="47"/>
    </row>
    <row r="4928" spans="45:45">
      <c r="AS4928" s="47"/>
    </row>
    <row r="4929" spans="45:45">
      <c r="AS4929" s="47"/>
    </row>
    <row r="4930" spans="45:45">
      <c r="AS4930" s="47"/>
    </row>
    <row r="4931" spans="45:45">
      <c r="AS4931" s="47"/>
    </row>
    <row r="4932" spans="45:45">
      <c r="AS4932" s="47"/>
    </row>
    <row r="4933" spans="45:45">
      <c r="AS4933" s="47"/>
    </row>
    <row r="4934" spans="45:45">
      <c r="AS4934" s="47"/>
    </row>
    <row r="4935" spans="45:45">
      <c r="AS4935" s="47"/>
    </row>
    <row r="4936" spans="45:45">
      <c r="AS4936" s="47"/>
    </row>
    <row r="4937" spans="45:45">
      <c r="AS4937" s="47"/>
    </row>
    <row r="4938" spans="45:45">
      <c r="AS4938" s="47"/>
    </row>
    <row r="4939" spans="45:45">
      <c r="AS4939" s="47"/>
    </row>
    <row r="4940" spans="45:45">
      <c r="AS4940" s="47"/>
    </row>
    <row r="4941" spans="45:45">
      <c r="AS4941" s="47"/>
    </row>
    <row r="4942" spans="45:45">
      <c r="AS4942" s="47"/>
    </row>
    <row r="4943" spans="45:45">
      <c r="AS4943" s="47"/>
    </row>
    <row r="4944" spans="45:45">
      <c r="AS4944" s="47"/>
    </row>
    <row r="4945" spans="45:45">
      <c r="AS4945" s="47"/>
    </row>
    <row r="4946" spans="45:45">
      <c r="AS4946" s="47"/>
    </row>
    <row r="4947" spans="45:45">
      <c r="AS4947" s="47"/>
    </row>
    <row r="4948" spans="45:45">
      <c r="AS4948" s="47"/>
    </row>
    <row r="4949" spans="45:45">
      <c r="AS4949" s="47"/>
    </row>
    <row r="4950" spans="45:45">
      <c r="AS4950" s="47"/>
    </row>
    <row r="4951" spans="45:45">
      <c r="AS4951" s="47"/>
    </row>
    <row r="4952" spans="45:45">
      <c r="AS4952" s="47"/>
    </row>
    <row r="4953" spans="45:45">
      <c r="AS4953" s="47"/>
    </row>
    <row r="4954" spans="45:45">
      <c r="AS4954" s="47"/>
    </row>
    <row r="4955" spans="45:45">
      <c r="AS4955" s="47"/>
    </row>
    <row r="4956" spans="45:45">
      <c r="AS4956" s="47"/>
    </row>
    <row r="4957" spans="45:45">
      <c r="AS4957" s="47"/>
    </row>
    <row r="4958" spans="45:45">
      <c r="AS4958" s="47"/>
    </row>
    <row r="4959" spans="45:45">
      <c r="AS4959" s="47"/>
    </row>
    <row r="4960" spans="45:45">
      <c r="AS4960" s="47"/>
    </row>
    <row r="4961" spans="45:45">
      <c r="AS4961" s="47"/>
    </row>
    <row r="4962" spans="45:45">
      <c r="AS4962" s="47"/>
    </row>
    <row r="4963" spans="45:45">
      <c r="AS4963" s="47"/>
    </row>
    <row r="4964" spans="45:45">
      <c r="AS4964" s="47"/>
    </row>
    <row r="4965" spans="45:45">
      <c r="AS4965" s="47"/>
    </row>
    <row r="4966" spans="45:45">
      <c r="AS4966" s="47"/>
    </row>
    <row r="4967" spans="45:45">
      <c r="AS4967" s="47"/>
    </row>
    <row r="4968" spans="45:45">
      <c r="AS4968" s="47"/>
    </row>
    <row r="4969" spans="45:45">
      <c r="AS4969" s="47"/>
    </row>
    <row r="4970" spans="45:45">
      <c r="AS4970" s="47"/>
    </row>
    <row r="4971" spans="45:45">
      <c r="AS4971" s="47"/>
    </row>
    <row r="4972" spans="45:45">
      <c r="AS4972" s="47"/>
    </row>
    <row r="4973" spans="45:45">
      <c r="AS4973" s="47"/>
    </row>
    <row r="4974" spans="45:45">
      <c r="AS4974" s="47"/>
    </row>
    <row r="4975" spans="45:45">
      <c r="AS4975" s="47"/>
    </row>
    <row r="4976" spans="45:45">
      <c r="AS4976" s="47"/>
    </row>
    <row r="4977" spans="45:45">
      <c r="AS4977" s="47"/>
    </row>
    <row r="4978" spans="45:45">
      <c r="AS4978" s="47"/>
    </row>
    <row r="4979" spans="45:45">
      <c r="AS4979" s="47"/>
    </row>
    <row r="4980" spans="45:45">
      <c r="AS4980" s="47"/>
    </row>
    <row r="4981" spans="45:45">
      <c r="AS4981" s="47"/>
    </row>
    <row r="4982" spans="45:45">
      <c r="AS4982" s="47"/>
    </row>
    <row r="4983" spans="45:45">
      <c r="AS4983" s="47"/>
    </row>
    <row r="4984" spans="45:45">
      <c r="AS4984" s="47"/>
    </row>
    <row r="4985" spans="45:45">
      <c r="AS4985" s="47"/>
    </row>
    <row r="4986" spans="45:45">
      <c r="AS4986" s="47"/>
    </row>
    <row r="4987" spans="45:45">
      <c r="AS4987" s="47"/>
    </row>
    <row r="4988" spans="45:45">
      <c r="AS4988" s="47"/>
    </row>
    <row r="4989" spans="45:45">
      <c r="AS4989" s="47"/>
    </row>
    <row r="4990" spans="45:45">
      <c r="AS4990" s="47"/>
    </row>
    <row r="4991" spans="45:45">
      <c r="AS4991" s="47"/>
    </row>
    <row r="4992" spans="45:45">
      <c r="AS4992" s="47"/>
    </row>
    <row r="4993" spans="45:45">
      <c r="AS4993" s="47"/>
    </row>
    <row r="4994" spans="45:45">
      <c r="AS4994" s="47"/>
    </row>
    <row r="4995" spans="45:45">
      <c r="AS4995" s="47"/>
    </row>
    <row r="4996" spans="45:45">
      <c r="AS4996" s="47"/>
    </row>
    <row r="4997" spans="45:45">
      <c r="AS4997" s="47"/>
    </row>
    <row r="4998" spans="45:45">
      <c r="AS4998" s="47"/>
    </row>
    <row r="4999" spans="45:45">
      <c r="AS4999" s="47"/>
    </row>
    <row r="5000" spans="45:45">
      <c r="AS5000" s="47"/>
    </row>
    <row r="5001" spans="45:45">
      <c r="AS5001" s="47"/>
    </row>
    <row r="5002" spans="45:45">
      <c r="AS5002" s="47"/>
    </row>
    <row r="5003" spans="45:45">
      <c r="AS5003" s="47"/>
    </row>
    <row r="5004" spans="45:45">
      <c r="AS5004" s="47"/>
    </row>
    <row r="5005" spans="45:45">
      <c r="AS5005" s="47"/>
    </row>
    <row r="5006" spans="45:45">
      <c r="AS5006" s="47"/>
    </row>
    <row r="5007" spans="45:45">
      <c r="AS5007" s="47"/>
    </row>
    <row r="5008" spans="45:45">
      <c r="AS5008" s="47"/>
    </row>
    <row r="5009" spans="45:45">
      <c r="AS5009" s="47"/>
    </row>
    <row r="5010" spans="45:45">
      <c r="AS5010" s="47"/>
    </row>
    <row r="5011" spans="45:45">
      <c r="AS5011" s="47"/>
    </row>
    <row r="5012" spans="45:45">
      <c r="AS5012" s="47"/>
    </row>
    <row r="5013" spans="45:45">
      <c r="AS5013" s="47"/>
    </row>
    <row r="5014" spans="45:45">
      <c r="AS5014" s="47"/>
    </row>
    <row r="5015" spans="45:45">
      <c r="AS5015" s="47"/>
    </row>
    <row r="5016" spans="45:45">
      <c r="AS5016" s="47"/>
    </row>
    <row r="5017" spans="45:45">
      <c r="AS5017" s="47"/>
    </row>
    <row r="5018" spans="45:45">
      <c r="AS5018" s="47"/>
    </row>
    <row r="5019" spans="45:45">
      <c r="AS5019" s="47"/>
    </row>
    <row r="5020" spans="45:45">
      <c r="AS5020" s="47"/>
    </row>
    <row r="5021" spans="45:45">
      <c r="AS5021" s="47"/>
    </row>
    <row r="5022" spans="45:45">
      <c r="AS5022" s="47"/>
    </row>
    <row r="5023" spans="45:45">
      <c r="AS5023" s="47"/>
    </row>
    <row r="5024" spans="45:45">
      <c r="AS5024" s="47"/>
    </row>
    <row r="5025" spans="45:45">
      <c r="AS5025" s="47"/>
    </row>
    <row r="5026" spans="45:45">
      <c r="AS5026" s="47"/>
    </row>
    <row r="5027" spans="45:45">
      <c r="AS5027" s="47"/>
    </row>
    <row r="5028" spans="45:45">
      <c r="AS5028" s="47"/>
    </row>
    <row r="5029" spans="45:45">
      <c r="AS5029" s="47"/>
    </row>
    <row r="5030" spans="45:45">
      <c r="AS5030" s="47"/>
    </row>
    <row r="5031" spans="45:45">
      <c r="AS5031" s="47"/>
    </row>
    <row r="5032" spans="45:45">
      <c r="AS5032" s="47"/>
    </row>
    <row r="5033" spans="45:45">
      <c r="AS5033" s="47"/>
    </row>
    <row r="5034" spans="45:45">
      <c r="AS5034" s="47"/>
    </row>
    <row r="5035" spans="45:45">
      <c r="AS5035" s="47"/>
    </row>
    <row r="5036" spans="45:45">
      <c r="AS5036" s="47"/>
    </row>
    <row r="5037" spans="45:45">
      <c r="AS5037" s="47"/>
    </row>
    <row r="5038" spans="45:45">
      <c r="AS5038" s="47"/>
    </row>
    <row r="5039" spans="45:45">
      <c r="AS5039" s="47"/>
    </row>
    <row r="5040" spans="45:45">
      <c r="AS5040" s="47"/>
    </row>
    <row r="5041" spans="45:45">
      <c r="AS5041" s="47"/>
    </row>
    <row r="5042" spans="45:45">
      <c r="AS5042" s="47"/>
    </row>
    <row r="5043" spans="45:45">
      <c r="AS5043" s="47"/>
    </row>
    <row r="5044" spans="45:45">
      <c r="AS5044" s="47"/>
    </row>
    <row r="5045" spans="45:45">
      <c r="AS5045" s="47"/>
    </row>
    <row r="5046" spans="45:45">
      <c r="AS5046" s="47"/>
    </row>
    <row r="5047" spans="45:45">
      <c r="AS5047" s="47"/>
    </row>
    <row r="5048" spans="45:45">
      <c r="AS5048" s="47"/>
    </row>
    <row r="5049" spans="45:45">
      <c r="AS5049" s="47"/>
    </row>
    <row r="5050" spans="45:45">
      <c r="AS5050" s="47"/>
    </row>
    <row r="5051" spans="45:45">
      <c r="AS5051" s="47"/>
    </row>
    <row r="5052" spans="45:45">
      <c r="AS5052" s="47"/>
    </row>
    <row r="5053" spans="45:45">
      <c r="AS5053" s="47"/>
    </row>
    <row r="5054" spans="45:45">
      <c r="AS5054" s="47"/>
    </row>
    <row r="5055" spans="45:45">
      <c r="AS5055" s="47"/>
    </row>
    <row r="5056" spans="45:45">
      <c r="AS5056" s="47"/>
    </row>
    <row r="5057" spans="45:45">
      <c r="AS5057" s="47"/>
    </row>
    <row r="5058" spans="45:45">
      <c r="AS5058" s="47"/>
    </row>
    <row r="5059" spans="45:45">
      <c r="AS5059" s="47"/>
    </row>
    <row r="5060" spans="45:45">
      <c r="AS5060" s="47"/>
    </row>
    <row r="5061" spans="45:45">
      <c r="AS5061" s="47"/>
    </row>
    <row r="5062" spans="45:45">
      <c r="AS5062" s="47"/>
    </row>
    <row r="5063" spans="45:45">
      <c r="AS5063" s="47"/>
    </row>
    <row r="5064" spans="45:45">
      <c r="AS5064" s="47"/>
    </row>
    <row r="5065" spans="45:45">
      <c r="AS5065" s="47"/>
    </row>
    <row r="5066" spans="45:45">
      <c r="AS5066" s="47"/>
    </row>
    <row r="5067" spans="45:45">
      <c r="AS5067" s="47"/>
    </row>
    <row r="5068" spans="45:45">
      <c r="AS5068" s="47"/>
    </row>
    <row r="5069" spans="45:45">
      <c r="AS5069" s="47"/>
    </row>
    <row r="5070" spans="45:45">
      <c r="AS5070" s="47"/>
    </row>
    <row r="5071" spans="45:45">
      <c r="AS5071" s="47"/>
    </row>
    <row r="5072" spans="45:45">
      <c r="AS5072" s="47"/>
    </row>
    <row r="5073" spans="45:45">
      <c r="AS5073" s="47"/>
    </row>
    <row r="5074" spans="45:45">
      <c r="AS5074" s="47"/>
    </row>
    <row r="5075" spans="45:45">
      <c r="AS5075" s="47"/>
    </row>
    <row r="5076" spans="45:45">
      <c r="AS5076" s="47"/>
    </row>
    <row r="5077" spans="45:45">
      <c r="AS5077" s="47"/>
    </row>
    <row r="5078" spans="45:45">
      <c r="AS5078" s="47"/>
    </row>
    <row r="5079" spans="45:45">
      <c r="AS5079" s="47"/>
    </row>
    <row r="5080" spans="45:45">
      <c r="AS5080" s="47"/>
    </row>
    <row r="5081" spans="45:45">
      <c r="AS5081" s="47"/>
    </row>
    <row r="5082" spans="45:45">
      <c r="AS5082" s="47"/>
    </row>
    <row r="5083" spans="45:45">
      <c r="AS5083" s="47"/>
    </row>
    <row r="5084" spans="45:45">
      <c r="AS5084" s="47"/>
    </row>
    <row r="5085" spans="45:45">
      <c r="AS5085" s="47"/>
    </row>
    <row r="5086" spans="45:45">
      <c r="AS5086" s="47"/>
    </row>
    <row r="5087" spans="45:45">
      <c r="AS5087" s="47"/>
    </row>
    <row r="5088" spans="45:45">
      <c r="AS5088" s="47"/>
    </row>
    <row r="5089" spans="45:45">
      <c r="AS5089" s="47"/>
    </row>
    <row r="5090" spans="45:45">
      <c r="AS5090" s="47"/>
    </row>
    <row r="5091" spans="45:45">
      <c r="AS5091" s="47"/>
    </row>
    <row r="5092" spans="45:45">
      <c r="AS5092" s="47"/>
    </row>
    <row r="5093" spans="45:45">
      <c r="AS5093" s="47"/>
    </row>
    <row r="5094" spans="45:45">
      <c r="AS5094" s="47"/>
    </row>
    <row r="5095" spans="45:45">
      <c r="AS5095" s="47"/>
    </row>
    <row r="5096" spans="45:45">
      <c r="AS5096" s="47"/>
    </row>
    <row r="5097" spans="45:45">
      <c r="AS5097" s="47"/>
    </row>
    <row r="5098" spans="45:45">
      <c r="AS5098" s="47"/>
    </row>
    <row r="5099" spans="45:45">
      <c r="AS5099" s="47"/>
    </row>
    <row r="5100" spans="45:45">
      <c r="AS5100" s="47"/>
    </row>
    <row r="5101" spans="45:45">
      <c r="AS5101" s="47"/>
    </row>
    <row r="5102" spans="45:45">
      <c r="AS5102" s="47"/>
    </row>
    <row r="5103" spans="45:45">
      <c r="AS5103" s="47"/>
    </row>
    <row r="5104" spans="45:45">
      <c r="AS5104" s="47"/>
    </row>
    <row r="5105" spans="45:45">
      <c r="AS5105" s="47"/>
    </row>
    <row r="5106" spans="45:45">
      <c r="AS5106" s="47"/>
    </row>
    <row r="5107" spans="45:45">
      <c r="AS5107" s="47"/>
    </row>
    <row r="5108" spans="45:45">
      <c r="AS5108" s="47"/>
    </row>
    <row r="5109" spans="45:45">
      <c r="AS5109" s="47"/>
    </row>
    <row r="5110" spans="45:45">
      <c r="AS5110" s="47"/>
    </row>
    <row r="5111" spans="45:45">
      <c r="AS5111" s="47"/>
    </row>
    <row r="5112" spans="45:45">
      <c r="AS5112" s="47"/>
    </row>
    <row r="5113" spans="45:45">
      <c r="AS5113" s="47"/>
    </row>
    <row r="5114" spans="45:45">
      <c r="AS5114" s="47"/>
    </row>
    <row r="5115" spans="45:45">
      <c r="AS5115" s="47"/>
    </row>
    <row r="5116" spans="45:45">
      <c r="AS5116" s="47"/>
    </row>
    <row r="5117" spans="45:45">
      <c r="AS5117" s="47"/>
    </row>
    <row r="5118" spans="45:45">
      <c r="AS5118" s="47"/>
    </row>
    <row r="5119" spans="45:45">
      <c r="AS5119" s="47"/>
    </row>
    <row r="5120" spans="45:45">
      <c r="AS5120" s="47"/>
    </row>
    <row r="5121" spans="45:45">
      <c r="AS5121" s="47"/>
    </row>
    <row r="5122" spans="45:45">
      <c r="AS5122" s="47"/>
    </row>
    <row r="5123" spans="45:45">
      <c r="AS5123" s="47"/>
    </row>
    <row r="5124" spans="45:45">
      <c r="AS5124" s="47"/>
    </row>
    <row r="5125" spans="45:45">
      <c r="AS5125" s="47"/>
    </row>
    <row r="5126" spans="45:45">
      <c r="AS5126" s="47"/>
    </row>
    <row r="5127" spans="45:45">
      <c r="AS5127" s="47"/>
    </row>
    <row r="5128" spans="45:45">
      <c r="AS5128" s="47"/>
    </row>
    <row r="5129" spans="45:45">
      <c r="AS5129" s="47"/>
    </row>
    <row r="5130" spans="45:45">
      <c r="AS5130" s="47"/>
    </row>
    <row r="5131" spans="45:45">
      <c r="AS5131" s="47"/>
    </row>
    <row r="5132" spans="45:45">
      <c r="AS5132" s="47"/>
    </row>
    <row r="5133" spans="45:45">
      <c r="AS5133" s="47"/>
    </row>
    <row r="5134" spans="45:45">
      <c r="AS5134" s="47"/>
    </row>
    <row r="5135" spans="45:45">
      <c r="AS5135" s="47"/>
    </row>
    <row r="5136" spans="45:45">
      <c r="AS5136" s="47"/>
    </row>
    <row r="5137" spans="45:45">
      <c r="AS5137" s="47"/>
    </row>
    <row r="5138" spans="45:45">
      <c r="AS5138" s="47"/>
    </row>
    <row r="5139" spans="45:45">
      <c r="AS5139" s="47"/>
    </row>
    <row r="5140" spans="45:45">
      <c r="AS5140" s="47"/>
    </row>
    <row r="5141" spans="45:45">
      <c r="AS5141" s="47"/>
    </row>
    <row r="5142" spans="45:45">
      <c r="AS5142" s="47"/>
    </row>
    <row r="5143" spans="45:45">
      <c r="AS5143" s="47"/>
    </row>
    <row r="5144" spans="45:45">
      <c r="AS5144" s="47"/>
    </row>
    <row r="5145" spans="45:45">
      <c r="AS5145" s="47"/>
    </row>
    <row r="5146" spans="45:45">
      <c r="AS5146" s="47"/>
    </row>
    <row r="5147" spans="45:45">
      <c r="AS5147" s="47"/>
    </row>
    <row r="5148" spans="45:45">
      <c r="AS5148" s="47"/>
    </row>
    <row r="5149" spans="45:45">
      <c r="AS5149" s="47"/>
    </row>
    <row r="5150" spans="45:45">
      <c r="AS5150" s="47"/>
    </row>
    <row r="5151" spans="45:45">
      <c r="AS5151" s="47"/>
    </row>
    <row r="5152" spans="45:45">
      <c r="AS5152" s="47"/>
    </row>
    <row r="5153" spans="45:45">
      <c r="AS5153" s="47"/>
    </row>
    <row r="5154" spans="45:45">
      <c r="AS5154" s="47"/>
    </row>
    <row r="5155" spans="45:45">
      <c r="AS5155" s="47"/>
    </row>
    <row r="5156" spans="45:45">
      <c r="AS5156" s="47"/>
    </row>
    <row r="5157" spans="45:45">
      <c r="AS5157" s="47"/>
    </row>
    <row r="5158" spans="45:45">
      <c r="AS5158" s="47"/>
    </row>
    <row r="5159" spans="45:45">
      <c r="AS5159" s="47"/>
    </row>
    <row r="5160" spans="45:45">
      <c r="AS5160" s="47"/>
    </row>
    <row r="5161" spans="45:45">
      <c r="AS5161" s="47"/>
    </row>
    <row r="5162" spans="45:45">
      <c r="AS5162" s="47"/>
    </row>
    <row r="5163" spans="45:45">
      <c r="AS5163" s="47"/>
    </row>
    <row r="5164" spans="45:45">
      <c r="AS5164" s="47"/>
    </row>
    <row r="5165" spans="45:45">
      <c r="AS5165" s="47"/>
    </row>
    <row r="5166" spans="45:45">
      <c r="AS5166" s="47"/>
    </row>
    <row r="5167" spans="45:45">
      <c r="AS5167" s="47"/>
    </row>
    <row r="5168" spans="45:45">
      <c r="AS5168" s="47"/>
    </row>
    <row r="5169" spans="45:45">
      <c r="AS5169" s="47"/>
    </row>
    <row r="5170" spans="45:45">
      <c r="AS5170" s="47"/>
    </row>
    <row r="5171" spans="45:45">
      <c r="AS5171" s="47"/>
    </row>
    <row r="5172" spans="45:45">
      <c r="AS5172" s="47"/>
    </row>
    <row r="5173" spans="45:45">
      <c r="AS5173" s="47"/>
    </row>
    <row r="5174" spans="45:45">
      <c r="AS5174" s="47"/>
    </row>
    <row r="5175" spans="45:45">
      <c r="AS5175" s="47"/>
    </row>
    <row r="5176" spans="45:45">
      <c r="AS5176" s="47"/>
    </row>
    <row r="5177" spans="45:45">
      <c r="AS5177" s="47"/>
    </row>
    <row r="5178" spans="45:45">
      <c r="AS5178" s="47"/>
    </row>
    <row r="5179" spans="45:45">
      <c r="AS5179" s="47"/>
    </row>
    <row r="5180" spans="45:45">
      <c r="AS5180" s="47"/>
    </row>
    <row r="5181" spans="45:45">
      <c r="AS5181" s="47"/>
    </row>
    <row r="5182" spans="45:45">
      <c r="AS5182" s="47"/>
    </row>
    <row r="5183" spans="45:45">
      <c r="AS5183" s="47"/>
    </row>
    <row r="5184" spans="45:45">
      <c r="AS5184" s="47"/>
    </row>
    <row r="5185" spans="45:45">
      <c r="AS5185" s="47"/>
    </row>
    <row r="5186" spans="45:45">
      <c r="AS5186" s="47"/>
    </row>
    <row r="5187" spans="45:45">
      <c r="AS5187" s="47"/>
    </row>
    <row r="5188" spans="45:45">
      <c r="AS5188" s="47"/>
    </row>
    <row r="5189" spans="45:45">
      <c r="AS5189" s="47"/>
    </row>
    <row r="5190" spans="45:45">
      <c r="AS5190" s="47"/>
    </row>
    <row r="5191" spans="45:45">
      <c r="AS5191" s="47"/>
    </row>
    <row r="5192" spans="45:45">
      <c r="AS5192" s="47"/>
    </row>
    <row r="5193" spans="45:45">
      <c r="AS5193" s="47"/>
    </row>
    <row r="5194" spans="45:45">
      <c r="AS5194" s="47"/>
    </row>
    <row r="5195" spans="45:45">
      <c r="AS5195" s="47"/>
    </row>
    <row r="5196" spans="45:45">
      <c r="AS5196" s="47"/>
    </row>
    <row r="5197" spans="45:45">
      <c r="AS5197" s="47"/>
    </row>
    <row r="5198" spans="45:45">
      <c r="AS5198" s="47"/>
    </row>
    <row r="5199" spans="45:45">
      <c r="AS5199" s="47"/>
    </row>
    <row r="5200" spans="45:45">
      <c r="AS5200" s="47"/>
    </row>
    <row r="5201" spans="45:45">
      <c r="AS5201" s="47"/>
    </row>
    <row r="5202" spans="45:45">
      <c r="AS5202" s="47"/>
    </row>
    <row r="5203" spans="45:45">
      <c r="AS5203" s="47"/>
    </row>
    <row r="5204" spans="45:45">
      <c r="AS5204" s="47"/>
    </row>
    <row r="5205" spans="45:45">
      <c r="AS5205" s="47"/>
    </row>
    <row r="5206" spans="45:45">
      <c r="AS5206" s="47"/>
    </row>
    <row r="5207" spans="45:45">
      <c r="AS5207" s="47"/>
    </row>
    <row r="5208" spans="45:45">
      <c r="AS5208" s="47"/>
    </row>
    <row r="5209" spans="45:45">
      <c r="AS5209" s="47"/>
    </row>
    <row r="5210" spans="45:45">
      <c r="AS5210" s="47"/>
    </row>
    <row r="5211" spans="45:45">
      <c r="AS5211" s="47"/>
    </row>
    <row r="5212" spans="45:45">
      <c r="AS5212" s="47"/>
    </row>
    <row r="5213" spans="45:45">
      <c r="AS5213" s="47"/>
    </row>
    <row r="5214" spans="45:45">
      <c r="AS5214" s="47"/>
    </row>
    <row r="5215" spans="45:45">
      <c r="AS5215" s="47"/>
    </row>
    <row r="5216" spans="45:45">
      <c r="AS5216" s="47"/>
    </row>
    <row r="5217" spans="45:45">
      <c r="AS5217" s="47"/>
    </row>
    <row r="5218" spans="45:45">
      <c r="AS5218" s="47"/>
    </row>
    <row r="5219" spans="45:45">
      <c r="AS5219" s="47"/>
    </row>
    <row r="5220" spans="45:45">
      <c r="AS5220" s="47"/>
    </row>
    <row r="5221" spans="45:45">
      <c r="AS5221" s="47"/>
    </row>
    <row r="5222" spans="45:45">
      <c r="AS5222" s="47"/>
    </row>
    <row r="5223" spans="45:45">
      <c r="AS5223" s="47"/>
    </row>
    <row r="5224" spans="45:45">
      <c r="AS5224" s="47"/>
    </row>
    <row r="5225" spans="45:45">
      <c r="AS5225" s="47"/>
    </row>
    <row r="5226" spans="45:45">
      <c r="AS5226" s="47"/>
    </row>
    <row r="5227" spans="45:45">
      <c r="AS5227" s="47"/>
    </row>
    <row r="5228" spans="45:45">
      <c r="AS5228" s="47"/>
    </row>
    <row r="5229" spans="45:45">
      <c r="AS5229" s="47"/>
    </row>
    <row r="5230" spans="45:45">
      <c r="AS5230" s="47"/>
    </row>
    <row r="5231" spans="45:45">
      <c r="AS5231" s="47"/>
    </row>
    <row r="5232" spans="45:45">
      <c r="AS5232" s="47"/>
    </row>
    <row r="5233" spans="45:45">
      <c r="AS5233" s="47"/>
    </row>
    <row r="5234" spans="45:45">
      <c r="AS5234" s="47"/>
    </row>
    <row r="5235" spans="45:45">
      <c r="AS5235" s="47"/>
    </row>
    <row r="5236" spans="45:45">
      <c r="AS5236" s="47"/>
    </row>
    <row r="5237" spans="45:45">
      <c r="AS5237" s="47"/>
    </row>
    <row r="5238" spans="45:45">
      <c r="AS5238" s="47"/>
    </row>
    <row r="5239" spans="45:45">
      <c r="AS5239" s="47"/>
    </row>
    <row r="5240" spans="45:45">
      <c r="AS5240" s="47"/>
    </row>
    <row r="5241" spans="45:45">
      <c r="AS5241" s="47"/>
    </row>
    <row r="5242" spans="45:45">
      <c r="AS5242" s="47"/>
    </row>
    <row r="5243" spans="45:45">
      <c r="AS5243" s="47"/>
    </row>
    <row r="5244" spans="45:45">
      <c r="AS5244" s="47"/>
    </row>
    <row r="5245" spans="45:45">
      <c r="AS5245" s="47"/>
    </row>
    <row r="5246" spans="45:45">
      <c r="AS5246" s="47"/>
    </row>
    <row r="5247" spans="45:45">
      <c r="AS5247" s="47"/>
    </row>
    <row r="5248" spans="45:45">
      <c r="AS5248" s="47"/>
    </row>
    <row r="5249" spans="45:45">
      <c r="AS5249" s="47"/>
    </row>
    <row r="5250" spans="45:45">
      <c r="AS5250" s="47"/>
    </row>
    <row r="5251" spans="45:45">
      <c r="AS5251" s="47"/>
    </row>
    <row r="5252" spans="45:45">
      <c r="AS5252" s="47"/>
    </row>
    <row r="5253" spans="45:45">
      <c r="AS5253" s="47"/>
    </row>
    <row r="5254" spans="45:45">
      <c r="AS5254" s="47"/>
    </row>
    <row r="5255" spans="45:45">
      <c r="AS5255" s="47"/>
    </row>
    <row r="5256" spans="45:45">
      <c r="AS5256" s="47"/>
    </row>
    <row r="5257" spans="45:45">
      <c r="AS5257" s="47"/>
    </row>
    <row r="5258" spans="45:45">
      <c r="AS5258" s="47"/>
    </row>
    <row r="5259" spans="45:45">
      <c r="AS5259" s="47"/>
    </row>
    <row r="5260" spans="45:45">
      <c r="AS5260" s="47"/>
    </row>
    <row r="5261" spans="45:45">
      <c r="AS5261" s="47"/>
    </row>
    <row r="5262" spans="45:45">
      <c r="AS5262" s="47"/>
    </row>
    <row r="5263" spans="45:45">
      <c r="AS5263" s="47"/>
    </row>
    <row r="5264" spans="45:45">
      <c r="AS5264" s="47"/>
    </row>
    <row r="5265" spans="45:45">
      <c r="AS5265" s="47"/>
    </row>
    <row r="5266" spans="45:45">
      <c r="AS5266" s="47"/>
    </row>
    <row r="5267" spans="45:45">
      <c r="AS5267" s="47"/>
    </row>
    <row r="5268" spans="45:45">
      <c r="AS5268" s="47"/>
    </row>
    <row r="5269" spans="45:45">
      <c r="AS5269" s="47"/>
    </row>
    <row r="5270" spans="45:45">
      <c r="AS5270" s="47"/>
    </row>
    <row r="5271" spans="45:45">
      <c r="AS5271" s="47"/>
    </row>
    <row r="5272" spans="45:45">
      <c r="AS5272" s="47"/>
    </row>
    <row r="5273" spans="45:45">
      <c r="AS5273" s="47"/>
    </row>
    <row r="5274" spans="45:45">
      <c r="AS5274" s="47"/>
    </row>
    <row r="5275" spans="45:45">
      <c r="AS5275" s="47"/>
    </row>
    <row r="5276" spans="45:45">
      <c r="AS5276" s="47"/>
    </row>
    <row r="5277" spans="45:45">
      <c r="AS5277" s="47"/>
    </row>
    <row r="5278" spans="45:45">
      <c r="AS5278" s="47"/>
    </row>
    <row r="5279" spans="45:45">
      <c r="AS5279" s="47"/>
    </row>
    <row r="5280" spans="45:45">
      <c r="AS5280" s="47"/>
    </row>
    <row r="5281" spans="45:45">
      <c r="AS5281" s="47"/>
    </row>
    <row r="5282" spans="45:45">
      <c r="AS5282" s="47"/>
    </row>
    <row r="5283" spans="45:45">
      <c r="AS5283" s="47"/>
    </row>
    <row r="5284" spans="45:45">
      <c r="AS5284" s="47"/>
    </row>
    <row r="5285" spans="45:45">
      <c r="AS5285" s="47"/>
    </row>
    <row r="5286" spans="45:45">
      <c r="AS5286" s="47"/>
    </row>
    <row r="5287" spans="45:45">
      <c r="AS5287" s="47"/>
    </row>
    <row r="5288" spans="45:45">
      <c r="AS5288" s="47"/>
    </row>
    <row r="5289" spans="45:45">
      <c r="AS5289" s="47"/>
    </row>
    <row r="5290" spans="45:45">
      <c r="AS5290" s="47"/>
    </row>
    <row r="5291" spans="45:45">
      <c r="AS5291" s="47"/>
    </row>
    <row r="5292" spans="45:45">
      <c r="AS5292" s="47"/>
    </row>
    <row r="5293" spans="45:45">
      <c r="AS5293" s="47"/>
    </row>
    <row r="5294" spans="45:45">
      <c r="AS5294" s="47"/>
    </row>
    <row r="5295" spans="45:45">
      <c r="AS5295" s="47"/>
    </row>
    <row r="5296" spans="45:45">
      <c r="AS5296" s="47"/>
    </row>
    <row r="5297" spans="45:45">
      <c r="AS5297" s="47"/>
    </row>
    <row r="5298" spans="45:45">
      <c r="AS5298" s="47"/>
    </row>
    <row r="5299" spans="45:45">
      <c r="AS5299" s="47"/>
    </row>
    <row r="5300" spans="45:45">
      <c r="AS5300" s="47"/>
    </row>
    <row r="5301" spans="45:45">
      <c r="AS5301" s="47"/>
    </row>
    <row r="5302" spans="45:45">
      <c r="AS5302" s="47"/>
    </row>
    <row r="5303" spans="45:45">
      <c r="AS5303" s="47"/>
    </row>
    <row r="5304" spans="45:45">
      <c r="AS5304" s="47"/>
    </row>
    <row r="5305" spans="45:45">
      <c r="AS5305" s="47"/>
    </row>
    <row r="5306" spans="45:45">
      <c r="AS5306" s="47"/>
    </row>
    <row r="5307" spans="45:45">
      <c r="AS5307" s="47"/>
    </row>
    <row r="5308" spans="45:45">
      <c r="AS5308" s="47"/>
    </row>
    <row r="5309" spans="45:45">
      <c r="AS5309" s="47"/>
    </row>
    <row r="5310" spans="45:45">
      <c r="AS5310" s="47"/>
    </row>
    <row r="5311" spans="45:45">
      <c r="AS5311" s="47"/>
    </row>
    <row r="5312" spans="45:45">
      <c r="AS5312" s="47"/>
    </row>
    <row r="5313" spans="45:45">
      <c r="AS5313" s="47"/>
    </row>
    <row r="5314" spans="45:45">
      <c r="AS5314" s="47"/>
    </row>
    <row r="5315" spans="45:45">
      <c r="AS5315" s="47"/>
    </row>
    <row r="5316" spans="45:45">
      <c r="AS5316" s="47"/>
    </row>
    <row r="5317" spans="45:45">
      <c r="AS5317" s="47"/>
    </row>
    <row r="5318" spans="45:45">
      <c r="AS5318" s="47"/>
    </row>
    <row r="5319" spans="45:45">
      <c r="AS5319" s="47"/>
    </row>
    <row r="5320" spans="45:45">
      <c r="AS5320" s="47"/>
    </row>
    <row r="5321" spans="45:45">
      <c r="AS5321" s="47"/>
    </row>
    <row r="5322" spans="45:45">
      <c r="AS5322" s="47"/>
    </row>
    <row r="5323" spans="45:45">
      <c r="AS5323" s="47"/>
    </row>
    <row r="5324" spans="45:45">
      <c r="AS5324" s="47"/>
    </row>
    <row r="5325" spans="45:45">
      <c r="AS5325" s="47"/>
    </row>
    <row r="5326" spans="45:45">
      <c r="AS5326" s="47"/>
    </row>
    <row r="5327" spans="45:45">
      <c r="AS5327" s="47"/>
    </row>
    <row r="5328" spans="45:45">
      <c r="AS5328" s="47"/>
    </row>
    <row r="5329" spans="45:45">
      <c r="AS5329" s="47"/>
    </row>
    <row r="5330" spans="45:45">
      <c r="AS5330" s="47"/>
    </row>
    <row r="5331" spans="45:45">
      <c r="AS5331" s="47"/>
    </row>
    <row r="5332" spans="45:45">
      <c r="AS5332" s="47"/>
    </row>
    <row r="5333" spans="45:45">
      <c r="AS5333" s="47"/>
    </row>
    <row r="5334" spans="45:45">
      <c r="AS5334" s="47"/>
    </row>
    <row r="5335" spans="45:45">
      <c r="AS5335" s="47"/>
    </row>
    <row r="5336" spans="45:45">
      <c r="AS5336" s="47"/>
    </row>
    <row r="5337" spans="45:45">
      <c r="AS5337" s="47"/>
    </row>
    <row r="5338" spans="45:45">
      <c r="AS5338" s="47"/>
    </row>
    <row r="5339" spans="45:45">
      <c r="AS5339" s="47"/>
    </row>
    <row r="5340" spans="45:45">
      <c r="AS5340" s="47"/>
    </row>
    <row r="5341" spans="45:45">
      <c r="AS5341" s="47"/>
    </row>
    <row r="5342" spans="45:45">
      <c r="AS5342" s="47"/>
    </row>
    <row r="5343" spans="45:45">
      <c r="AS5343" s="47"/>
    </row>
    <row r="5344" spans="45:45">
      <c r="AS5344" s="47"/>
    </row>
    <row r="5345" spans="45:45">
      <c r="AS5345" s="47"/>
    </row>
    <row r="5346" spans="45:45">
      <c r="AS5346" s="47"/>
    </row>
    <row r="5347" spans="45:45">
      <c r="AS5347" s="47"/>
    </row>
    <row r="5348" spans="45:45">
      <c r="AS5348" s="47"/>
    </row>
    <row r="5349" spans="45:45">
      <c r="AS5349" s="47"/>
    </row>
    <row r="5350" spans="45:45">
      <c r="AS5350" s="47"/>
    </row>
    <row r="5351" spans="45:45">
      <c r="AS5351" s="47"/>
    </row>
    <row r="5352" spans="45:45">
      <c r="AS5352" s="47"/>
    </row>
    <row r="5353" spans="45:45">
      <c r="AS5353" s="47"/>
    </row>
    <row r="5354" spans="45:45">
      <c r="AS5354" s="47"/>
    </row>
    <row r="5355" spans="45:45">
      <c r="AS5355" s="47"/>
    </row>
    <row r="5356" spans="45:45">
      <c r="AS5356" s="47"/>
    </row>
    <row r="5357" spans="45:45">
      <c r="AS5357" s="47"/>
    </row>
    <row r="5358" spans="45:45">
      <c r="AS5358" s="47"/>
    </row>
    <row r="5359" spans="45:45">
      <c r="AS5359" s="47"/>
    </row>
    <row r="5360" spans="45:45">
      <c r="AS5360" s="47"/>
    </row>
    <row r="5361" spans="45:45">
      <c r="AS5361" s="47"/>
    </row>
    <row r="5362" spans="45:45">
      <c r="AS5362" s="47"/>
    </row>
    <row r="5363" spans="45:45">
      <c r="AS5363" s="47"/>
    </row>
    <row r="5364" spans="45:45">
      <c r="AS5364" s="47"/>
    </row>
    <row r="5365" spans="45:45">
      <c r="AS5365" s="47"/>
    </row>
    <row r="5366" spans="45:45">
      <c r="AS5366" s="47"/>
    </row>
    <row r="5367" spans="45:45">
      <c r="AS5367" s="47"/>
    </row>
    <row r="5368" spans="45:45">
      <c r="AS5368" s="47"/>
    </row>
    <row r="5369" spans="45:45">
      <c r="AS5369" s="47"/>
    </row>
    <row r="5370" spans="45:45">
      <c r="AS5370" s="47"/>
    </row>
    <row r="5371" spans="45:45">
      <c r="AS5371" s="47"/>
    </row>
    <row r="5372" spans="45:45">
      <c r="AS5372" s="47"/>
    </row>
    <row r="5373" spans="45:45">
      <c r="AS5373" s="47"/>
    </row>
    <row r="5374" spans="45:45">
      <c r="AS5374" s="47"/>
    </row>
    <row r="5375" spans="45:45">
      <c r="AS5375" s="47"/>
    </row>
    <row r="5376" spans="45:45">
      <c r="AS5376" s="47"/>
    </row>
    <row r="5377" spans="45:45">
      <c r="AS5377" s="47"/>
    </row>
    <row r="5378" spans="45:45">
      <c r="AS5378" s="47"/>
    </row>
    <row r="5379" spans="45:45">
      <c r="AS5379" s="47"/>
    </row>
    <row r="5380" spans="45:45">
      <c r="AS5380" s="47"/>
    </row>
    <row r="5381" spans="45:45">
      <c r="AS5381" s="47"/>
    </row>
    <row r="5382" spans="45:45">
      <c r="AS5382" s="47"/>
    </row>
    <row r="5383" spans="45:45">
      <c r="AS5383" s="47"/>
    </row>
    <row r="5384" spans="45:45">
      <c r="AS5384" s="47"/>
    </row>
    <row r="5385" spans="45:45">
      <c r="AS5385" s="47"/>
    </row>
    <row r="5386" spans="45:45">
      <c r="AS5386" s="47"/>
    </row>
    <row r="5387" spans="45:45">
      <c r="AS5387" s="47"/>
    </row>
    <row r="5388" spans="45:45">
      <c r="AS5388" s="47"/>
    </row>
    <row r="5389" spans="45:45">
      <c r="AS5389" s="47"/>
    </row>
    <row r="5390" spans="45:45">
      <c r="AS5390" s="47"/>
    </row>
    <row r="5391" spans="45:45">
      <c r="AS5391" s="47"/>
    </row>
    <row r="5392" spans="45:45">
      <c r="AS5392" s="47"/>
    </row>
    <row r="5393" spans="45:45">
      <c r="AS5393" s="47"/>
    </row>
    <row r="5394" spans="45:45">
      <c r="AS5394" s="47"/>
    </row>
    <row r="5395" spans="45:45">
      <c r="AS5395" s="47"/>
    </row>
    <row r="5396" spans="45:45">
      <c r="AS5396" s="47"/>
    </row>
    <row r="5397" spans="45:45">
      <c r="AS5397" s="47"/>
    </row>
    <row r="5398" spans="45:45">
      <c r="AS5398" s="47"/>
    </row>
    <row r="5399" spans="45:45">
      <c r="AS5399" s="47"/>
    </row>
    <row r="5400" spans="45:45">
      <c r="AS5400" s="47"/>
    </row>
    <row r="5401" spans="45:45">
      <c r="AS5401" s="47"/>
    </row>
    <row r="5402" spans="45:45">
      <c r="AS5402" s="47"/>
    </row>
    <row r="5403" spans="45:45">
      <c r="AS5403" s="47"/>
    </row>
    <row r="5404" spans="45:45">
      <c r="AS5404" s="47"/>
    </row>
    <row r="5405" spans="45:45">
      <c r="AS5405" s="47"/>
    </row>
    <row r="5406" spans="45:45">
      <c r="AS5406" s="47"/>
    </row>
    <row r="5407" spans="45:45">
      <c r="AS5407" s="47"/>
    </row>
    <row r="5408" spans="45:45">
      <c r="AS5408" s="47"/>
    </row>
    <row r="5409" spans="45:45">
      <c r="AS5409" s="47"/>
    </row>
    <row r="5410" spans="45:45">
      <c r="AS5410" s="47"/>
    </row>
    <row r="5411" spans="45:45">
      <c r="AS5411" s="47"/>
    </row>
    <row r="5412" spans="45:45">
      <c r="AS5412" s="47"/>
    </row>
    <row r="5413" spans="45:45">
      <c r="AS5413" s="47"/>
    </row>
    <row r="5414" spans="45:45">
      <c r="AS5414" s="47"/>
    </row>
    <row r="5415" spans="45:45">
      <c r="AS5415" s="47"/>
    </row>
    <row r="5416" spans="45:45">
      <c r="AS5416" s="47"/>
    </row>
    <row r="5417" spans="45:45">
      <c r="AS5417" s="47"/>
    </row>
    <row r="5418" spans="45:45">
      <c r="AS5418" s="47"/>
    </row>
    <row r="5419" spans="45:45">
      <c r="AS5419" s="47"/>
    </row>
    <row r="5420" spans="45:45">
      <c r="AS5420" s="47"/>
    </row>
    <row r="5421" spans="45:45">
      <c r="AS5421" s="47"/>
    </row>
    <row r="5422" spans="45:45">
      <c r="AS5422" s="47"/>
    </row>
    <row r="5423" spans="45:45">
      <c r="AS5423" s="47"/>
    </row>
    <row r="5424" spans="45:45">
      <c r="AS5424" s="47"/>
    </row>
    <row r="5425" spans="45:45">
      <c r="AS5425" s="47"/>
    </row>
    <row r="5426" spans="45:45">
      <c r="AS5426" s="47"/>
    </row>
    <row r="5427" spans="45:45">
      <c r="AS5427" s="47"/>
    </row>
    <row r="5428" spans="45:45">
      <c r="AS5428" s="47"/>
    </row>
    <row r="5429" spans="45:45">
      <c r="AS5429" s="47"/>
    </row>
    <row r="5430" spans="45:45">
      <c r="AS5430" s="47"/>
    </row>
    <row r="5431" spans="45:45">
      <c r="AS5431" s="47"/>
    </row>
    <row r="5432" spans="45:45">
      <c r="AS5432" s="47"/>
    </row>
    <row r="5433" spans="45:45">
      <c r="AS5433" s="47"/>
    </row>
    <row r="5434" spans="45:45">
      <c r="AS5434" s="47"/>
    </row>
    <row r="5435" spans="45:45">
      <c r="AS5435" s="47"/>
    </row>
    <row r="5436" spans="45:45">
      <c r="AS5436" s="47"/>
    </row>
    <row r="5437" spans="45:45">
      <c r="AS5437" s="47"/>
    </row>
    <row r="5438" spans="45:45">
      <c r="AS5438" s="47"/>
    </row>
    <row r="5439" spans="45:45">
      <c r="AS5439" s="47"/>
    </row>
    <row r="5440" spans="45:45">
      <c r="AS5440" s="47"/>
    </row>
    <row r="5441" spans="45:45">
      <c r="AS5441" s="47"/>
    </row>
    <row r="5442" spans="45:45">
      <c r="AS5442" s="47"/>
    </row>
    <row r="5443" spans="45:45">
      <c r="AS5443" s="47"/>
    </row>
    <row r="5444" spans="45:45">
      <c r="AS5444" s="47"/>
    </row>
    <row r="5445" spans="45:45">
      <c r="AS5445" s="47"/>
    </row>
    <row r="5446" spans="45:45">
      <c r="AS5446" s="47"/>
    </row>
    <row r="5447" spans="45:45">
      <c r="AS5447" s="47"/>
    </row>
    <row r="5448" spans="45:45">
      <c r="AS5448" s="47"/>
    </row>
    <row r="5449" spans="45:45">
      <c r="AS5449" s="47"/>
    </row>
    <row r="5450" spans="45:45">
      <c r="AS5450" s="47"/>
    </row>
    <row r="5451" spans="45:45">
      <c r="AS5451" s="47"/>
    </row>
    <row r="5452" spans="45:45">
      <c r="AS5452" s="47"/>
    </row>
    <row r="5453" spans="45:45">
      <c r="AS5453" s="47"/>
    </row>
    <row r="5454" spans="45:45">
      <c r="AS5454" s="47"/>
    </row>
    <row r="5455" spans="45:45">
      <c r="AS5455" s="47"/>
    </row>
    <row r="5456" spans="45:45">
      <c r="AS5456" s="47"/>
    </row>
    <row r="5457" spans="45:45">
      <c r="AS5457" s="47"/>
    </row>
    <row r="5458" spans="45:45">
      <c r="AS5458" s="47"/>
    </row>
    <row r="5459" spans="45:45">
      <c r="AS5459" s="47"/>
    </row>
    <row r="5460" spans="45:45">
      <c r="AS5460" s="47"/>
    </row>
    <row r="5461" spans="45:45">
      <c r="AS5461" s="47"/>
    </row>
    <row r="5462" spans="45:45">
      <c r="AS5462" s="47"/>
    </row>
    <row r="5463" spans="45:45">
      <c r="AS5463" s="47"/>
    </row>
    <row r="5464" spans="45:45">
      <c r="AS5464" s="47"/>
    </row>
    <row r="5465" spans="45:45">
      <c r="AS5465" s="47"/>
    </row>
    <row r="5466" spans="45:45">
      <c r="AS5466" s="47"/>
    </row>
    <row r="5467" spans="45:45">
      <c r="AS5467" s="47"/>
    </row>
    <row r="5468" spans="45:45">
      <c r="AS5468" s="47"/>
    </row>
    <row r="5469" spans="45:45">
      <c r="AS5469" s="47"/>
    </row>
    <row r="5470" spans="45:45">
      <c r="AS5470" s="47"/>
    </row>
    <row r="5471" spans="45:45">
      <c r="AS5471" s="47"/>
    </row>
    <row r="5472" spans="45:45">
      <c r="AS5472" s="47"/>
    </row>
    <row r="5473" spans="45:45">
      <c r="AS5473" s="47"/>
    </row>
    <row r="5474" spans="45:45">
      <c r="AS5474" s="47"/>
    </row>
    <row r="5475" spans="45:45">
      <c r="AS5475" s="47"/>
    </row>
    <row r="5476" spans="45:45">
      <c r="AS5476" s="47"/>
    </row>
    <row r="5477" spans="45:45">
      <c r="AS5477" s="47"/>
    </row>
    <row r="5478" spans="45:45">
      <c r="AS5478" s="47"/>
    </row>
    <row r="5479" spans="45:45">
      <c r="AS5479" s="47"/>
    </row>
    <row r="5480" spans="45:45">
      <c r="AS5480" s="47"/>
    </row>
    <row r="5481" spans="45:45">
      <c r="AS5481" s="47"/>
    </row>
    <row r="5482" spans="45:45">
      <c r="AS5482" s="47"/>
    </row>
    <row r="5483" spans="45:45">
      <c r="AS5483" s="47"/>
    </row>
    <row r="5484" spans="45:45">
      <c r="AS5484" s="47"/>
    </row>
    <row r="5485" spans="45:45">
      <c r="AS5485" s="47"/>
    </row>
    <row r="5486" spans="45:45">
      <c r="AS5486" s="47"/>
    </row>
    <row r="5487" spans="45:45">
      <c r="AS5487" s="47"/>
    </row>
    <row r="5488" spans="45:45">
      <c r="AS5488" s="47"/>
    </row>
    <row r="5489" spans="45:45">
      <c r="AS5489" s="47"/>
    </row>
    <row r="5490" spans="45:45">
      <c r="AS5490" s="47"/>
    </row>
    <row r="5491" spans="45:45">
      <c r="AS5491" s="47"/>
    </row>
    <row r="5492" spans="45:45">
      <c r="AS5492" s="47"/>
    </row>
    <row r="5493" spans="45:45">
      <c r="AS5493" s="47"/>
    </row>
    <row r="5494" spans="45:45">
      <c r="AS5494" s="47"/>
    </row>
    <row r="5495" spans="45:45">
      <c r="AS5495" s="47"/>
    </row>
    <row r="5496" spans="45:45">
      <c r="AS5496" s="47"/>
    </row>
    <row r="5497" spans="45:45">
      <c r="AS5497" s="47"/>
    </row>
    <row r="5498" spans="45:45">
      <c r="AS5498" s="47"/>
    </row>
    <row r="5499" spans="45:45">
      <c r="AS5499" s="47"/>
    </row>
    <row r="5500" spans="45:45">
      <c r="AS5500" s="47"/>
    </row>
    <row r="5501" spans="45:45">
      <c r="AS5501" s="47"/>
    </row>
    <row r="5502" spans="45:45">
      <c r="AS5502" s="47"/>
    </row>
    <row r="5503" spans="45:45">
      <c r="AS5503" s="47"/>
    </row>
    <row r="5504" spans="45:45">
      <c r="AS5504" s="47"/>
    </row>
    <row r="5505" spans="45:45">
      <c r="AS5505" s="47"/>
    </row>
    <row r="5506" spans="45:45">
      <c r="AS5506" s="47"/>
    </row>
    <row r="5507" spans="45:45">
      <c r="AS5507" s="47"/>
    </row>
    <row r="5508" spans="45:45">
      <c r="AS5508" s="47"/>
    </row>
    <row r="5509" spans="45:45">
      <c r="AS5509" s="47"/>
    </row>
    <row r="5510" spans="45:45">
      <c r="AS5510" s="47"/>
    </row>
    <row r="5511" spans="45:45">
      <c r="AS5511" s="47"/>
    </row>
    <row r="5512" spans="45:45">
      <c r="AS5512" s="47"/>
    </row>
    <row r="5513" spans="45:45">
      <c r="AS5513" s="47"/>
    </row>
    <row r="5514" spans="45:45">
      <c r="AS5514" s="47"/>
    </row>
    <row r="5515" spans="45:45">
      <c r="AS5515" s="47"/>
    </row>
    <row r="5516" spans="45:45">
      <c r="AS5516" s="47"/>
    </row>
    <row r="5517" spans="45:45">
      <c r="AS5517" s="47"/>
    </row>
    <row r="5518" spans="45:45">
      <c r="AS5518" s="47"/>
    </row>
    <row r="5519" spans="45:45">
      <c r="AS5519" s="47"/>
    </row>
    <row r="5520" spans="45:45">
      <c r="AS5520" s="47"/>
    </row>
    <row r="5521" spans="45:45">
      <c r="AS5521" s="47"/>
    </row>
    <row r="5522" spans="45:45">
      <c r="AS5522" s="47"/>
    </row>
    <row r="5523" spans="45:45">
      <c r="AS5523" s="47"/>
    </row>
    <row r="5524" spans="45:45">
      <c r="AS5524" s="47"/>
    </row>
    <row r="5525" spans="45:45">
      <c r="AS5525" s="47"/>
    </row>
    <row r="5526" spans="45:45">
      <c r="AS5526" s="47"/>
    </row>
    <row r="5527" spans="45:45">
      <c r="AS5527" s="47"/>
    </row>
    <row r="5528" spans="45:45">
      <c r="AS5528" s="47"/>
    </row>
    <row r="5529" spans="45:45">
      <c r="AS5529" s="47"/>
    </row>
    <row r="5530" spans="45:45">
      <c r="AS5530" s="47"/>
    </row>
    <row r="5531" spans="45:45">
      <c r="AS5531" s="47"/>
    </row>
    <row r="5532" spans="45:45">
      <c r="AS5532" s="47"/>
    </row>
    <row r="5533" spans="45:45">
      <c r="AS5533" s="47"/>
    </row>
    <row r="5534" spans="45:45">
      <c r="AS5534" s="47"/>
    </row>
    <row r="5535" spans="45:45">
      <c r="AS5535" s="47"/>
    </row>
    <row r="5536" spans="45:45">
      <c r="AS5536" s="47"/>
    </row>
    <row r="5537" spans="45:45">
      <c r="AS5537" s="47"/>
    </row>
    <row r="5538" spans="45:45">
      <c r="AS5538" s="47"/>
    </row>
    <row r="5539" spans="45:45">
      <c r="AS5539" s="47"/>
    </row>
    <row r="5540" spans="45:45">
      <c r="AS5540" s="47"/>
    </row>
    <row r="5541" spans="45:45">
      <c r="AS5541" s="47"/>
    </row>
    <row r="5542" spans="45:45">
      <c r="AS5542" s="47"/>
    </row>
    <row r="5543" spans="45:45">
      <c r="AS5543" s="47"/>
    </row>
    <row r="5544" spans="45:45">
      <c r="AS5544" s="47"/>
    </row>
    <row r="5545" spans="45:45">
      <c r="AS5545" s="47"/>
    </row>
    <row r="5546" spans="45:45">
      <c r="AS5546" s="47"/>
    </row>
    <row r="5547" spans="45:45">
      <c r="AS5547" s="47"/>
    </row>
    <row r="5548" spans="45:45">
      <c r="AS5548" s="47"/>
    </row>
    <row r="5549" spans="45:45">
      <c r="AS5549" s="47"/>
    </row>
    <row r="5550" spans="45:45">
      <c r="AS5550" s="47"/>
    </row>
    <row r="5551" spans="45:45">
      <c r="AS5551" s="47"/>
    </row>
    <row r="5552" spans="45:45">
      <c r="AS5552" s="47"/>
    </row>
    <row r="5553" spans="45:45">
      <c r="AS5553" s="47"/>
    </row>
    <row r="5554" spans="45:45">
      <c r="AS5554" s="47"/>
    </row>
    <row r="5555" spans="45:45">
      <c r="AS5555" s="47"/>
    </row>
    <row r="5556" spans="45:45">
      <c r="AS5556" s="47"/>
    </row>
    <row r="5557" spans="45:45">
      <c r="AS5557" s="47"/>
    </row>
    <row r="5558" spans="45:45">
      <c r="AS5558" s="47"/>
    </row>
    <row r="5559" spans="45:45">
      <c r="AS5559" s="47"/>
    </row>
    <row r="5560" spans="45:45">
      <c r="AS5560" s="47"/>
    </row>
    <row r="5561" spans="45:45">
      <c r="AS5561" s="47"/>
    </row>
    <row r="5562" spans="45:45">
      <c r="AS5562" s="47"/>
    </row>
    <row r="5563" spans="45:45">
      <c r="AS5563" s="47"/>
    </row>
    <row r="5564" spans="45:45">
      <c r="AS5564" s="47"/>
    </row>
    <row r="5565" spans="45:45">
      <c r="AS5565" s="47"/>
    </row>
    <row r="5566" spans="45:45">
      <c r="AS5566" s="47"/>
    </row>
    <row r="5567" spans="45:45">
      <c r="AS5567" s="47"/>
    </row>
    <row r="5568" spans="45:45">
      <c r="AS5568" s="47"/>
    </row>
    <row r="5569" spans="45:45">
      <c r="AS5569" s="47"/>
    </row>
    <row r="5570" spans="45:45">
      <c r="AS5570" s="47"/>
    </row>
    <row r="5571" spans="45:45">
      <c r="AS5571" s="47"/>
    </row>
    <row r="5572" spans="45:45">
      <c r="AS5572" s="47"/>
    </row>
    <row r="5573" spans="45:45">
      <c r="AS5573" s="47"/>
    </row>
    <row r="5574" spans="45:45">
      <c r="AS5574" s="47"/>
    </row>
    <row r="5575" spans="45:45">
      <c r="AS5575" s="47"/>
    </row>
    <row r="5576" spans="45:45">
      <c r="AS5576" s="47"/>
    </row>
    <row r="5577" spans="45:45">
      <c r="AS5577" s="47"/>
    </row>
    <row r="5578" spans="45:45">
      <c r="AS5578" s="47"/>
    </row>
    <row r="5579" spans="45:45">
      <c r="AS5579" s="47"/>
    </row>
    <row r="5580" spans="45:45">
      <c r="AS5580" s="47"/>
    </row>
    <row r="5581" spans="45:45">
      <c r="AS5581" s="47"/>
    </row>
    <row r="5582" spans="45:45">
      <c r="AS5582" s="47"/>
    </row>
    <row r="5583" spans="45:45">
      <c r="AS5583" s="47"/>
    </row>
    <row r="5584" spans="45:45">
      <c r="AS5584" s="47"/>
    </row>
    <row r="5585" spans="45:45">
      <c r="AS5585" s="47"/>
    </row>
    <row r="5586" spans="45:45">
      <c r="AS5586" s="47"/>
    </row>
    <row r="5587" spans="45:45">
      <c r="AS5587" s="47"/>
    </row>
    <row r="5588" spans="45:45">
      <c r="AS5588" s="47"/>
    </row>
    <row r="5589" spans="45:45">
      <c r="AS5589" s="47"/>
    </row>
    <row r="5590" spans="45:45">
      <c r="AS5590" s="47"/>
    </row>
    <row r="5591" spans="45:45">
      <c r="AS5591" s="47"/>
    </row>
    <row r="5592" spans="45:45">
      <c r="AS5592" s="47"/>
    </row>
    <row r="5593" spans="45:45">
      <c r="AS5593" s="47"/>
    </row>
    <row r="5594" spans="45:45">
      <c r="AS5594" s="47"/>
    </row>
    <row r="5595" spans="45:45">
      <c r="AS5595" s="47"/>
    </row>
    <row r="5596" spans="45:45">
      <c r="AS5596" s="47"/>
    </row>
    <row r="5597" spans="45:45">
      <c r="AS5597" s="47"/>
    </row>
    <row r="5598" spans="45:45">
      <c r="AS5598" s="47"/>
    </row>
    <row r="5599" spans="45:45">
      <c r="AS5599" s="47"/>
    </row>
    <row r="5600" spans="45:45">
      <c r="AS5600" s="47"/>
    </row>
    <row r="5601" spans="45:45">
      <c r="AS5601" s="47"/>
    </row>
    <row r="5602" spans="45:45">
      <c r="AS5602" s="47"/>
    </row>
    <row r="5603" spans="45:45">
      <c r="AS5603" s="47"/>
    </row>
    <row r="5604" spans="45:45">
      <c r="AS5604" s="47"/>
    </row>
    <row r="5605" spans="45:45">
      <c r="AS5605" s="47"/>
    </row>
    <row r="5606" spans="45:45">
      <c r="AS5606" s="47"/>
    </row>
    <row r="5607" spans="45:45">
      <c r="AS5607" s="47"/>
    </row>
    <row r="5608" spans="45:45">
      <c r="AS5608" s="47"/>
    </row>
    <row r="5609" spans="45:45">
      <c r="AS5609" s="47"/>
    </row>
    <row r="5610" spans="45:45">
      <c r="AS5610" s="47"/>
    </row>
    <row r="5611" spans="45:45">
      <c r="AS5611" s="47"/>
    </row>
    <row r="5612" spans="45:45">
      <c r="AS5612" s="47"/>
    </row>
    <row r="5613" spans="45:45">
      <c r="AS5613" s="47"/>
    </row>
    <row r="5614" spans="45:45">
      <c r="AS5614" s="47"/>
    </row>
    <row r="5615" spans="45:45">
      <c r="AS5615" s="47"/>
    </row>
    <row r="5616" spans="45:45">
      <c r="AS5616" s="47"/>
    </row>
    <row r="5617" spans="45:45">
      <c r="AS5617" s="47"/>
    </row>
    <row r="5618" spans="45:45">
      <c r="AS5618" s="47"/>
    </row>
    <row r="5619" spans="45:45">
      <c r="AS5619" s="47"/>
    </row>
    <row r="5620" spans="45:45">
      <c r="AS5620" s="47"/>
    </row>
    <row r="5621" spans="45:45">
      <c r="AS5621" s="47"/>
    </row>
    <row r="5622" spans="45:45">
      <c r="AS5622" s="47"/>
    </row>
    <row r="5623" spans="45:45">
      <c r="AS5623" s="47"/>
    </row>
    <row r="5624" spans="45:45">
      <c r="AS5624" s="47"/>
    </row>
    <row r="5625" spans="45:45">
      <c r="AS5625" s="47"/>
    </row>
    <row r="5626" spans="45:45">
      <c r="AS5626" s="47"/>
    </row>
    <row r="5627" spans="45:45">
      <c r="AS5627" s="47"/>
    </row>
    <row r="5628" spans="45:45">
      <c r="AS5628" s="47"/>
    </row>
    <row r="5629" spans="45:45">
      <c r="AS5629" s="47"/>
    </row>
    <row r="5630" spans="45:45">
      <c r="AS5630" s="47"/>
    </row>
    <row r="5631" spans="45:45">
      <c r="AS5631" s="47"/>
    </row>
    <row r="5632" spans="45:45">
      <c r="AS5632" s="47"/>
    </row>
    <row r="5633" spans="45:45">
      <c r="AS5633" s="47"/>
    </row>
    <row r="5634" spans="45:45">
      <c r="AS5634" s="47"/>
    </row>
    <row r="5635" spans="45:45">
      <c r="AS5635" s="47"/>
    </row>
    <row r="5636" spans="45:45">
      <c r="AS5636" s="47"/>
    </row>
    <row r="5637" spans="45:45">
      <c r="AS5637" s="47"/>
    </row>
    <row r="5638" spans="45:45">
      <c r="AS5638" s="47"/>
    </row>
    <row r="5639" spans="45:45">
      <c r="AS5639" s="47"/>
    </row>
    <row r="5640" spans="45:45">
      <c r="AS5640" s="47"/>
    </row>
    <row r="5641" spans="45:45">
      <c r="AS5641" s="47"/>
    </row>
    <row r="5642" spans="45:45">
      <c r="AS5642" s="47"/>
    </row>
    <row r="5643" spans="45:45">
      <c r="AS5643" s="47"/>
    </row>
    <row r="5644" spans="45:45">
      <c r="AS5644" s="47"/>
    </row>
    <row r="5645" spans="45:45">
      <c r="AS5645" s="47"/>
    </row>
    <row r="5646" spans="45:45">
      <c r="AS5646" s="47"/>
    </row>
    <row r="5647" spans="45:45">
      <c r="AS5647" s="47"/>
    </row>
    <row r="5648" spans="45:45">
      <c r="AS5648" s="47"/>
    </row>
    <row r="5649" spans="45:45">
      <c r="AS5649" s="47"/>
    </row>
    <row r="5650" spans="45:45">
      <c r="AS5650" s="47"/>
    </row>
    <row r="5651" spans="45:45">
      <c r="AS5651" s="47"/>
    </row>
    <row r="5652" spans="45:45">
      <c r="AS5652" s="47"/>
    </row>
    <row r="5653" spans="45:45">
      <c r="AS5653" s="47"/>
    </row>
    <row r="5654" spans="45:45">
      <c r="AS5654" s="47"/>
    </row>
    <row r="5655" spans="45:45">
      <c r="AS5655" s="47"/>
    </row>
    <row r="5656" spans="45:45">
      <c r="AS5656" s="47"/>
    </row>
    <row r="5657" spans="45:45">
      <c r="AS5657" s="47"/>
    </row>
    <row r="5658" spans="45:45">
      <c r="AS5658" s="47"/>
    </row>
    <row r="5659" spans="45:45">
      <c r="AS5659" s="47"/>
    </row>
    <row r="5660" spans="45:45">
      <c r="AS5660" s="47"/>
    </row>
    <row r="5661" spans="45:45">
      <c r="AS5661" s="47"/>
    </row>
    <row r="5662" spans="45:45">
      <c r="AS5662" s="47"/>
    </row>
    <row r="5663" spans="45:45">
      <c r="AS5663" s="47"/>
    </row>
    <row r="5664" spans="45:45">
      <c r="AS5664" s="47"/>
    </row>
    <row r="5665" spans="45:45">
      <c r="AS5665" s="47"/>
    </row>
    <row r="5666" spans="45:45">
      <c r="AS5666" s="47"/>
    </row>
    <row r="5667" spans="45:45">
      <c r="AS5667" s="47"/>
    </row>
    <row r="5668" spans="45:45">
      <c r="AS5668" s="47"/>
    </row>
    <row r="5669" spans="45:45">
      <c r="AS5669" s="47"/>
    </row>
    <row r="5670" spans="45:45">
      <c r="AS5670" s="47"/>
    </row>
    <row r="5671" spans="45:45">
      <c r="AS5671" s="47"/>
    </row>
    <row r="5672" spans="45:45">
      <c r="AS5672" s="47"/>
    </row>
    <row r="5673" spans="45:45">
      <c r="AS5673" s="47"/>
    </row>
    <row r="5674" spans="45:45">
      <c r="AS5674" s="47"/>
    </row>
    <row r="5675" spans="45:45">
      <c r="AS5675" s="47"/>
    </row>
    <row r="5676" spans="45:45">
      <c r="AS5676" s="47"/>
    </row>
    <row r="5677" spans="45:45">
      <c r="AS5677" s="47"/>
    </row>
    <row r="5678" spans="45:45">
      <c r="AS5678" s="47"/>
    </row>
    <row r="5679" spans="45:45">
      <c r="AS5679" s="47"/>
    </row>
    <row r="5680" spans="45:45">
      <c r="AS5680" s="47"/>
    </row>
    <row r="5681" spans="45:45">
      <c r="AS5681" s="47"/>
    </row>
    <row r="5682" spans="45:45">
      <c r="AS5682" s="47"/>
    </row>
    <row r="5683" spans="45:45">
      <c r="AS5683" s="47"/>
    </row>
    <row r="5684" spans="45:45">
      <c r="AS5684" s="47"/>
    </row>
    <row r="5685" spans="45:45">
      <c r="AS5685" s="47"/>
    </row>
    <row r="5686" spans="45:45">
      <c r="AS5686" s="47"/>
    </row>
    <row r="5687" spans="45:45">
      <c r="AS5687" s="47"/>
    </row>
    <row r="5688" spans="45:45">
      <c r="AS5688" s="47"/>
    </row>
    <row r="5689" spans="45:45">
      <c r="AS5689" s="47"/>
    </row>
    <row r="5690" spans="45:45">
      <c r="AS5690" s="47"/>
    </row>
    <row r="5691" spans="45:45">
      <c r="AS5691" s="47"/>
    </row>
    <row r="5692" spans="45:45">
      <c r="AS5692" s="47"/>
    </row>
    <row r="5693" spans="45:45">
      <c r="AS5693" s="47"/>
    </row>
    <row r="5694" spans="45:45">
      <c r="AS5694" s="47"/>
    </row>
    <row r="5695" spans="45:45">
      <c r="AS5695" s="47"/>
    </row>
    <row r="5696" spans="45:45">
      <c r="AS5696" s="47"/>
    </row>
    <row r="5697" spans="45:45">
      <c r="AS5697" s="47"/>
    </row>
    <row r="5698" spans="45:45">
      <c r="AS5698" s="47"/>
    </row>
    <row r="5699" spans="45:45">
      <c r="AS5699" s="47"/>
    </row>
    <row r="5700" spans="45:45">
      <c r="AS5700" s="47"/>
    </row>
    <row r="5701" spans="45:45">
      <c r="AS5701" s="47"/>
    </row>
    <row r="5702" spans="45:45">
      <c r="AS5702" s="47"/>
    </row>
    <row r="5703" spans="45:45">
      <c r="AS5703" s="47"/>
    </row>
    <row r="5704" spans="45:45">
      <c r="AS5704" s="47"/>
    </row>
    <row r="5705" spans="45:45">
      <c r="AS5705" s="47"/>
    </row>
    <row r="5706" spans="45:45">
      <c r="AS5706" s="47"/>
    </row>
    <row r="5707" spans="45:45">
      <c r="AS5707" s="47"/>
    </row>
    <row r="5708" spans="45:45">
      <c r="AS5708" s="47"/>
    </row>
    <row r="5709" spans="45:45">
      <c r="AS5709" s="47"/>
    </row>
    <row r="5710" spans="45:45">
      <c r="AS5710" s="47"/>
    </row>
    <row r="5711" spans="45:45">
      <c r="AS5711" s="47"/>
    </row>
    <row r="5712" spans="45:45">
      <c r="AS5712" s="47"/>
    </row>
    <row r="5713" spans="45:45">
      <c r="AS5713" s="47"/>
    </row>
    <row r="5714" spans="45:45">
      <c r="AS5714" s="47"/>
    </row>
    <row r="5715" spans="45:45">
      <c r="AS5715" s="47"/>
    </row>
    <row r="5716" spans="45:45">
      <c r="AS5716" s="47"/>
    </row>
    <row r="5717" spans="45:45">
      <c r="AS5717" s="47"/>
    </row>
    <row r="5718" spans="45:45">
      <c r="AS5718" s="47"/>
    </row>
    <row r="5719" spans="45:45">
      <c r="AS5719" s="47"/>
    </row>
    <row r="5720" spans="45:45">
      <c r="AS5720" s="47"/>
    </row>
    <row r="5721" spans="45:45">
      <c r="AS5721" s="47"/>
    </row>
    <row r="5722" spans="45:45">
      <c r="AS5722" s="47"/>
    </row>
    <row r="5723" spans="45:45">
      <c r="AS5723" s="47"/>
    </row>
    <row r="5724" spans="45:45">
      <c r="AS5724" s="47"/>
    </row>
    <row r="5725" spans="45:45">
      <c r="AS5725" s="47"/>
    </row>
    <row r="5726" spans="45:45">
      <c r="AS5726" s="47"/>
    </row>
    <row r="5727" spans="45:45">
      <c r="AS5727" s="47"/>
    </row>
    <row r="5728" spans="45:45">
      <c r="AS5728" s="47"/>
    </row>
    <row r="5729" spans="45:45">
      <c r="AS5729" s="47"/>
    </row>
    <row r="5730" spans="45:45">
      <c r="AS5730" s="47"/>
    </row>
    <row r="5731" spans="45:45">
      <c r="AS5731" s="47"/>
    </row>
    <row r="5732" spans="45:45">
      <c r="AS5732" s="47"/>
    </row>
    <row r="5733" spans="45:45">
      <c r="AS5733" s="47"/>
    </row>
    <row r="5734" spans="45:45">
      <c r="AS5734" s="47"/>
    </row>
    <row r="5735" spans="45:45">
      <c r="AS5735" s="47"/>
    </row>
    <row r="5736" spans="45:45">
      <c r="AS5736" s="47"/>
    </row>
    <row r="5737" spans="45:45">
      <c r="AS5737" s="47"/>
    </row>
    <row r="5738" spans="45:45">
      <c r="AS5738" s="47"/>
    </row>
    <row r="5739" spans="45:45">
      <c r="AS5739" s="47"/>
    </row>
    <row r="5740" spans="45:45">
      <c r="AS5740" s="47"/>
    </row>
    <row r="5741" spans="45:45">
      <c r="AS5741" s="47"/>
    </row>
    <row r="5742" spans="45:45">
      <c r="AS5742" s="47"/>
    </row>
    <row r="5743" spans="45:45">
      <c r="AS5743" s="47"/>
    </row>
    <row r="5744" spans="45:45">
      <c r="AS5744" s="47"/>
    </row>
    <row r="5745" spans="45:45">
      <c r="AS5745" s="47"/>
    </row>
    <row r="5746" spans="45:45">
      <c r="AS5746" s="47"/>
    </row>
    <row r="5747" spans="45:45">
      <c r="AS5747" s="47"/>
    </row>
    <row r="5748" spans="45:45">
      <c r="AS5748" s="47"/>
    </row>
    <row r="5749" spans="45:45">
      <c r="AS5749" s="47"/>
    </row>
    <row r="5750" spans="45:45">
      <c r="AS5750" s="47"/>
    </row>
    <row r="5751" spans="45:45">
      <c r="AS5751" s="47"/>
    </row>
    <row r="5752" spans="45:45">
      <c r="AS5752" s="47"/>
    </row>
    <row r="5753" spans="45:45">
      <c r="AS5753" s="47"/>
    </row>
    <row r="5754" spans="45:45">
      <c r="AS5754" s="47"/>
    </row>
    <row r="5755" spans="45:45">
      <c r="AS5755" s="47"/>
    </row>
    <row r="5756" spans="45:45">
      <c r="AS5756" s="47"/>
    </row>
    <row r="5757" spans="45:45">
      <c r="AS5757" s="47"/>
    </row>
    <row r="5758" spans="45:45">
      <c r="AS5758" s="47"/>
    </row>
    <row r="5759" spans="45:45">
      <c r="AS5759" s="47"/>
    </row>
    <row r="5760" spans="45:45">
      <c r="AS5760" s="47"/>
    </row>
    <row r="5761" spans="45:45">
      <c r="AS5761" s="47"/>
    </row>
    <row r="5762" spans="45:45">
      <c r="AS5762" s="47"/>
    </row>
    <row r="5763" spans="45:45">
      <c r="AS5763" s="47"/>
    </row>
    <row r="5764" spans="45:45">
      <c r="AS5764" s="47"/>
    </row>
    <row r="5765" spans="45:45">
      <c r="AS5765" s="47"/>
    </row>
    <row r="5766" spans="45:45">
      <c r="AS5766" s="47"/>
    </row>
    <row r="5767" spans="45:45">
      <c r="AS5767" s="47"/>
    </row>
    <row r="5768" spans="45:45">
      <c r="AS5768" s="47"/>
    </row>
    <row r="5769" spans="45:45">
      <c r="AS5769" s="47"/>
    </row>
    <row r="5770" spans="45:45">
      <c r="AS5770" s="47"/>
    </row>
    <row r="5771" spans="45:45">
      <c r="AS5771" s="47"/>
    </row>
    <row r="5772" spans="45:45">
      <c r="AS5772" s="47"/>
    </row>
    <row r="5773" spans="45:45">
      <c r="AS5773" s="47"/>
    </row>
    <row r="5774" spans="45:45">
      <c r="AS5774" s="47"/>
    </row>
    <row r="5775" spans="45:45">
      <c r="AS5775" s="47"/>
    </row>
    <row r="5776" spans="45:45">
      <c r="AS5776" s="47"/>
    </row>
    <row r="5777" spans="45:45">
      <c r="AS5777" s="47"/>
    </row>
    <row r="5778" spans="45:45">
      <c r="AS5778" s="47"/>
    </row>
    <row r="5779" spans="45:45">
      <c r="AS5779" s="47"/>
    </row>
    <row r="5780" spans="45:45">
      <c r="AS5780" s="47"/>
    </row>
    <row r="5781" spans="45:45">
      <c r="AS5781" s="47"/>
    </row>
    <row r="5782" spans="45:45">
      <c r="AS5782" s="47"/>
    </row>
    <row r="5783" spans="45:45">
      <c r="AS5783" s="47"/>
    </row>
    <row r="5784" spans="45:45">
      <c r="AS5784" s="47"/>
    </row>
    <row r="5785" spans="45:45">
      <c r="AS5785" s="47"/>
    </row>
    <row r="5786" spans="45:45">
      <c r="AS5786" s="47"/>
    </row>
    <row r="5787" spans="45:45">
      <c r="AS5787" s="47"/>
    </row>
    <row r="5788" spans="45:45">
      <c r="AS5788" s="47"/>
    </row>
    <row r="5789" spans="45:45">
      <c r="AS5789" s="47"/>
    </row>
    <row r="5790" spans="45:45">
      <c r="AS5790" s="47"/>
    </row>
    <row r="5791" spans="45:45">
      <c r="AS5791" s="47"/>
    </row>
    <row r="5792" spans="45:45">
      <c r="AS5792" s="47"/>
    </row>
    <row r="5793" spans="45:45">
      <c r="AS5793" s="47"/>
    </row>
    <row r="5794" spans="45:45">
      <c r="AS5794" s="47"/>
    </row>
    <row r="5795" spans="45:45">
      <c r="AS5795" s="47"/>
    </row>
    <row r="5796" spans="45:45">
      <c r="AS5796" s="47"/>
    </row>
    <row r="5797" spans="45:45">
      <c r="AS5797" s="47"/>
    </row>
    <row r="5798" spans="45:45">
      <c r="AS5798" s="47"/>
    </row>
    <row r="5799" spans="45:45">
      <c r="AS5799" s="47"/>
    </row>
    <row r="5800" spans="45:45">
      <c r="AS5800" s="47"/>
    </row>
    <row r="5801" spans="45:45">
      <c r="AS5801" s="47"/>
    </row>
    <row r="5802" spans="45:45">
      <c r="AS5802" s="47"/>
    </row>
    <row r="5803" spans="45:45">
      <c r="AS5803" s="47"/>
    </row>
    <row r="5804" spans="45:45">
      <c r="AS5804" s="47"/>
    </row>
    <row r="5805" spans="45:45">
      <c r="AS5805" s="47"/>
    </row>
    <row r="5806" spans="45:45">
      <c r="AS5806" s="47"/>
    </row>
    <row r="5807" spans="45:45">
      <c r="AS5807" s="47"/>
    </row>
    <row r="5808" spans="45:45">
      <c r="AS5808" s="47"/>
    </row>
    <row r="5809" spans="45:45">
      <c r="AS5809" s="47"/>
    </row>
    <row r="5810" spans="45:45">
      <c r="AS5810" s="47"/>
    </row>
    <row r="5811" spans="45:45">
      <c r="AS5811" s="47"/>
    </row>
    <row r="5812" spans="45:45">
      <c r="AS5812" s="47"/>
    </row>
    <row r="5813" spans="45:45">
      <c r="AS5813" s="47"/>
    </row>
    <row r="5814" spans="45:45">
      <c r="AS5814" s="47"/>
    </row>
    <row r="5815" spans="45:45">
      <c r="AS5815" s="47"/>
    </row>
    <row r="5816" spans="45:45">
      <c r="AS5816" s="47"/>
    </row>
    <row r="5817" spans="45:45">
      <c r="AS5817" s="47"/>
    </row>
    <row r="5818" spans="45:45">
      <c r="AS5818" s="47"/>
    </row>
    <row r="5819" spans="45:45">
      <c r="AS5819" s="47"/>
    </row>
    <row r="5820" spans="45:45">
      <c r="AS5820" s="47"/>
    </row>
    <row r="5821" spans="45:45">
      <c r="AS5821" s="47"/>
    </row>
    <row r="5822" spans="45:45">
      <c r="AS5822" s="47"/>
    </row>
    <row r="5823" spans="45:45">
      <c r="AS5823" s="47"/>
    </row>
    <row r="5824" spans="45:45">
      <c r="AS5824" s="47"/>
    </row>
    <row r="5825" spans="45:45">
      <c r="AS5825" s="47"/>
    </row>
    <row r="5826" spans="45:45">
      <c r="AS5826" s="47"/>
    </row>
    <row r="5827" spans="45:45">
      <c r="AS5827" s="47"/>
    </row>
    <row r="5828" spans="45:45">
      <c r="AS5828" s="47"/>
    </row>
    <row r="5829" spans="45:45">
      <c r="AS5829" s="47"/>
    </row>
    <row r="5830" spans="45:45">
      <c r="AS5830" s="47"/>
    </row>
    <row r="5831" spans="45:45">
      <c r="AS5831" s="47"/>
    </row>
    <row r="5832" spans="45:45">
      <c r="AS5832" s="47"/>
    </row>
    <row r="5833" spans="45:45">
      <c r="AS5833" s="47"/>
    </row>
    <row r="5834" spans="45:45">
      <c r="AS5834" s="47"/>
    </row>
    <row r="5835" spans="45:45">
      <c r="AS5835" s="47"/>
    </row>
    <row r="5836" spans="45:45">
      <c r="AS5836" s="47"/>
    </row>
    <row r="5837" spans="45:45">
      <c r="AS5837" s="47"/>
    </row>
    <row r="5838" spans="45:45">
      <c r="AS5838" s="47"/>
    </row>
    <row r="5839" spans="45:45">
      <c r="AS5839" s="47"/>
    </row>
    <row r="5840" spans="45:45">
      <c r="AS5840" s="47"/>
    </row>
    <row r="5841" spans="45:45">
      <c r="AS5841" s="47"/>
    </row>
    <row r="5842" spans="45:45">
      <c r="AS5842" s="47"/>
    </row>
    <row r="5843" spans="45:45">
      <c r="AS5843" s="47"/>
    </row>
    <row r="5844" spans="45:45">
      <c r="AS5844" s="47"/>
    </row>
    <row r="5845" spans="45:45">
      <c r="AS5845" s="47"/>
    </row>
    <row r="5846" spans="45:45">
      <c r="AS5846" s="47"/>
    </row>
    <row r="5847" spans="45:45">
      <c r="AS5847" s="47"/>
    </row>
    <row r="5848" spans="45:45">
      <c r="AS5848" s="47"/>
    </row>
    <row r="5849" spans="45:45">
      <c r="AS5849" s="47"/>
    </row>
    <row r="5850" spans="45:45">
      <c r="AS5850" s="47"/>
    </row>
    <row r="5851" spans="45:45">
      <c r="AS5851" s="47"/>
    </row>
    <row r="5852" spans="45:45">
      <c r="AS5852" s="47"/>
    </row>
    <row r="5853" spans="45:45">
      <c r="AS5853" s="47"/>
    </row>
    <row r="5854" spans="45:45">
      <c r="AS5854" s="47"/>
    </row>
    <row r="5855" spans="45:45">
      <c r="AS5855" s="47"/>
    </row>
    <row r="5856" spans="45:45">
      <c r="AS5856" s="47"/>
    </row>
    <row r="5857" spans="45:45">
      <c r="AS5857" s="47"/>
    </row>
    <row r="5858" spans="45:45">
      <c r="AS5858" s="47"/>
    </row>
    <row r="5859" spans="45:45">
      <c r="AS5859" s="47"/>
    </row>
    <row r="5860" spans="45:45">
      <c r="AS5860" s="47"/>
    </row>
    <row r="5861" spans="45:45">
      <c r="AS5861" s="47"/>
    </row>
    <row r="5862" spans="45:45">
      <c r="AS5862" s="47"/>
    </row>
    <row r="5863" spans="45:45">
      <c r="AS5863" s="47"/>
    </row>
    <row r="5864" spans="45:45">
      <c r="AS5864" s="47"/>
    </row>
    <row r="5865" spans="45:45">
      <c r="AS5865" s="47"/>
    </row>
    <row r="5866" spans="45:45">
      <c r="AS5866" s="47"/>
    </row>
    <row r="5867" spans="45:45">
      <c r="AS5867" s="47"/>
    </row>
    <row r="5868" spans="45:45">
      <c r="AS5868" s="47"/>
    </row>
    <row r="5869" spans="45:45">
      <c r="AS5869" s="47"/>
    </row>
    <row r="5870" spans="45:45">
      <c r="AS5870" s="47"/>
    </row>
    <row r="5871" spans="45:45">
      <c r="AS5871" s="47"/>
    </row>
    <row r="5872" spans="45:45">
      <c r="AS5872" s="47"/>
    </row>
    <row r="5873" spans="45:45">
      <c r="AS5873" s="47"/>
    </row>
    <row r="5874" spans="45:45">
      <c r="AS5874" s="47"/>
    </row>
    <row r="5875" spans="45:45">
      <c r="AS5875" s="47"/>
    </row>
    <row r="5876" spans="45:45">
      <c r="AS5876" s="47"/>
    </row>
    <row r="5877" spans="45:45">
      <c r="AS5877" s="47"/>
    </row>
    <row r="5878" spans="45:45">
      <c r="AS5878" s="47"/>
    </row>
    <row r="5879" spans="45:45">
      <c r="AS5879" s="47"/>
    </row>
    <row r="5880" spans="45:45">
      <c r="AS5880" s="47"/>
    </row>
    <row r="5881" spans="45:45">
      <c r="AS5881" s="47"/>
    </row>
    <row r="5882" spans="45:45">
      <c r="AS5882" s="47"/>
    </row>
    <row r="5883" spans="45:45">
      <c r="AS5883" s="47"/>
    </row>
    <row r="5884" spans="45:45">
      <c r="AS5884" s="47"/>
    </row>
    <row r="5885" spans="45:45">
      <c r="AS5885" s="47"/>
    </row>
    <row r="5886" spans="45:45">
      <c r="AS5886" s="47"/>
    </row>
    <row r="5887" spans="45:45">
      <c r="AS5887" s="47"/>
    </row>
    <row r="5888" spans="45:45">
      <c r="AS5888" s="47"/>
    </row>
    <row r="5889" spans="45:45">
      <c r="AS5889" s="47"/>
    </row>
    <row r="5890" spans="45:45">
      <c r="AS5890" s="47"/>
    </row>
    <row r="5891" spans="45:45">
      <c r="AS5891" s="47"/>
    </row>
    <row r="5892" spans="45:45">
      <c r="AS5892" s="47"/>
    </row>
    <row r="5893" spans="45:45">
      <c r="AS5893" s="47"/>
    </row>
    <row r="5894" spans="45:45">
      <c r="AS5894" s="47"/>
    </row>
    <row r="5895" spans="45:45">
      <c r="AS5895" s="47"/>
    </row>
    <row r="5896" spans="45:45">
      <c r="AS5896" s="47"/>
    </row>
    <row r="5897" spans="45:45">
      <c r="AS5897" s="47"/>
    </row>
    <row r="5898" spans="45:45">
      <c r="AS5898" s="47"/>
    </row>
    <row r="5899" spans="45:45">
      <c r="AS5899" s="47"/>
    </row>
    <row r="5900" spans="45:45">
      <c r="AS5900" s="47"/>
    </row>
    <row r="5901" spans="45:45">
      <c r="AS5901" s="47"/>
    </row>
    <row r="5902" spans="45:45">
      <c r="AS5902" s="47"/>
    </row>
    <row r="5903" spans="45:45">
      <c r="AS5903" s="47"/>
    </row>
    <row r="5904" spans="45:45">
      <c r="AS5904" s="47"/>
    </row>
    <row r="5905" spans="45:45">
      <c r="AS5905" s="47"/>
    </row>
    <row r="5906" spans="45:45">
      <c r="AS5906" s="47"/>
    </row>
    <row r="5907" spans="45:45">
      <c r="AS5907" s="47"/>
    </row>
    <row r="5908" spans="45:45">
      <c r="AS5908" s="47"/>
    </row>
    <row r="5909" spans="45:45">
      <c r="AS5909" s="47"/>
    </row>
    <row r="5910" spans="45:45">
      <c r="AS5910" s="47"/>
    </row>
    <row r="5911" spans="45:45">
      <c r="AS5911" s="47"/>
    </row>
    <row r="5912" spans="45:45">
      <c r="AS5912" s="47"/>
    </row>
    <row r="5913" spans="45:45">
      <c r="AS5913" s="47"/>
    </row>
    <row r="5914" spans="45:45">
      <c r="AS5914" s="47"/>
    </row>
    <row r="5915" spans="45:45">
      <c r="AS5915" s="47"/>
    </row>
    <row r="5916" spans="45:45">
      <c r="AS5916" s="47"/>
    </row>
    <row r="5917" spans="45:45">
      <c r="AS5917" s="47"/>
    </row>
    <row r="5918" spans="45:45">
      <c r="AS5918" s="47"/>
    </row>
    <row r="5919" spans="45:45">
      <c r="AS5919" s="47"/>
    </row>
    <row r="5920" spans="45:45">
      <c r="AS5920" s="47"/>
    </row>
    <row r="5921" spans="45:45">
      <c r="AS5921" s="47"/>
    </row>
    <row r="5922" spans="45:45">
      <c r="AS5922" s="47"/>
    </row>
    <row r="5923" spans="45:45">
      <c r="AS5923" s="47"/>
    </row>
    <row r="5924" spans="45:45">
      <c r="AS5924" s="47"/>
    </row>
    <row r="5925" spans="45:45">
      <c r="AS5925" s="47"/>
    </row>
    <row r="5926" spans="45:45">
      <c r="AS5926" s="47"/>
    </row>
    <row r="5927" spans="45:45">
      <c r="AS5927" s="47"/>
    </row>
    <row r="5928" spans="45:45">
      <c r="AS5928" s="47"/>
    </row>
    <row r="5929" spans="45:45">
      <c r="AS5929" s="47"/>
    </row>
    <row r="5930" spans="45:45">
      <c r="AS5930" s="47"/>
    </row>
    <row r="5931" spans="45:45">
      <c r="AS5931" s="47"/>
    </row>
    <row r="5932" spans="45:45">
      <c r="AS5932" s="47"/>
    </row>
    <row r="5933" spans="45:45">
      <c r="AS5933" s="47"/>
    </row>
    <row r="5934" spans="45:45">
      <c r="AS5934" s="47"/>
    </row>
    <row r="5935" spans="45:45">
      <c r="AS5935" s="47"/>
    </row>
    <row r="5936" spans="45:45">
      <c r="AS5936" s="47"/>
    </row>
    <row r="5937" spans="45:45">
      <c r="AS5937" s="47"/>
    </row>
    <row r="5938" spans="45:45">
      <c r="AS5938" s="47"/>
    </row>
    <row r="5939" spans="45:45">
      <c r="AS5939" s="47"/>
    </row>
    <row r="5940" spans="45:45">
      <c r="AS5940" s="47"/>
    </row>
    <row r="5941" spans="45:45">
      <c r="AS5941" s="47"/>
    </row>
    <row r="5942" spans="45:45">
      <c r="AS5942" s="47"/>
    </row>
    <row r="5943" spans="45:45">
      <c r="AS5943" s="47"/>
    </row>
    <row r="5944" spans="45:45">
      <c r="AS5944" s="47"/>
    </row>
    <row r="5945" spans="45:45">
      <c r="AS5945" s="47"/>
    </row>
    <row r="5946" spans="45:45">
      <c r="AS5946" s="47"/>
    </row>
    <row r="5947" spans="45:45">
      <c r="AS5947" s="47"/>
    </row>
    <row r="5948" spans="45:45">
      <c r="AS5948" s="47"/>
    </row>
    <row r="5949" spans="45:45">
      <c r="AS5949" s="47"/>
    </row>
    <row r="5950" spans="45:45">
      <c r="AS5950" s="47"/>
    </row>
    <row r="5951" spans="45:45">
      <c r="AS5951" s="47"/>
    </row>
    <row r="5952" spans="45:45">
      <c r="AS5952" s="47"/>
    </row>
    <row r="5953" spans="45:45">
      <c r="AS5953" s="47"/>
    </row>
    <row r="5954" spans="45:45">
      <c r="AS5954" s="47"/>
    </row>
    <row r="5955" spans="45:45">
      <c r="AS5955" s="47"/>
    </row>
    <row r="5956" spans="45:45">
      <c r="AS5956" s="47"/>
    </row>
    <row r="5957" spans="45:45">
      <c r="AS5957" s="47"/>
    </row>
    <row r="5958" spans="45:45">
      <c r="AS5958" s="47"/>
    </row>
    <row r="5959" spans="45:45">
      <c r="AS5959" s="47"/>
    </row>
    <row r="5960" spans="45:45">
      <c r="AS5960" s="47"/>
    </row>
    <row r="5961" spans="45:45">
      <c r="AS5961" s="47"/>
    </row>
    <row r="5962" spans="45:45">
      <c r="AS5962" s="47"/>
    </row>
    <row r="5963" spans="45:45">
      <c r="AS5963" s="47"/>
    </row>
    <row r="5964" spans="45:45">
      <c r="AS5964" s="47"/>
    </row>
    <row r="5965" spans="45:45">
      <c r="AS5965" s="47"/>
    </row>
    <row r="5966" spans="45:45">
      <c r="AS5966" s="47"/>
    </row>
    <row r="5967" spans="45:45">
      <c r="AS5967" s="47"/>
    </row>
    <row r="5968" spans="45:45">
      <c r="AS5968" s="47"/>
    </row>
    <row r="5969" spans="45:45">
      <c r="AS5969" s="47"/>
    </row>
    <row r="5970" spans="45:45">
      <c r="AS5970" s="47"/>
    </row>
    <row r="5971" spans="45:45">
      <c r="AS5971" s="47"/>
    </row>
    <row r="5972" spans="45:45">
      <c r="AS5972" s="47"/>
    </row>
    <row r="5973" spans="45:45">
      <c r="AS5973" s="47"/>
    </row>
    <row r="5974" spans="45:45">
      <c r="AS5974" s="47"/>
    </row>
    <row r="5975" spans="45:45">
      <c r="AS5975" s="47"/>
    </row>
    <row r="5976" spans="45:45">
      <c r="AS5976" s="47"/>
    </row>
    <row r="5977" spans="45:45">
      <c r="AS5977" s="47"/>
    </row>
    <row r="5978" spans="45:45">
      <c r="AS5978" s="47"/>
    </row>
    <row r="5979" spans="45:45">
      <c r="AS5979" s="47"/>
    </row>
    <row r="5980" spans="45:45">
      <c r="AS5980" s="47"/>
    </row>
    <row r="5981" spans="45:45">
      <c r="AS5981" s="47"/>
    </row>
    <row r="5982" spans="45:45">
      <c r="AS5982" s="47"/>
    </row>
    <row r="5983" spans="45:45">
      <c r="AS5983" s="47"/>
    </row>
    <row r="5984" spans="45:45">
      <c r="AS5984" s="47"/>
    </row>
    <row r="5985" spans="45:45">
      <c r="AS5985" s="47"/>
    </row>
    <row r="5986" spans="45:45">
      <c r="AS5986" s="47"/>
    </row>
    <row r="5987" spans="45:45">
      <c r="AS5987" s="47"/>
    </row>
    <row r="5988" spans="45:45">
      <c r="AS5988" s="47"/>
    </row>
    <row r="5989" spans="45:45">
      <c r="AS5989" s="47"/>
    </row>
    <row r="5990" spans="45:45">
      <c r="AS5990" s="47"/>
    </row>
    <row r="5991" spans="45:45">
      <c r="AS5991" s="47"/>
    </row>
    <row r="5992" spans="45:45">
      <c r="AS5992" s="47"/>
    </row>
    <row r="5993" spans="45:45">
      <c r="AS5993" s="47"/>
    </row>
    <row r="5994" spans="45:45">
      <c r="AS5994" s="47"/>
    </row>
    <row r="5995" spans="45:45">
      <c r="AS5995" s="47"/>
    </row>
    <row r="5996" spans="45:45">
      <c r="AS5996" s="47"/>
    </row>
    <row r="5997" spans="45:45">
      <c r="AS5997" s="47"/>
    </row>
    <row r="5998" spans="45:45">
      <c r="AS5998" s="47"/>
    </row>
    <row r="5999" spans="45:45">
      <c r="AS5999" s="47"/>
    </row>
    <row r="6000" spans="45:45">
      <c r="AS6000" s="47"/>
    </row>
    <row r="6001" spans="45:45">
      <c r="AS6001" s="47"/>
    </row>
    <row r="6002" spans="45:45">
      <c r="AS6002" s="47"/>
    </row>
    <row r="6003" spans="45:45">
      <c r="AS6003" s="47"/>
    </row>
    <row r="6004" spans="45:45">
      <c r="AS6004" s="47"/>
    </row>
    <row r="6005" spans="45:45">
      <c r="AS6005" s="47"/>
    </row>
    <row r="6006" spans="45:45">
      <c r="AS6006" s="47"/>
    </row>
    <row r="6007" spans="45:45">
      <c r="AS6007" s="47"/>
    </row>
    <row r="6008" spans="45:45">
      <c r="AS6008" s="47"/>
    </row>
    <row r="6009" spans="45:45">
      <c r="AS6009" s="47"/>
    </row>
    <row r="6010" spans="45:45">
      <c r="AS6010" s="47"/>
    </row>
    <row r="6011" spans="45:45">
      <c r="AS6011" s="47"/>
    </row>
    <row r="6012" spans="45:45">
      <c r="AS6012" s="47"/>
    </row>
    <row r="6013" spans="45:45">
      <c r="AS6013" s="47"/>
    </row>
    <row r="6014" spans="45:45">
      <c r="AS6014" s="47"/>
    </row>
    <row r="6015" spans="45:45">
      <c r="AS6015" s="47"/>
    </row>
    <row r="6016" spans="45:45">
      <c r="AS6016" s="47"/>
    </row>
    <row r="6017" spans="45:45">
      <c r="AS6017" s="47"/>
    </row>
    <row r="6018" spans="45:45">
      <c r="AS6018" s="47"/>
    </row>
    <row r="6019" spans="45:45">
      <c r="AS6019" s="47"/>
    </row>
    <row r="6020" spans="45:45">
      <c r="AS6020" s="47"/>
    </row>
    <row r="6021" spans="45:45">
      <c r="AS6021" s="47"/>
    </row>
    <row r="6022" spans="45:45">
      <c r="AS6022" s="47"/>
    </row>
    <row r="6023" spans="45:45">
      <c r="AS6023" s="47"/>
    </row>
    <row r="6024" spans="45:45">
      <c r="AS6024" s="47"/>
    </row>
    <row r="6025" spans="45:45">
      <c r="AS6025" s="47"/>
    </row>
    <row r="6026" spans="45:45">
      <c r="AS6026" s="47"/>
    </row>
    <row r="6027" spans="45:45">
      <c r="AS6027" s="47"/>
    </row>
    <row r="6028" spans="45:45">
      <c r="AS6028" s="47"/>
    </row>
    <row r="6029" spans="45:45">
      <c r="AS6029" s="47"/>
    </row>
    <row r="6030" spans="45:45">
      <c r="AS6030" s="47"/>
    </row>
    <row r="6031" spans="45:45">
      <c r="AS6031" s="47"/>
    </row>
    <row r="6032" spans="45:45">
      <c r="AS6032" s="47"/>
    </row>
    <row r="6033" spans="45:45">
      <c r="AS6033" s="47"/>
    </row>
    <row r="6034" spans="45:45">
      <c r="AS6034" s="47"/>
    </row>
    <row r="6035" spans="45:45">
      <c r="AS6035" s="47"/>
    </row>
    <row r="6036" spans="45:45">
      <c r="AS6036" s="47"/>
    </row>
    <row r="6037" spans="45:45">
      <c r="AS6037" s="47"/>
    </row>
    <row r="6038" spans="45:45">
      <c r="AS6038" s="47"/>
    </row>
    <row r="6039" spans="45:45">
      <c r="AS6039" s="47"/>
    </row>
    <row r="6040" spans="45:45">
      <c r="AS6040" s="47"/>
    </row>
    <row r="6041" spans="45:45">
      <c r="AS6041" s="47"/>
    </row>
    <row r="6042" spans="45:45">
      <c r="AS6042" s="47"/>
    </row>
    <row r="6043" spans="45:45">
      <c r="AS6043" s="47"/>
    </row>
    <row r="6044" spans="45:45">
      <c r="AS6044" s="47"/>
    </row>
    <row r="6045" spans="45:45">
      <c r="AS6045" s="47"/>
    </row>
    <row r="6046" spans="45:45">
      <c r="AS6046" s="47"/>
    </row>
    <row r="6047" spans="45:45">
      <c r="AS6047" s="47"/>
    </row>
    <row r="6048" spans="45:45">
      <c r="AS6048" s="47"/>
    </row>
    <row r="6049" spans="45:45">
      <c r="AS6049" s="47"/>
    </row>
    <row r="6050" spans="45:45">
      <c r="AS6050" s="47"/>
    </row>
    <row r="6051" spans="45:45">
      <c r="AS6051" s="47"/>
    </row>
    <row r="6052" spans="45:45">
      <c r="AS6052" s="47"/>
    </row>
    <row r="6053" spans="45:45">
      <c r="AS6053" s="47"/>
    </row>
    <row r="6054" spans="45:45">
      <c r="AS6054" s="47"/>
    </row>
    <row r="6055" spans="45:45">
      <c r="AS6055" s="47"/>
    </row>
    <row r="6056" spans="45:45">
      <c r="AS6056" s="47"/>
    </row>
    <row r="6057" spans="45:45">
      <c r="AS6057" s="47"/>
    </row>
    <row r="6058" spans="45:45">
      <c r="AS6058" s="47"/>
    </row>
    <row r="6059" spans="45:45">
      <c r="AS6059" s="47"/>
    </row>
    <row r="6060" spans="45:45">
      <c r="AS6060" s="47"/>
    </row>
    <row r="6061" spans="45:45">
      <c r="AS6061" s="47"/>
    </row>
    <row r="6062" spans="45:45">
      <c r="AS6062" s="47"/>
    </row>
    <row r="6063" spans="45:45">
      <c r="AS6063" s="47"/>
    </row>
    <row r="6064" spans="45:45">
      <c r="AS6064" s="47"/>
    </row>
    <row r="6065" spans="45:45">
      <c r="AS6065" s="47"/>
    </row>
    <row r="6066" spans="45:45">
      <c r="AS6066" s="47"/>
    </row>
    <row r="6067" spans="45:45">
      <c r="AS6067" s="47"/>
    </row>
    <row r="6068" spans="45:45">
      <c r="AS6068" s="47"/>
    </row>
    <row r="6069" spans="45:45">
      <c r="AS6069" s="47"/>
    </row>
    <row r="6070" spans="45:45">
      <c r="AS6070" s="47"/>
    </row>
    <row r="6071" spans="45:45">
      <c r="AS6071" s="47"/>
    </row>
    <row r="6072" spans="45:45">
      <c r="AS6072" s="47"/>
    </row>
    <row r="6073" spans="45:45">
      <c r="AS6073" s="47"/>
    </row>
    <row r="6074" spans="45:45">
      <c r="AS6074" s="47"/>
    </row>
    <row r="6075" spans="45:45">
      <c r="AS6075" s="47"/>
    </row>
    <row r="6076" spans="45:45">
      <c r="AS6076" s="47"/>
    </row>
    <row r="6077" spans="45:45">
      <c r="AS6077" s="47"/>
    </row>
    <row r="6078" spans="45:45">
      <c r="AS6078" s="47"/>
    </row>
    <row r="6079" spans="45:45">
      <c r="AS6079" s="47"/>
    </row>
    <row r="6080" spans="45:45">
      <c r="AS6080" s="47"/>
    </row>
    <row r="6081" spans="45:45">
      <c r="AS6081" s="47"/>
    </row>
    <row r="6082" spans="45:45">
      <c r="AS6082" s="47"/>
    </row>
    <row r="6083" spans="45:45">
      <c r="AS6083" s="47"/>
    </row>
    <row r="6084" spans="45:45">
      <c r="AS6084" s="47"/>
    </row>
    <row r="6085" spans="45:45">
      <c r="AS6085" s="47"/>
    </row>
    <row r="6086" spans="45:45">
      <c r="AS6086" s="47"/>
    </row>
    <row r="6087" spans="45:45">
      <c r="AS6087" s="47"/>
    </row>
    <row r="6088" spans="45:45">
      <c r="AS6088" s="47"/>
    </row>
    <row r="6089" spans="45:45">
      <c r="AS6089" s="47"/>
    </row>
    <row r="6090" spans="45:45">
      <c r="AS6090" s="47"/>
    </row>
    <row r="6091" spans="45:45">
      <c r="AS6091" s="47"/>
    </row>
    <row r="6092" spans="45:45">
      <c r="AS6092" s="47"/>
    </row>
    <row r="6093" spans="45:45">
      <c r="AS6093" s="47"/>
    </row>
    <row r="6094" spans="45:45">
      <c r="AS6094" s="47"/>
    </row>
    <row r="6095" spans="45:45">
      <c r="AS6095" s="47"/>
    </row>
    <row r="6096" spans="45:45">
      <c r="AS6096" s="47"/>
    </row>
    <row r="6097" spans="45:45">
      <c r="AS6097" s="47"/>
    </row>
    <row r="6098" spans="45:45">
      <c r="AS6098" s="47"/>
    </row>
    <row r="6099" spans="45:45">
      <c r="AS6099" s="47"/>
    </row>
    <row r="6100" spans="45:45">
      <c r="AS6100" s="47"/>
    </row>
    <row r="6101" spans="45:45">
      <c r="AS6101" s="47"/>
    </row>
    <row r="6102" spans="45:45">
      <c r="AS6102" s="47"/>
    </row>
    <row r="6103" spans="45:45">
      <c r="AS6103" s="47"/>
    </row>
    <row r="6104" spans="45:45">
      <c r="AS6104" s="47"/>
    </row>
    <row r="6105" spans="45:45">
      <c r="AS6105" s="47"/>
    </row>
    <row r="6106" spans="45:45">
      <c r="AS6106" s="47"/>
    </row>
    <row r="6107" spans="45:45">
      <c r="AS6107" s="47"/>
    </row>
    <row r="6108" spans="45:45">
      <c r="AS6108" s="47"/>
    </row>
    <row r="6109" spans="45:45">
      <c r="AS6109" s="47"/>
    </row>
    <row r="6110" spans="45:45">
      <c r="AS6110" s="47"/>
    </row>
    <row r="6111" spans="45:45">
      <c r="AS6111" s="47"/>
    </row>
    <row r="6112" spans="45:45">
      <c r="AS6112" s="47"/>
    </row>
    <row r="6113" spans="45:45">
      <c r="AS6113" s="47"/>
    </row>
    <row r="6114" spans="45:45">
      <c r="AS6114" s="47"/>
    </row>
    <row r="6115" spans="45:45">
      <c r="AS6115" s="47"/>
    </row>
    <row r="6116" spans="45:45">
      <c r="AS6116" s="47"/>
    </row>
    <row r="6117" spans="45:45">
      <c r="AS6117" s="47"/>
    </row>
    <row r="6118" spans="45:45">
      <c r="AS6118" s="47"/>
    </row>
    <row r="6119" spans="45:45">
      <c r="AS6119" s="47"/>
    </row>
    <row r="6120" spans="45:45">
      <c r="AS6120" s="47"/>
    </row>
    <row r="6121" spans="45:45">
      <c r="AS6121" s="47"/>
    </row>
    <row r="6122" spans="45:45">
      <c r="AS6122" s="47"/>
    </row>
    <row r="6123" spans="45:45">
      <c r="AS6123" s="47"/>
    </row>
    <row r="6124" spans="45:45">
      <c r="AS6124" s="47"/>
    </row>
    <row r="6125" spans="45:45">
      <c r="AS6125" s="47"/>
    </row>
    <row r="6126" spans="45:45">
      <c r="AS6126" s="47"/>
    </row>
    <row r="6127" spans="45:45">
      <c r="AS6127" s="47"/>
    </row>
    <row r="6128" spans="45:45">
      <c r="AS6128" s="47"/>
    </row>
    <row r="6129" spans="45:45">
      <c r="AS6129" s="47"/>
    </row>
    <row r="6130" spans="45:45">
      <c r="AS6130" s="47"/>
    </row>
    <row r="6131" spans="45:45">
      <c r="AS6131" s="47"/>
    </row>
    <row r="6132" spans="45:45">
      <c r="AS6132" s="47"/>
    </row>
    <row r="6133" spans="45:45">
      <c r="AS6133" s="47"/>
    </row>
    <row r="6134" spans="45:45">
      <c r="AS6134" s="47"/>
    </row>
    <row r="6135" spans="45:45">
      <c r="AS6135" s="47"/>
    </row>
    <row r="6136" spans="45:45">
      <c r="AS6136" s="47"/>
    </row>
    <row r="6137" spans="45:45">
      <c r="AS6137" s="47"/>
    </row>
    <row r="6138" spans="45:45">
      <c r="AS6138" s="47"/>
    </row>
    <row r="6139" spans="45:45">
      <c r="AS6139" s="47"/>
    </row>
    <row r="6140" spans="45:45">
      <c r="AS6140" s="47"/>
    </row>
    <row r="6141" spans="45:45">
      <c r="AS6141" s="47"/>
    </row>
    <row r="6142" spans="45:45">
      <c r="AS6142" s="47"/>
    </row>
    <row r="6143" spans="45:45">
      <c r="AS6143" s="47"/>
    </row>
    <row r="6144" spans="45:45">
      <c r="AS6144" s="47"/>
    </row>
    <row r="6145" spans="45:45">
      <c r="AS6145" s="47"/>
    </row>
    <row r="6146" spans="45:45">
      <c r="AS6146" s="47"/>
    </row>
    <row r="6147" spans="45:45">
      <c r="AS6147" s="47"/>
    </row>
    <row r="6148" spans="45:45">
      <c r="AS6148" s="47"/>
    </row>
    <row r="6149" spans="45:45">
      <c r="AS6149" s="47"/>
    </row>
    <row r="6150" spans="45:45">
      <c r="AS6150" s="47"/>
    </row>
    <row r="6151" spans="45:45">
      <c r="AS6151" s="47"/>
    </row>
    <row r="6152" spans="45:45">
      <c r="AS6152" s="47"/>
    </row>
    <row r="6153" spans="45:45">
      <c r="AS6153" s="47"/>
    </row>
    <row r="6154" spans="45:45">
      <c r="AS6154" s="47"/>
    </row>
    <row r="6155" spans="45:45">
      <c r="AS6155" s="47"/>
    </row>
    <row r="6156" spans="45:45">
      <c r="AS6156" s="47"/>
    </row>
    <row r="6157" spans="45:45">
      <c r="AS6157" s="47"/>
    </row>
    <row r="6158" spans="45:45">
      <c r="AS6158" s="47"/>
    </row>
    <row r="6159" spans="45:45">
      <c r="AS6159" s="47"/>
    </row>
    <row r="6160" spans="45:45">
      <c r="AS6160" s="47"/>
    </row>
    <row r="6161" spans="45:45">
      <c r="AS6161" s="47"/>
    </row>
    <row r="6162" spans="45:45">
      <c r="AS6162" s="47"/>
    </row>
    <row r="6163" spans="45:45">
      <c r="AS6163" s="47"/>
    </row>
    <row r="6164" spans="45:45">
      <c r="AS6164" s="47"/>
    </row>
    <row r="6165" spans="45:45">
      <c r="AS6165" s="47"/>
    </row>
    <row r="6166" spans="45:45">
      <c r="AS6166" s="47"/>
    </row>
    <row r="6167" spans="45:45">
      <c r="AS6167" s="47"/>
    </row>
    <row r="6168" spans="45:45">
      <c r="AS6168" s="47"/>
    </row>
    <row r="6169" spans="45:45">
      <c r="AS6169" s="47"/>
    </row>
    <row r="6170" spans="45:45">
      <c r="AS6170" s="47"/>
    </row>
    <row r="6171" spans="45:45">
      <c r="AS6171" s="47"/>
    </row>
    <row r="6172" spans="45:45">
      <c r="AS6172" s="47"/>
    </row>
    <row r="6173" spans="45:45">
      <c r="AS6173" s="47"/>
    </row>
    <row r="6174" spans="45:45">
      <c r="AS6174" s="47"/>
    </row>
    <row r="6175" spans="45:45">
      <c r="AS6175" s="47"/>
    </row>
    <row r="6176" spans="45:45">
      <c r="AS6176" s="47"/>
    </row>
    <row r="6177" spans="45:45">
      <c r="AS6177" s="47"/>
    </row>
    <row r="6178" spans="45:45">
      <c r="AS6178" s="47"/>
    </row>
    <row r="6179" spans="45:45">
      <c r="AS6179" s="47"/>
    </row>
    <row r="6180" spans="45:45">
      <c r="AS6180" s="47"/>
    </row>
    <row r="6181" spans="45:45">
      <c r="AS6181" s="47"/>
    </row>
    <row r="6182" spans="45:45">
      <c r="AS6182" s="47"/>
    </row>
    <row r="6183" spans="45:45">
      <c r="AS6183" s="47"/>
    </row>
    <row r="6184" spans="45:45">
      <c r="AS6184" s="47"/>
    </row>
    <row r="6185" spans="45:45">
      <c r="AS6185" s="47"/>
    </row>
    <row r="6186" spans="45:45">
      <c r="AS6186" s="47"/>
    </row>
    <row r="6187" spans="45:45">
      <c r="AS6187" s="47"/>
    </row>
    <row r="6188" spans="45:45">
      <c r="AS6188" s="47"/>
    </row>
    <row r="6189" spans="45:45">
      <c r="AS6189" s="47"/>
    </row>
    <row r="6190" spans="45:45">
      <c r="AS6190" s="47"/>
    </row>
    <row r="6191" spans="45:45">
      <c r="AS6191" s="47"/>
    </row>
    <row r="6192" spans="45:45">
      <c r="AS6192" s="47"/>
    </row>
    <row r="6193" spans="45:45">
      <c r="AS6193" s="47"/>
    </row>
    <row r="6194" spans="45:45">
      <c r="AS6194" s="47"/>
    </row>
    <row r="6195" spans="45:45">
      <c r="AS6195" s="47"/>
    </row>
    <row r="6196" spans="45:45">
      <c r="AS6196" s="47"/>
    </row>
    <row r="6197" spans="45:45">
      <c r="AS6197" s="47"/>
    </row>
    <row r="6198" spans="45:45">
      <c r="AS6198" s="47"/>
    </row>
    <row r="6199" spans="45:45">
      <c r="AS6199" s="47"/>
    </row>
    <row r="6200" spans="45:45">
      <c r="AS6200" s="47"/>
    </row>
    <row r="6201" spans="45:45">
      <c r="AS6201" s="47"/>
    </row>
    <row r="6202" spans="45:45">
      <c r="AS6202" s="47"/>
    </row>
    <row r="6203" spans="45:45">
      <c r="AS6203" s="47"/>
    </row>
    <row r="6204" spans="45:45">
      <c r="AS6204" s="47"/>
    </row>
    <row r="6205" spans="45:45">
      <c r="AS6205" s="47"/>
    </row>
    <row r="6206" spans="45:45">
      <c r="AS6206" s="47"/>
    </row>
    <row r="6207" spans="45:45">
      <c r="AS6207" s="47"/>
    </row>
    <row r="6208" spans="45:45">
      <c r="AS6208" s="47"/>
    </row>
    <row r="6209" spans="45:45">
      <c r="AS6209" s="47"/>
    </row>
    <row r="6210" spans="45:45">
      <c r="AS6210" s="47"/>
    </row>
    <row r="6211" spans="45:45">
      <c r="AS6211" s="47"/>
    </row>
    <row r="6212" spans="45:45">
      <c r="AS6212" s="47"/>
    </row>
    <row r="6213" spans="45:45">
      <c r="AS6213" s="47"/>
    </row>
    <row r="6214" spans="45:45">
      <c r="AS6214" s="47"/>
    </row>
    <row r="6215" spans="45:45">
      <c r="AS6215" s="47"/>
    </row>
    <row r="6216" spans="45:45">
      <c r="AS6216" s="47"/>
    </row>
    <row r="6217" spans="45:45">
      <c r="AS6217" s="47"/>
    </row>
    <row r="6218" spans="45:45">
      <c r="AS6218" s="47"/>
    </row>
    <row r="6219" spans="45:45">
      <c r="AS6219" s="47"/>
    </row>
    <row r="6220" spans="45:45">
      <c r="AS6220" s="47"/>
    </row>
    <row r="6221" spans="45:45">
      <c r="AS6221" s="47"/>
    </row>
    <row r="6222" spans="45:45">
      <c r="AS6222" s="47"/>
    </row>
    <row r="6223" spans="45:45">
      <c r="AS6223" s="47"/>
    </row>
    <row r="6224" spans="45:45">
      <c r="AS6224" s="47"/>
    </row>
    <row r="6225" spans="45:45">
      <c r="AS6225" s="47"/>
    </row>
    <row r="6226" spans="45:45">
      <c r="AS6226" s="47"/>
    </row>
    <row r="6227" spans="45:45">
      <c r="AS6227" s="47"/>
    </row>
    <row r="6228" spans="45:45">
      <c r="AS6228" s="47"/>
    </row>
    <row r="6229" spans="45:45">
      <c r="AS6229" s="47"/>
    </row>
    <row r="6230" spans="45:45">
      <c r="AS6230" s="47"/>
    </row>
    <row r="6231" spans="45:45">
      <c r="AS6231" s="47"/>
    </row>
    <row r="6232" spans="45:45">
      <c r="AS6232" s="47"/>
    </row>
    <row r="6233" spans="45:45">
      <c r="AS6233" s="47"/>
    </row>
    <row r="6234" spans="45:45">
      <c r="AS6234" s="47"/>
    </row>
    <row r="6235" spans="45:45">
      <c r="AS6235" s="47"/>
    </row>
    <row r="6236" spans="45:45">
      <c r="AS6236" s="47"/>
    </row>
    <row r="6237" spans="45:45">
      <c r="AS6237" s="47"/>
    </row>
    <row r="6238" spans="45:45">
      <c r="AS6238" s="47"/>
    </row>
    <row r="6239" spans="45:45">
      <c r="AS6239" s="47"/>
    </row>
    <row r="6240" spans="45:45">
      <c r="AS6240" s="47"/>
    </row>
    <row r="6241" spans="45:45">
      <c r="AS6241" s="47"/>
    </row>
    <row r="6242" spans="45:45">
      <c r="AS6242" s="47"/>
    </row>
    <row r="6243" spans="45:45">
      <c r="AS6243" s="47"/>
    </row>
    <row r="6244" spans="45:45">
      <c r="AS6244" s="47"/>
    </row>
    <row r="6245" spans="45:45">
      <c r="AS6245" s="47"/>
    </row>
    <row r="6246" spans="45:45">
      <c r="AS6246" s="47"/>
    </row>
    <row r="6247" spans="45:45">
      <c r="AS6247" s="47"/>
    </row>
    <row r="6248" spans="45:45">
      <c r="AS6248" s="47"/>
    </row>
    <row r="6249" spans="45:45">
      <c r="AS6249" s="47"/>
    </row>
    <row r="6250" spans="45:45">
      <c r="AS6250" s="47"/>
    </row>
    <row r="6251" spans="45:45">
      <c r="AS6251" s="47"/>
    </row>
    <row r="6252" spans="45:45">
      <c r="AS6252" s="47"/>
    </row>
    <row r="6253" spans="45:45">
      <c r="AS6253" s="47"/>
    </row>
    <row r="6254" spans="45:45">
      <c r="AS6254" s="47"/>
    </row>
    <row r="6255" spans="45:45">
      <c r="AS6255" s="47"/>
    </row>
    <row r="6256" spans="45:45">
      <c r="AS6256" s="47"/>
    </row>
    <row r="6257" spans="45:45">
      <c r="AS6257" s="47"/>
    </row>
    <row r="6258" spans="45:45">
      <c r="AS6258" s="47"/>
    </row>
    <row r="6259" spans="45:45">
      <c r="AS6259" s="47"/>
    </row>
    <row r="6260" spans="45:45">
      <c r="AS6260" s="47"/>
    </row>
    <row r="6261" spans="45:45">
      <c r="AS6261" s="47"/>
    </row>
    <row r="6262" spans="45:45">
      <c r="AS6262" s="47"/>
    </row>
    <row r="6263" spans="45:45">
      <c r="AS6263" s="47"/>
    </row>
    <row r="6264" spans="45:45">
      <c r="AS6264" s="47"/>
    </row>
    <row r="6265" spans="45:45">
      <c r="AS6265" s="47"/>
    </row>
    <row r="6266" spans="45:45">
      <c r="AS6266" s="47"/>
    </row>
    <row r="6267" spans="45:45">
      <c r="AS6267" s="47"/>
    </row>
    <row r="6268" spans="45:45">
      <c r="AS6268" s="47"/>
    </row>
    <row r="6269" spans="45:45">
      <c r="AS6269" s="47"/>
    </row>
    <row r="6270" spans="45:45">
      <c r="AS6270" s="47"/>
    </row>
    <row r="6271" spans="45:45">
      <c r="AS6271" s="47"/>
    </row>
    <row r="6272" spans="45:45">
      <c r="AS6272" s="47"/>
    </row>
    <row r="6273" spans="45:45">
      <c r="AS6273" s="47"/>
    </row>
    <row r="6274" spans="45:45">
      <c r="AS6274" s="47"/>
    </row>
    <row r="6275" spans="45:45">
      <c r="AS6275" s="47"/>
    </row>
    <row r="6276" spans="45:45">
      <c r="AS6276" s="47"/>
    </row>
    <row r="6277" spans="45:45">
      <c r="AS6277" s="47"/>
    </row>
    <row r="6278" spans="45:45">
      <c r="AS6278" s="47"/>
    </row>
    <row r="6279" spans="45:45">
      <c r="AS6279" s="47"/>
    </row>
    <row r="6280" spans="45:45">
      <c r="AS6280" s="47"/>
    </row>
    <row r="6281" spans="45:45">
      <c r="AS6281" s="47"/>
    </row>
    <row r="6282" spans="45:45">
      <c r="AS6282" s="47"/>
    </row>
    <row r="6283" spans="45:45">
      <c r="AS6283" s="47"/>
    </row>
    <row r="6284" spans="45:45">
      <c r="AS6284" s="47"/>
    </row>
    <row r="6285" spans="45:45">
      <c r="AS6285" s="47"/>
    </row>
    <row r="6286" spans="45:45">
      <c r="AS6286" s="47"/>
    </row>
    <row r="6287" spans="45:45">
      <c r="AS6287" s="47"/>
    </row>
    <row r="6288" spans="45:45">
      <c r="AS6288" s="47"/>
    </row>
    <row r="6289" spans="45:45">
      <c r="AS6289" s="47"/>
    </row>
    <row r="6290" spans="45:45">
      <c r="AS6290" s="47"/>
    </row>
    <row r="6291" spans="45:45">
      <c r="AS6291" s="47"/>
    </row>
    <row r="6292" spans="45:45">
      <c r="AS6292" s="47"/>
    </row>
    <row r="6293" spans="45:45">
      <c r="AS6293" s="47"/>
    </row>
    <row r="6294" spans="45:45">
      <c r="AS6294" s="47"/>
    </row>
    <row r="6295" spans="45:45">
      <c r="AS6295" s="47"/>
    </row>
    <row r="6296" spans="45:45">
      <c r="AS6296" s="47"/>
    </row>
    <row r="6297" spans="45:45">
      <c r="AS6297" s="47"/>
    </row>
    <row r="6298" spans="45:45">
      <c r="AS6298" s="47"/>
    </row>
    <row r="6299" spans="45:45">
      <c r="AS6299" s="47"/>
    </row>
    <row r="6300" spans="45:45">
      <c r="AS6300" s="47"/>
    </row>
    <row r="6301" spans="45:45">
      <c r="AS6301" s="47"/>
    </row>
    <row r="6302" spans="45:45">
      <c r="AS6302" s="47"/>
    </row>
    <row r="6303" spans="45:45">
      <c r="AS6303" s="47"/>
    </row>
    <row r="6304" spans="45:45">
      <c r="AS6304" s="47"/>
    </row>
    <row r="6305" spans="45:45">
      <c r="AS6305" s="47"/>
    </row>
    <row r="6306" spans="45:45">
      <c r="AS6306" s="47"/>
    </row>
    <row r="6307" spans="45:45">
      <c r="AS6307" s="47"/>
    </row>
    <row r="6308" spans="45:45">
      <c r="AS6308" s="47"/>
    </row>
    <row r="6309" spans="45:45">
      <c r="AS6309" s="47"/>
    </row>
    <row r="6310" spans="45:45">
      <c r="AS6310" s="47"/>
    </row>
    <row r="6311" spans="45:45">
      <c r="AS6311" s="47"/>
    </row>
    <row r="6312" spans="45:45">
      <c r="AS6312" s="47"/>
    </row>
    <row r="6313" spans="45:45">
      <c r="AS6313" s="47"/>
    </row>
    <row r="6314" spans="45:45">
      <c r="AS6314" s="47"/>
    </row>
    <row r="6315" spans="45:45">
      <c r="AS6315" s="47"/>
    </row>
    <row r="6316" spans="45:45">
      <c r="AS6316" s="47"/>
    </row>
    <row r="6317" spans="45:45">
      <c r="AS6317" s="47"/>
    </row>
    <row r="6318" spans="45:45">
      <c r="AS6318" s="47"/>
    </row>
    <row r="6319" spans="45:45">
      <c r="AS6319" s="47"/>
    </row>
    <row r="6320" spans="45:45">
      <c r="AS6320" s="47"/>
    </row>
    <row r="6321" spans="45:45">
      <c r="AS6321" s="47"/>
    </row>
    <row r="6322" spans="45:45">
      <c r="AS6322" s="47"/>
    </row>
    <row r="6323" spans="45:45">
      <c r="AS6323" s="47"/>
    </row>
    <row r="6324" spans="45:45">
      <c r="AS6324" s="47"/>
    </row>
    <row r="6325" spans="45:45">
      <c r="AS6325" s="47"/>
    </row>
    <row r="6326" spans="45:45">
      <c r="AS6326" s="47"/>
    </row>
    <row r="6327" spans="45:45">
      <c r="AS6327" s="47"/>
    </row>
    <row r="6328" spans="45:45">
      <c r="AS6328" s="47"/>
    </row>
    <row r="6329" spans="45:45">
      <c r="AS6329" s="47"/>
    </row>
    <row r="6330" spans="45:45">
      <c r="AS6330" s="47"/>
    </row>
    <row r="6331" spans="45:45">
      <c r="AS6331" s="47"/>
    </row>
    <row r="6332" spans="45:45">
      <c r="AS6332" s="47"/>
    </row>
    <row r="6333" spans="45:45">
      <c r="AS6333" s="47"/>
    </row>
    <row r="6334" spans="45:45">
      <c r="AS6334" s="47"/>
    </row>
    <row r="6335" spans="45:45">
      <c r="AS6335" s="47"/>
    </row>
    <row r="6336" spans="45:45">
      <c r="AS6336" s="47"/>
    </row>
    <row r="6337" spans="45:45">
      <c r="AS6337" s="47"/>
    </row>
    <row r="6338" spans="45:45">
      <c r="AS6338" s="47"/>
    </row>
    <row r="6339" spans="45:45">
      <c r="AS6339" s="47"/>
    </row>
    <row r="6340" spans="45:45">
      <c r="AS6340" s="47"/>
    </row>
    <row r="6341" spans="45:45">
      <c r="AS6341" s="47"/>
    </row>
    <row r="6342" spans="45:45">
      <c r="AS6342" s="47"/>
    </row>
    <row r="6343" spans="45:45">
      <c r="AS6343" s="47"/>
    </row>
    <row r="6344" spans="45:45">
      <c r="AS6344" s="47"/>
    </row>
    <row r="6345" spans="45:45">
      <c r="AS6345" s="47"/>
    </row>
    <row r="6346" spans="45:45">
      <c r="AS6346" s="47"/>
    </row>
    <row r="6347" spans="45:45">
      <c r="AS6347" s="47"/>
    </row>
    <row r="6348" spans="45:45">
      <c r="AS6348" s="47"/>
    </row>
    <row r="6349" spans="45:45">
      <c r="AS6349" s="47"/>
    </row>
    <row r="6350" spans="45:45">
      <c r="AS6350" s="47"/>
    </row>
    <row r="6351" spans="45:45">
      <c r="AS6351" s="47"/>
    </row>
    <row r="6352" spans="45:45">
      <c r="AS6352" s="47"/>
    </row>
    <row r="6353" spans="45:45">
      <c r="AS6353" s="47"/>
    </row>
    <row r="6354" spans="45:45">
      <c r="AS6354" s="47"/>
    </row>
    <row r="6355" spans="45:45">
      <c r="AS6355" s="47"/>
    </row>
    <row r="6356" spans="45:45">
      <c r="AS6356" s="47"/>
    </row>
    <row r="6357" spans="45:45">
      <c r="AS6357" s="47"/>
    </row>
    <row r="6358" spans="45:45">
      <c r="AS6358" s="47"/>
    </row>
    <row r="6359" spans="45:45">
      <c r="AS6359" s="47"/>
    </row>
    <row r="6360" spans="45:45">
      <c r="AS6360" s="47"/>
    </row>
    <row r="6361" spans="45:45">
      <c r="AS6361" s="47"/>
    </row>
    <row r="6362" spans="45:45">
      <c r="AS6362" s="47"/>
    </row>
    <row r="6363" spans="45:45">
      <c r="AS6363" s="47"/>
    </row>
    <row r="6364" spans="45:45">
      <c r="AS6364" s="47"/>
    </row>
    <row r="6365" spans="45:45">
      <c r="AS6365" s="47"/>
    </row>
    <row r="6366" spans="45:45">
      <c r="AS6366" s="47"/>
    </row>
    <row r="6367" spans="45:45">
      <c r="AS6367" s="47"/>
    </row>
    <row r="6368" spans="45:45">
      <c r="AS6368" s="47"/>
    </row>
    <row r="6369" spans="45:45">
      <c r="AS6369" s="47"/>
    </row>
    <row r="6370" spans="45:45">
      <c r="AS6370" s="47"/>
    </row>
    <row r="6371" spans="45:45">
      <c r="AS6371" s="47"/>
    </row>
    <row r="6372" spans="45:45">
      <c r="AS6372" s="47"/>
    </row>
    <row r="6373" spans="45:45">
      <c r="AS6373" s="47"/>
    </row>
    <row r="6374" spans="45:45">
      <c r="AS6374" s="47"/>
    </row>
    <row r="6375" spans="45:45">
      <c r="AS6375" s="47"/>
    </row>
    <row r="6376" spans="45:45">
      <c r="AS6376" s="47"/>
    </row>
    <row r="6377" spans="45:45">
      <c r="AS6377" s="47"/>
    </row>
    <row r="6378" spans="45:45">
      <c r="AS6378" s="47"/>
    </row>
    <row r="6379" spans="45:45">
      <c r="AS6379" s="47"/>
    </row>
    <row r="6380" spans="45:45">
      <c r="AS6380" s="47"/>
    </row>
    <row r="6381" spans="45:45">
      <c r="AS6381" s="47"/>
    </row>
    <row r="6382" spans="45:45">
      <c r="AS6382" s="47"/>
    </row>
    <row r="6383" spans="45:45">
      <c r="AS6383" s="47"/>
    </row>
    <row r="6384" spans="45:45">
      <c r="AS6384" s="47"/>
    </row>
    <row r="6385" spans="45:45">
      <c r="AS6385" s="47"/>
    </row>
    <row r="6386" spans="45:45">
      <c r="AS6386" s="47"/>
    </row>
    <row r="6387" spans="45:45">
      <c r="AS6387" s="47"/>
    </row>
    <row r="6388" spans="45:45">
      <c r="AS6388" s="47"/>
    </row>
    <row r="6389" spans="45:45">
      <c r="AS6389" s="47"/>
    </row>
    <row r="6390" spans="45:45">
      <c r="AS6390" s="47"/>
    </row>
    <row r="6391" spans="45:45">
      <c r="AS6391" s="47"/>
    </row>
    <row r="6392" spans="45:45">
      <c r="AS6392" s="47"/>
    </row>
    <row r="6393" spans="45:45">
      <c r="AS6393" s="47"/>
    </row>
    <row r="6394" spans="45:45">
      <c r="AS6394" s="47"/>
    </row>
    <row r="6395" spans="45:45">
      <c r="AS6395" s="47"/>
    </row>
    <row r="6396" spans="45:45">
      <c r="AS6396" s="47"/>
    </row>
    <row r="6397" spans="45:45">
      <c r="AS6397" s="47"/>
    </row>
    <row r="6398" spans="45:45">
      <c r="AS6398" s="47"/>
    </row>
    <row r="6399" spans="45:45">
      <c r="AS6399" s="47"/>
    </row>
    <row r="6400" spans="45:45">
      <c r="AS6400" s="47"/>
    </row>
    <row r="6401" spans="45:45">
      <c r="AS6401" s="47"/>
    </row>
    <row r="6402" spans="45:45">
      <c r="AS6402" s="47"/>
    </row>
    <row r="6403" spans="45:45">
      <c r="AS6403" s="47"/>
    </row>
    <row r="6404" spans="45:45">
      <c r="AS6404" s="47"/>
    </row>
    <row r="6405" spans="45:45">
      <c r="AS6405" s="47"/>
    </row>
    <row r="6406" spans="45:45">
      <c r="AS6406" s="47"/>
    </row>
    <row r="6407" spans="45:45">
      <c r="AS6407" s="47"/>
    </row>
    <row r="6408" spans="45:45">
      <c r="AS6408" s="47"/>
    </row>
    <row r="6409" spans="45:45">
      <c r="AS6409" s="47"/>
    </row>
    <row r="6410" spans="45:45">
      <c r="AS6410" s="47"/>
    </row>
    <row r="6411" spans="45:45">
      <c r="AS6411" s="47"/>
    </row>
    <row r="6412" spans="45:45">
      <c r="AS6412" s="47"/>
    </row>
    <row r="6413" spans="45:45">
      <c r="AS6413" s="47"/>
    </row>
    <row r="6414" spans="45:45">
      <c r="AS6414" s="47"/>
    </row>
    <row r="6415" spans="45:45">
      <c r="AS6415" s="47"/>
    </row>
    <row r="6416" spans="45:45">
      <c r="AS6416" s="47"/>
    </row>
    <row r="6417" spans="45:45">
      <c r="AS6417" s="47"/>
    </row>
    <row r="6418" spans="45:45">
      <c r="AS6418" s="47"/>
    </row>
    <row r="6419" spans="45:45">
      <c r="AS6419" s="47"/>
    </row>
    <row r="6420" spans="45:45">
      <c r="AS6420" s="47"/>
    </row>
    <row r="6421" spans="45:45">
      <c r="AS6421" s="47"/>
    </row>
    <row r="6422" spans="45:45">
      <c r="AS6422" s="47"/>
    </row>
    <row r="6423" spans="45:45">
      <c r="AS6423" s="47"/>
    </row>
    <row r="6424" spans="45:45">
      <c r="AS6424" s="47"/>
    </row>
    <row r="6425" spans="45:45">
      <c r="AS6425" s="47"/>
    </row>
    <row r="6426" spans="45:45">
      <c r="AS6426" s="47"/>
    </row>
    <row r="6427" spans="45:45">
      <c r="AS6427" s="47"/>
    </row>
    <row r="6428" spans="45:45">
      <c r="AS6428" s="47"/>
    </row>
    <row r="6429" spans="45:45">
      <c r="AS6429" s="47"/>
    </row>
    <row r="6430" spans="45:45">
      <c r="AS6430" s="47"/>
    </row>
    <row r="6431" spans="45:45">
      <c r="AS6431" s="47"/>
    </row>
    <row r="6432" spans="45:45">
      <c r="AS6432" s="47"/>
    </row>
    <row r="6433" spans="45:45">
      <c r="AS6433" s="47"/>
    </row>
    <row r="6434" spans="45:45">
      <c r="AS6434" s="47"/>
    </row>
    <row r="6435" spans="45:45">
      <c r="AS6435" s="47"/>
    </row>
    <row r="6436" spans="45:45">
      <c r="AS6436" s="47"/>
    </row>
    <row r="6437" spans="45:45">
      <c r="AS6437" s="47"/>
    </row>
    <row r="6438" spans="45:45">
      <c r="AS6438" s="47"/>
    </row>
    <row r="6439" spans="45:45">
      <c r="AS6439" s="47"/>
    </row>
    <row r="6440" spans="45:45">
      <c r="AS6440" s="47"/>
    </row>
    <row r="6441" spans="45:45">
      <c r="AS6441" s="47"/>
    </row>
    <row r="6442" spans="45:45">
      <c r="AS6442" s="47"/>
    </row>
    <row r="6443" spans="45:45">
      <c r="AS6443" s="47"/>
    </row>
    <row r="6444" spans="45:45">
      <c r="AS6444" s="47"/>
    </row>
    <row r="6445" spans="45:45">
      <c r="AS6445" s="47"/>
    </row>
    <row r="6446" spans="45:45">
      <c r="AS6446" s="47"/>
    </row>
    <row r="6447" spans="45:45">
      <c r="AS6447" s="47"/>
    </row>
    <row r="6448" spans="45:45">
      <c r="AS6448" s="47"/>
    </row>
    <row r="6449" spans="45:45">
      <c r="AS6449" s="47"/>
    </row>
    <row r="6450" spans="45:45">
      <c r="AS6450" s="47"/>
    </row>
    <row r="6451" spans="45:45">
      <c r="AS6451" s="47"/>
    </row>
    <row r="6452" spans="45:45">
      <c r="AS6452" s="47"/>
    </row>
    <row r="6453" spans="45:45">
      <c r="AS6453" s="47"/>
    </row>
    <row r="6454" spans="45:45">
      <c r="AS6454" s="47"/>
    </row>
    <row r="6455" spans="45:45">
      <c r="AS6455" s="47"/>
    </row>
    <row r="6456" spans="45:45">
      <c r="AS6456" s="47"/>
    </row>
    <row r="6457" spans="45:45">
      <c r="AS6457" s="47"/>
    </row>
    <row r="6458" spans="45:45">
      <c r="AS6458" s="47"/>
    </row>
    <row r="6459" spans="45:45">
      <c r="AS6459" s="47"/>
    </row>
    <row r="6460" spans="45:45">
      <c r="AS6460" s="47"/>
    </row>
    <row r="6461" spans="45:45">
      <c r="AS6461" s="47"/>
    </row>
    <row r="6462" spans="45:45">
      <c r="AS6462" s="47"/>
    </row>
    <row r="6463" spans="45:45">
      <c r="AS6463" s="47"/>
    </row>
    <row r="6464" spans="45:45">
      <c r="AS6464" s="47"/>
    </row>
    <row r="6465" spans="45:45">
      <c r="AS6465" s="47"/>
    </row>
    <row r="6466" spans="45:45">
      <c r="AS6466" s="47"/>
    </row>
    <row r="6467" spans="45:45">
      <c r="AS6467" s="47"/>
    </row>
    <row r="6468" spans="45:45">
      <c r="AS6468" s="47"/>
    </row>
    <row r="6469" spans="45:45">
      <c r="AS6469" s="47"/>
    </row>
    <row r="6470" spans="45:45">
      <c r="AS6470" s="47"/>
    </row>
    <row r="6471" spans="45:45">
      <c r="AS6471" s="47"/>
    </row>
    <row r="6472" spans="45:45">
      <c r="AS6472" s="47"/>
    </row>
    <row r="6473" spans="45:45">
      <c r="AS6473" s="47"/>
    </row>
    <row r="6474" spans="45:45">
      <c r="AS6474" s="47"/>
    </row>
    <row r="6475" spans="45:45">
      <c r="AS6475" s="47"/>
    </row>
    <row r="6476" spans="45:45">
      <c r="AS6476" s="47"/>
    </row>
    <row r="6477" spans="45:45">
      <c r="AS6477" s="47"/>
    </row>
    <row r="6478" spans="45:45">
      <c r="AS6478" s="47"/>
    </row>
    <row r="6479" spans="45:45">
      <c r="AS6479" s="47"/>
    </row>
    <row r="6480" spans="45:45">
      <c r="AS6480" s="47"/>
    </row>
    <row r="6481" spans="45:45">
      <c r="AS6481" s="47"/>
    </row>
    <row r="6482" spans="45:45">
      <c r="AS6482" s="47"/>
    </row>
    <row r="6483" spans="45:45">
      <c r="AS6483" s="47"/>
    </row>
    <row r="6484" spans="45:45">
      <c r="AS6484" s="47"/>
    </row>
    <row r="6485" spans="45:45">
      <c r="AS6485" s="47"/>
    </row>
    <row r="6486" spans="45:45">
      <c r="AS6486" s="47"/>
    </row>
    <row r="6487" spans="45:45">
      <c r="AS6487" s="47"/>
    </row>
    <row r="6488" spans="45:45">
      <c r="AS6488" s="47"/>
    </row>
    <row r="6489" spans="45:45">
      <c r="AS6489" s="47"/>
    </row>
    <row r="6490" spans="45:45">
      <c r="AS6490" s="47"/>
    </row>
    <row r="6491" spans="45:45">
      <c r="AS6491" s="47"/>
    </row>
    <row r="6492" spans="45:45">
      <c r="AS6492" s="47"/>
    </row>
    <row r="6493" spans="45:45">
      <c r="AS6493" s="47"/>
    </row>
    <row r="6494" spans="45:45">
      <c r="AS6494" s="47"/>
    </row>
    <row r="6495" spans="45:45">
      <c r="AS6495" s="47"/>
    </row>
    <row r="6496" spans="45:45">
      <c r="AS6496" s="47"/>
    </row>
    <row r="6497" spans="45:45">
      <c r="AS6497" s="47"/>
    </row>
    <row r="6498" spans="45:45">
      <c r="AS6498" s="47"/>
    </row>
    <row r="6499" spans="45:45">
      <c r="AS6499" s="47"/>
    </row>
    <row r="6500" spans="45:45">
      <c r="AS6500" s="47"/>
    </row>
    <row r="6501" spans="45:45">
      <c r="AS6501" s="47"/>
    </row>
    <row r="6502" spans="45:45">
      <c r="AS6502" s="47"/>
    </row>
    <row r="6503" spans="45:45">
      <c r="AS6503" s="47"/>
    </row>
    <row r="6504" spans="45:45">
      <c r="AS6504" s="47"/>
    </row>
    <row r="6505" spans="45:45">
      <c r="AS6505" s="47"/>
    </row>
    <row r="6506" spans="45:45">
      <c r="AS6506" s="47"/>
    </row>
    <row r="6507" spans="45:45">
      <c r="AS6507" s="47"/>
    </row>
    <row r="6508" spans="45:45">
      <c r="AS6508" s="47"/>
    </row>
    <row r="6509" spans="45:45">
      <c r="AS6509" s="47"/>
    </row>
    <row r="6510" spans="45:45">
      <c r="AS6510" s="47"/>
    </row>
    <row r="6511" spans="45:45">
      <c r="AS6511" s="47"/>
    </row>
    <row r="6512" spans="45:45">
      <c r="AS6512" s="47"/>
    </row>
    <row r="6513" spans="45:45">
      <c r="AS6513" s="47"/>
    </row>
    <row r="6514" spans="45:45">
      <c r="AS6514" s="47"/>
    </row>
    <row r="6515" spans="45:45">
      <c r="AS6515" s="47"/>
    </row>
    <row r="6516" spans="45:45">
      <c r="AS6516" s="47"/>
    </row>
    <row r="6517" spans="45:45">
      <c r="AS6517" s="47"/>
    </row>
    <row r="6518" spans="45:45">
      <c r="AS6518" s="47"/>
    </row>
    <row r="6519" spans="45:45">
      <c r="AS6519" s="47"/>
    </row>
    <row r="6520" spans="45:45">
      <c r="AS6520" s="47"/>
    </row>
    <row r="6521" spans="45:45">
      <c r="AS6521" s="47"/>
    </row>
    <row r="6522" spans="45:45">
      <c r="AS6522" s="47"/>
    </row>
    <row r="6523" spans="45:45">
      <c r="AS6523" s="47"/>
    </row>
    <row r="6524" spans="45:45">
      <c r="AS6524" s="47"/>
    </row>
    <row r="6525" spans="45:45">
      <c r="AS6525" s="47"/>
    </row>
    <row r="6526" spans="45:45">
      <c r="AS6526" s="47"/>
    </row>
    <row r="6527" spans="45:45">
      <c r="AS6527" s="47"/>
    </row>
    <row r="6528" spans="45:45">
      <c r="AS6528" s="47"/>
    </row>
    <row r="6529" spans="45:45">
      <c r="AS6529" s="47"/>
    </row>
    <row r="6530" spans="45:45">
      <c r="AS6530" s="47"/>
    </row>
    <row r="6531" spans="45:45">
      <c r="AS6531" s="47"/>
    </row>
    <row r="6532" spans="45:45">
      <c r="AS6532" s="47"/>
    </row>
    <row r="6533" spans="45:45">
      <c r="AS6533" s="47"/>
    </row>
    <row r="6534" spans="45:45">
      <c r="AS6534" s="47"/>
    </row>
    <row r="6535" spans="45:45">
      <c r="AS6535" s="47"/>
    </row>
    <row r="6536" spans="45:45">
      <c r="AS6536" s="47"/>
    </row>
    <row r="6537" spans="45:45">
      <c r="AS6537" s="47"/>
    </row>
    <row r="6538" spans="45:45">
      <c r="AS6538" s="47"/>
    </row>
    <row r="6539" spans="45:45">
      <c r="AS6539" s="47"/>
    </row>
    <row r="6540" spans="45:45">
      <c r="AS6540" s="47"/>
    </row>
    <row r="6541" spans="45:45">
      <c r="AS6541" s="47"/>
    </row>
    <row r="6542" spans="45:45">
      <c r="AS6542" s="47"/>
    </row>
    <row r="6543" spans="45:45">
      <c r="AS6543" s="47"/>
    </row>
    <row r="6544" spans="45:45">
      <c r="AS6544" s="47"/>
    </row>
    <row r="6545" spans="45:45">
      <c r="AS6545" s="47"/>
    </row>
    <row r="6546" spans="45:45">
      <c r="AS6546" s="47"/>
    </row>
    <row r="6547" spans="45:45">
      <c r="AS6547" s="47"/>
    </row>
    <row r="6548" spans="45:45">
      <c r="AS6548" s="47"/>
    </row>
    <row r="6549" spans="45:45">
      <c r="AS6549" s="47"/>
    </row>
    <row r="6550" spans="45:45">
      <c r="AS6550" s="47"/>
    </row>
    <row r="6551" spans="45:45">
      <c r="AS6551" s="47"/>
    </row>
    <row r="6552" spans="45:45">
      <c r="AS6552" s="47"/>
    </row>
    <row r="6553" spans="45:45">
      <c r="AS6553" s="47"/>
    </row>
    <row r="6554" spans="45:45">
      <c r="AS6554" s="47"/>
    </row>
    <row r="6555" spans="45:45">
      <c r="AS6555" s="47"/>
    </row>
    <row r="6556" spans="45:45">
      <c r="AS6556" s="47"/>
    </row>
    <row r="6557" spans="45:45">
      <c r="AS6557" s="47"/>
    </row>
    <row r="6558" spans="45:45">
      <c r="AS6558" s="47"/>
    </row>
    <row r="6559" spans="45:45">
      <c r="AS6559" s="47"/>
    </row>
    <row r="6560" spans="45:45">
      <c r="AS6560" s="47"/>
    </row>
    <row r="6561" spans="45:45">
      <c r="AS6561" s="47"/>
    </row>
    <row r="6562" spans="45:45">
      <c r="AS6562" s="47"/>
    </row>
    <row r="6563" spans="45:45">
      <c r="AS6563" s="47"/>
    </row>
    <row r="6564" spans="45:45">
      <c r="AS6564" s="47"/>
    </row>
    <row r="6565" spans="45:45">
      <c r="AS6565" s="47"/>
    </row>
    <row r="6566" spans="45:45">
      <c r="AS6566" s="47"/>
    </row>
    <row r="6567" spans="45:45">
      <c r="AS6567" s="47"/>
    </row>
    <row r="6568" spans="45:45">
      <c r="AS6568" s="47"/>
    </row>
    <row r="6569" spans="45:45">
      <c r="AS6569" s="47"/>
    </row>
    <row r="6570" spans="45:45">
      <c r="AS6570" s="47"/>
    </row>
    <row r="6571" spans="45:45">
      <c r="AS6571" s="47"/>
    </row>
    <row r="6572" spans="45:45">
      <c r="AS6572" s="47"/>
    </row>
    <row r="6573" spans="45:45">
      <c r="AS6573" s="47"/>
    </row>
    <row r="6574" spans="45:45">
      <c r="AS6574" s="47"/>
    </row>
    <row r="6575" spans="45:45">
      <c r="AS6575" s="47"/>
    </row>
    <row r="6576" spans="45:45">
      <c r="AS6576" s="47"/>
    </row>
    <row r="6577" spans="45:45">
      <c r="AS6577" s="47"/>
    </row>
    <row r="6578" spans="45:45">
      <c r="AS6578" s="47"/>
    </row>
    <row r="6579" spans="45:45">
      <c r="AS6579" s="47"/>
    </row>
    <row r="6580" spans="45:45">
      <c r="AS6580" s="47"/>
    </row>
    <row r="6581" spans="45:45">
      <c r="AS6581" s="47"/>
    </row>
    <row r="6582" spans="45:45">
      <c r="AS6582" s="47"/>
    </row>
    <row r="6583" spans="45:45">
      <c r="AS6583" s="47"/>
    </row>
    <row r="6584" spans="45:45">
      <c r="AS6584" s="47"/>
    </row>
    <row r="6585" spans="45:45">
      <c r="AS6585" s="47"/>
    </row>
    <row r="6586" spans="45:45">
      <c r="AS6586" s="47"/>
    </row>
    <row r="6587" spans="45:45">
      <c r="AS6587" s="47"/>
    </row>
    <row r="6588" spans="45:45">
      <c r="AS6588" s="47"/>
    </row>
    <row r="6589" spans="45:45">
      <c r="AS6589" s="47"/>
    </row>
    <row r="6590" spans="45:45">
      <c r="AS6590" s="47"/>
    </row>
    <row r="6591" spans="45:45">
      <c r="AS6591" s="47"/>
    </row>
    <row r="6592" spans="45:45">
      <c r="AS6592" s="47"/>
    </row>
    <row r="6593" spans="45:45">
      <c r="AS6593" s="47"/>
    </row>
    <row r="6594" spans="45:45">
      <c r="AS6594" s="47"/>
    </row>
    <row r="6595" spans="45:45">
      <c r="AS6595" s="47"/>
    </row>
    <row r="6596" spans="45:45">
      <c r="AS6596" s="47"/>
    </row>
    <row r="6597" spans="45:45">
      <c r="AS6597" s="47"/>
    </row>
    <row r="6598" spans="45:45">
      <c r="AS6598" s="47"/>
    </row>
    <row r="6599" spans="45:45">
      <c r="AS6599" s="47"/>
    </row>
    <row r="6600" spans="45:45">
      <c r="AS6600" s="47"/>
    </row>
    <row r="6601" spans="45:45">
      <c r="AS6601" s="47"/>
    </row>
    <row r="6602" spans="45:45">
      <c r="AS6602" s="47"/>
    </row>
    <row r="6603" spans="45:45">
      <c r="AS6603" s="47"/>
    </row>
    <row r="6604" spans="45:45">
      <c r="AS6604" s="47"/>
    </row>
    <row r="6605" spans="45:45">
      <c r="AS6605" s="47"/>
    </row>
    <row r="6606" spans="45:45">
      <c r="AS6606" s="47"/>
    </row>
    <row r="6607" spans="45:45">
      <c r="AS6607" s="47"/>
    </row>
    <row r="6608" spans="45:45">
      <c r="AS6608" s="47"/>
    </row>
    <row r="6609" spans="45:45">
      <c r="AS6609" s="47"/>
    </row>
    <row r="6610" spans="45:45">
      <c r="AS6610" s="47"/>
    </row>
    <row r="6611" spans="45:45">
      <c r="AS6611" s="47"/>
    </row>
    <row r="6612" spans="45:45">
      <c r="AS6612" s="47"/>
    </row>
    <row r="6613" spans="45:45">
      <c r="AS6613" s="47"/>
    </row>
    <row r="6614" spans="45:45">
      <c r="AS6614" s="47"/>
    </row>
    <row r="6615" spans="45:45">
      <c r="AS6615" s="47"/>
    </row>
    <row r="6616" spans="45:45">
      <c r="AS6616" s="47"/>
    </row>
    <row r="6617" spans="45:45">
      <c r="AS6617" s="47"/>
    </row>
    <row r="6618" spans="45:45">
      <c r="AS6618" s="47"/>
    </row>
    <row r="6619" spans="45:45">
      <c r="AS6619" s="47"/>
    </row>
    <row r="6620" spans="45:45">
      <c r="AS6620" s="47"/>
    </row>
    <row r="6621" spans="45:45">
      <c r="AS6621" s="47"/>
    </row>
    <row r="6622" spans="45:45">
      <c r="AS6622" s="47"/>
    </row>
    <row r="6623" spans="45:45">
      <c r="AS6623" s="47"/>
    </row>
    <row r="6624" spans="45:45">
      <c r="AS6624" s="47"/>
    </row>
    <row r="6625" spans="45:45">
      <c r="AS6625" s="47"/>
    </row>
    <row r="6626" spans="45:45">
      <c r="AS6626" s="47"/>
    </row>
    <row r="6627" spans="45:45">
      <c r="AS6627" s="47"/>
    </row>
    <row r="6628" spans="45:45">
      <c r="AS6628" s="47"/>
    </row>
    <row r="6629" spans="45:45">
      <c r="AS6629" s="47"/>
    </row>
    <row r="6630" spans="45:45">
      <c r="AS6630" s="47"/>
    </row>
    <row r="6631" spans="45:45">
      <c r="AS6631" s="47"/>
    </row>
    <row r="6632" spans="45:45">
      <c r="AS6632" s="47"/>
    </row>
    <row r="6633" spans="45:45">
      <c r="AS6633" s="47"/>
    </row>
    <row r="6634" spans="45:45">
      <c r="AS6634" s="47"/>
    </row>
    <row r="6635" spans="45:45">
      <c r="AS6635" s="47"/>
    </row>
    <row r="6636" spans="45:45">
      <c r="AS6636" s="47"/>
    </row>
    <row r="6637" spans="45:45">
      <c r="AS6637" s="47"/>
    </row>
    <row r="6638" spans="45:45">
      <c r="AS6638" s="47"/>
    </row>
    <row r="6639" spans="45:45">
      <c r="AS6639" s="47"/>
    </row>
    <row r="6640" spans="45:45">
      <c r="AS6640" s="47"/>
    </row>
    <row r="6641" spans="45:45">
      <c r="AS6641" s="47"/>
    </row>
    <row r="6642" spans="45:45">
      <c r="AS6642" s="47"/>
    </row>
    <row r="6643" spans="45:45">
      <c r="AS6643" s="47"/>
    </row>
    <row r="6644" spans="45:45">
      <c r="AS6644" s="47"/>
    </row>
    <row r="6645" spans="45:45">
      <c r="AS6645" s="47"/>
    </row>
    <row r="6646" spans="45:45">
      <c r="AS6646" s="47"/>
    </row>
    <row r="6647" spans="45:45">
      <c r="AS6647" s="47"/>
    </row>
    <row r="6648" spans="45:45">
      <c r="AS6648" s="47"/>
    </row>
    <row r="6649" spans="45:45">
      <c r="AS6649" s="47"/>
    </row>
    <row r="6650" spans="45:45">
      <c r="AS6650" s="47"/>
    </row>
    <row r="6651" spans="45:45">
      <c r="AS6651" s="47"/>
    </row>
    <row r="6652" spans="45:45">
      <c r="AS6652" s="47"/>
    </row>
    <row r="6653" spans="45:45">
      <c r="AS6653" s="47"/>
    </row>
    <row r="6654" spans="45:45">
      <c r="AS6654" s="47"/>
    </row>
    <row r="6655" spans="45:45">
      <c r="AS6655" s="47"/>
    </row>
    <row r="6656" spans="45:45">
      <c r="AS6656" s="47"/>
    </row>
    <row r="6657" spans="45:45">
      <c r="AS6657" s="47"/>
    </row>
    <row r="6658" spans="45:45">
      <c r="AS6658" s="47"/>
    </row>
    <row r="6659" spans="45:45">
      <c r="AS6659" s="47"/>
    </row>
    <row r="6660" spans="45:45">
      <c r="AS6660" s="47"/>
    </row>
    <row r="6661" spans="45:45">
      <c r="AS6661" s="47"/>
    </row>
    <row r="6662" spans="45:45">
      <c r="AS6662" s="47"/>
    </row>
    <row r="6663" spans="45:45">
      <c r="AS6663" s="47"/>
    </row>
    <row r="6664" spans="45:45">
      <c r="AS6664" s="47"/>
    </row>
    <row r="6665" spans="45:45">
      <c r="AS6665" s="47"/>
    </row>
    <row r="6666" spans="45:45">
      <c r="AS6666" s="47"/>
    </row>
    <row r="6667" spans="45:45">
      <c r="AS6667" s="47"/>
    </row>
    <row r="6668" spans="45:45">
      <c r="AS6668" s="47"/>
    </row>
    <row r="6669" spans="45:45">
      <c r="AS6669" s="47"/>
    </row>
    <row r="6670" spans="45:45">
      <c r="AS6670" s="47"/>
    </row>
    <row r="6671" spans="45:45">
      <c r="AS6671" s="47"/>
    </row>
    <row r="6672" spans="45:45">
      <c r="AS6672" s="47"/>
    </row>
    <row r="6673" spans="45:45">
      <c r="AS6673" s="47"/>
    </row>
    <row r="6674" spans="45:45">
      <c r="AS6674" s="47"/>
    </row>
    <row r="6675" spans="45:45">
      <c r="AS6675" s="47"/>
    </row>
    <row r="6676" spans="45:45">
      <c r="AS6676" s="47"/>
    </row>
    <row r="6677" spans="45:45">
      <c r="AS6677" s="47"/>
    </row>
    <row r="6678" spans="45:45">
      <c r="AS6678" s="47"/>
    </row>
    <row r="6679" spans="45:45">
      <c r="AS6679" s="47"/>
    </row>
    <row r="6680" spans="45:45">
      <c r="AS6680" s="47"/>
    </row>
    <row r="6681" spans="45:45">
      <c r="AS6681" s="47"/>
    </row>
    <row r="6682" spans="45:45">
      <c r="AS6682" s="47"/>
    </row>
    <row r="6683" spans="45:45">
      <c r="AS6683" s="47"/>
    </row>
    <row r="6684" spans="45:45">
      <c r="AS6684" s="47"/>
    </row>
    <row r="6685" spans="45:45">
      <c r="AS6685" s="47"/>
    </row>
    <row r="6686" spans="45:45">
      <c r="AS6686" s="47"/>
    </row>
    <row r="6687" spans="45:45">
      <c r="AS6687" s="47"/>
    </row>
    <row r="6688" spans="45:45">
      <c r="AS6688" s="47"/>
    </row>
    <row r="6689" spans="45:45">
      <c r="AS6689" s="47"/>
    </row>
    <row r="6690" spans="45:45">
      <c r="AS6690" s="47"/>
    </row>
    <row r="6691" spans="45:45">
      <c r="AS6691" s="47"/>
    </row>
    <row r="6692" spans="45:45">
      <c r="AS6692" s="47"/>
    </row>
    <row r="6693" spans="45:45">
      <c r="AS6693" s="47"/>
    </row>
    <row r="6694" spans="45:45">
      <c r="AS6694" s="47"/>
    </row>
    <row r="6695" spans="45:45">
      <c r="AS6695" s="47"/>
    </row>
    <row r="6696" spans="45:45">
      <c r="AS6696" s="47"/>
    </row>
    <row r="6697" spans="45:45">
      <c r="AS6697" s="47"/>
    </row>
    <row r="6698" spans="45:45">
      <c r="AS6698" s="47"/>
    </row>
    <row r="6699" spans="45:45">
      <c r="AS6699" s="47"/>
    </row>
    <row r="6700" spans="45:45">
      <c r="AS6700" s="47"/>
    </row>
    <row r="6701" spans="45:45">
      <c r="AS6701" s="47"/>
    </row>
    <row r="6702" spans="45:45">
      <c r="AS6702" s="47"/>
    </row>
    <row r="6703" spans="45:45">
      <c r="AS6703" s="47"/>
    </row>
    <row r="6704" spans="45:45">
      <c r="AS6704" s="47"/>
    </row>
    <row r="6705" spans="45:45">
      <c r="AS6705" s="47"/>
    </row>
    <row r="6706" spans="45:45">
      <c r="AS6706" s="47"/>
    </row>
    <row r="6707" spans="45:45">
      <c r="AS6707" s="47"/>
    </row>
    <row r="6708" spans="45:45">
      <c r="AS6708" s="47"/>
    </row>
    <row r="6709" spans="45:45">
      <c r="AS6709" s="47"/>
    </row>
    <row r="6710" spans="45:45">
      <c r="AS6710" s="47"/>
    </row>
    <row r="6711" spans="45:45">
      <c r="AS6711" s="47"/>
    </row>
    <row r="6712" spans="45:45">
      <c r="AS6712" s="47"/>
    </row>
    <row r="6713" spans="45:45">
      <c r="AS6713" s="47"/>
    </row>
    <row r="6714" spans="45:45">
      <c r="AS6714" s="47"/>
    </row>
    <row r="6715" spans="45:45">
      <c r="AS6715" s="47"/>
    </row>
    <row r="6716" spans="45:45">
      <c r="AS6716" s="47"/>
    </row>
    <row r="6717" spans="45:45">
      <c r="AS6717" s="47"/>
    </row>
    <row r="6718" spans="45:45">
      <c r="AS6718" s="47"/>
    </row>
    <row r="6719" spans="45:45">
      <c r="AS6719" s="47"/>
    </row>
    <row r="6720" spans="45:45">
      <c r="AS6720" s="47"/>
    </row>
    <row r="6721" spans="45:45">
      <c r="AS6721" s="47"/>
    </row>
    <row r="6722" spans="45:45">
      <c r="AS6722" s="47"/>
    </row>
    <row r="6723" spans="45:45">
      <c r="AS6723" s="47"/>
    </row>
    <row r="6724" spans="45:45">
      <c r="AS6724" s="47"/>
    </row>
    <row r="6725" spans="45:45">
      <c r="AS6725" s="47"/>
    </row>
    <row r="6726" spans="45:45">
      <c r="AS6726" s="47"/>
    </row>
    <row r="6727" spans="45:45">
      <c r="AS6727" s="47"/>
    </row>
    <row r="6728" spans="45:45">
      <c r="AS6728" s="47"/>
    </row>
    <row r="6729" spans="45:45">
      <c r="AS6729" s="47"/>
    </row>
    <row r="6730" spans="45:45">
      <c r="AS6730" s="47"/>
    </row>
    <row r="6731" spans="45:45">
      <c r="AS6731" s="47"/>
    </row>
    <row r="6732" spans="45:45">
      <c r="AS6732" s="47"/>
    </row>
    <row r="6733" spans="45:45">
      <c r="AS6733" s="47"/>
    </row>
    <row r="6734" spans="45:45">
      <c r="AS6734" s="47"/>
    </row>
    <row r="6735" spans="45:45">
      <c r="AS6735" s="47"/>
    </row>
    <row r="6736" spans="45:45">
      <c r="AS6736" s="47"/>
    </row>
    <row r="6737" spans="45:45">
      <c r="AS6737" s="47"/>
    </row>
    <row r="6738" spans="45:45">
      <c r="AS6738" s="47"/>
    </row>
    <row r="6739" spans="45:45">
      <c r="AS6739" s="47"/>
    </row>
    <row r="6740" spans="45:45">
      <c r="AS6740" s="47"/>
    </row>
    <row r="6741" spans="45:45">
      <c r="AS6741" s="47"/>
    </row>
    <row r="6742" spans="45:45">
      <c r="AS6742" s="47"/>
    </row>
    <row r="6743" spans="45:45">
      <c r="AS6743" s="47"/>
    </row>
    <row r="6744" spans="45:45">
      <c r="AS6744" s="47"/>
    </row>
    <row r="6745" spans="45:45">
      <c r="AS6745" s="47"/>
    </row>
    <row r="6746" spans="45:45">
      <c r="AS6746" s="47"/>
    </row>
    <row r="6747" spans="45:45">
      <c r="AS6747" s="47"/>
    </row>
    <row r="6748" spans="45:45">
      <c r="AS6748" s="47"/>
    </row>
    <row r="6749" spans="45:45">
      <c r="AS6749" s="47"/>
    </row>
    <row r="6750" spans="45:45">
      <c r="AS6750" s="47"/>
    </row>
    <row r="6751" spans="45:45">
      <c r="AS6751" s="47"/>
    </row>
    <row r="6752" spans="45:45">
      <c r="AS6752" s="47"/>
    </row>
    <row r="6753" spans="45:45">
      <c r="AS6753" s="47"/>
    </row>
    <row r="6754" spans="45:45">
      <c r="AS6754" s="47"/>
    </row>
    <row r="6755" spans="45:45">
      <c r="AS6755" s="47"/>
    </row>
    <row r="6756" spans="45:45">
      <c r="AS6756" s="47"/>
    </row>
    <row r="6757" spans="45:45">
      <c r="AS6757" s="47"/>
    </row>
    <row r="6758" spans="45:45">
      <c r="AS6758" s="47"/>
    </row>
    <row r="6759" spans="45:45">
      <c r="AS6759" s="47"/>
    </row>
    <row r="6760" spans="45:45">
      <c r="AS6760" s="47"/>
    </row>
    <row r="6761" spans="45:45">
      <c r="AS6761" s="47"/>
    </row>
    <row r="6762" spans="45:45">
      <c r="AS6762" s="47"/>
    </row>
    <row r="6763" spans="45:45">
      <c r="AS6763" s="47"/>
    </row>
    <row r="6764" spans="45:45">
      <c r="AS6764" s="47"/>
    </row>
    <row r="6765" spans="45:45">
      <c r="AS6765" s="47"/>
    </row>
    <row r="6766" spans="45:45">
      <c r="AS6766" s="47"/>
    </row>
    <row r="6767" spans="45:45">
      <c r="AS6767" s="47"/>
    </row>
    <row r="6768" spans="45:45">
      <c r="AS6768" s="47"/>
    </row>
    <row r="6769" spans="45:45">
      <c r="AS6769" s="47"/>
    </row>
    <row r="6770" spans="45:45">
      <c r="AS6770" s="47"/>
    </row>
    <row r="6771" spans="45:45">
      <c r="AS6771" s="47"/>
    </row>
    <row r="6772" spans="45:45">
      <c r="AS6772" s="47"/>
    </row>
    <row r="6773" spans="45:45">
      <c r="AS6773" s="47"/>
    </row>
    <row r="6774" spans="45:45">
      <c r="AS6774" s="47"/>
    </row>
    <row r="6775" spans="45:45">
      <c r="AS6775" s="47"/>
    </row>
    <row r="6776" spans="45:45">
      <c r="AS6776" s="47"/>
    </row>
    <row r="6777" spans="45:45">
      <c r="AS6777" s="47"/>
    </row>
    <row r="6778" spans="45:45">
      <c r="AS6778" s="47"/>
    </row>
    <row r="6779" spans="45:45">
      <c r="AS6779" s="47"/>
    </row>
    <row r="6780" spans="45:45">
      <c r="AS6780" s="47"/>
    </row>
    <row r="6781" spans="45:45">
      <c r="AS6781" s="47"/>
    </row>
    <row r="6782" spans="45:45">
      <c r="AS6782" s="47"/>
    </row>
    <row r="6783" spans="45:45">
      <c r="AS6783" s="47"/>
    </row>
    <row r="6784" spans="45:45">
      <c r="AS6784" s="47"/>
    </row>
    <row r="6785" spans="45:45">
      <c r="AS6785" s="47"/>
    </row>
    <row r="6786" spans="45:45">
      <c r="AS6786" s="47"/>
    </row>
    <row r="6787" spans="45:45">
      <c r="AS6787" s="47"/>
    </row>
    <row r="6788" spans="45:45">
      <c r="AS6788" s="47"/>
    </row>
    <row r="6789" spans="45:45">
      <c r="AS6789" s="47"/>
    </row>
    <row r="6790" spans="45:45">
      <c r="AS6790" s="47"/>
    </row>
    <row r="6791" spans="45:45">
      <c r="AS6791" s="47"/>
    </row>
    <row r="6792" spans="45:45">
      <c r="AS6792" s="47"/>
    </row>
    <row r="6793" spans="45:45">
      <c r="AS6793" s="47"/>
    </row>
    <row r="6794" spans="45:45">
      <c r="AS6794" s="47"/>
    </row>
    <row r="6795" spans="45:45">
      <c r="AS6795" s="47"/>
    </row>
    <row r="6796" spans="45:45">
      <c r="AS6796" s="47"/>
    </row>
    <row r="6797" spans="45:45">
      <c r="AS6797" s="47"/>
    </row>
    <row r="6798" spans="45:45">
      <c r="AS6798" s="47"/>
    </row>
    <row r="6799" spans="45:45">
      <c r="AS6799" s="47"/>
    </row>
    <row r="6800" spans="45:45">
      <c r="AS6800" s="47"/>
    </row>
    <row r="6801" spans="45:45">
      <c r="AS6801" s="47"/>
    </row>
    <row r="6802" spans="45:45">
      <c r="AS6802" s="47"/>
    </row>
    <row r="6803" spans="45:45">
      <c r="AS6803" s="47"/>
    </row>
    <row r="6804" spans="45:45">
      <c r="AS6804" s="47"/>
    </row>
    <row r="6805" spans="45:45">
      <c r="AS6805" s="47"/>
    </row>
    <row r="6806" spans="45:45">
      <c r="AS6806" s="47"/>
    </row>
    <row r="6807" spans="45:45">
      <c r="AS6807" s="47"/>
    </row>
    <row r="6808" spans="45:45">
      <c r="AS6808" s="47"/>
    </row>
    <row r="6809" spans="45:45">
      <c r="AS6809" s="47"/>
    </row>
    <row r="6810" spans="45:45">
      <c r="AS6810" s="47"/>
    </row>
    <row r="6811" spans="45:45">
      <c r="AS6811" s="47"/>
    </row>
    <row r="6812" spans="45:45">
      <c r="AS6812" s="47"/>
    </row>
    <row r="6813" spans="45:45">
      <c r="AS6813" s="47"/>
    </row>
    <row r="6814" spans="45:45">
      <c r="AS6814" s="47"/>
    </row>
    <row r="6815" spans="45:45">
      <c r="AS6815" s="47"/>
    </row>
    <row r="6816" spans="45:45">
      <c r="AS6816" s="47"/>
    </row>
    <row r="6817" spans="45:45">
      <c r="AS6817" s="47"/>
    </row>
    <row r="6818" spans="45:45">
      <c r="AS6818" s="47"/>
    </row>
    <row r="6819" spans="45:45">
      <c r="AS6819" s="47"/>
    </row>
    <row r="6820" spans="45:45">
      <c r="AS6820" s="47"/>
    </row>
    <row r="6821" spans="45:45">
      <c r="AS6821" s="47"/>
    </row>
    <row r="6822" spans="45:45">
      <c r="AS6822" s="47"/>
    </row>
    <row r="6823" spans="45:45">
      <c r="AS6823" s="47"/>
    </row>
    <row r="6824" spans="45:45">
      <c r="AS6824" s="47"/>
    </row>
    <row r="6825" spans="45:45">
      <c r="AS6825" s="47"/>
    </row>
    <row r="6826" spans="45:45">
      <c r="AS6826" s="47"/>
    </row>
    <row r="6827" spans="45:45">
      <c r="AS6827" s="47"/>
    </row>
    <row r="6828" spans="45:45">
      <c r="AS6828" s="47"/>
    </row>
    <row r="6829" spans="45:45">
      <c r="AS6829" s="47"/>
    </row>
    <row r="6830" spans="45:45">
      <c r="AS6830" s="47"/>
    </row>
    <row r="6831" spans="45:45">
      <c r="AS6831" s="47"/>
    </row>
    <row r="6832" spans="45:45">
      <c r="AS6832" s="47"/>
    </row>
    <row r="6833" spans="45:45">
      <c r="AS6833" s="47"/>
    </row>
    <row r="6834" spans="45:45">
      <c r="AS6834" s="47"/>
    </row>
    <row r="6835" spans="45:45">
      <c r="AS6835" s="47"/>
    </row>
    <row r="6836" spans="45:45">
      <c r="AS6836" s="47"/>
    </row>
    <row r="6837" spans="45:45">
      <c r="AS6837" s="47"/>
    </row>
    <row r="6838" spans="45:45">
      <c r="AS6838" s="47"/>
    </row>
    <row r="6839" spans="45:45">
      <c r="AS6839" s="47"/>
    </row>
    <row r="6840" spans="45:45">
      <c r="AS6840" s="47"/>
    </row>
    <row r="6841" spans="45:45">
      <c r="AS6841" s="47"/>
    </row>
    <row r="6842" spans="45:45">
      <c r="AS6842" s="47"/>
    </row>
    <row r="6843" spans="45:45">
      <c r="AS6843" s="47"/>
    </row>
    <row r="6844" spans="45:45">
      <c r="AS6844" s="47"/>
    </row>
    <row r="6845" spans="45:45">
      <c r="AS6845" s="47"/>
    </row>
    <row r="6846" spans="45:45">
      <c r="AS6846" s="47"/>
    </row>
    <row r="6847" spans="45:45">
      <c r="AS6847" s="47"/>
    </row>
    <row r="6848" spans="45:45">
      <c r="AS6848" s="47"/>
    </row>
    <row r="6849" spans="45:45">
      <c r="AS6849" s="47"/>
    </row>
    <row r="6850" spans="45:45">
      <c r="AS6850" s="47"/>
    </row>
    <row r="6851" spans="45:45">
      <c r="AS6851" s="47"/>
    </row>
    <row r="6852" spans="45:45">
      <c r="AS6852" s="47"/>
    </row>
    <row r="6853" spans="45:45">
      <c r="AS6853" s="47"/>
    </row>
    <row r="6854" spans="45:45">
      <c r="AS6854" s="47"/>
    </row>
    <row r="6855" spans="45:45">
      <c r="AS6855" s="47"/>
    </row>
    <row r="6856" spans="45:45">
      <c r="AS6856" s="47"/>
    </row>
    <row r="6857" spans="45:45">
      <c r="AS6857" s="47"/>
    </row>
    <row r="6858" spans="45:45">
      <c r="AS6858" s="47"/>
    </row>
    <row r="6859" spans="45:45">
      <c r="AS6859" s="47"/>
    </row>
    <row r="6860" spans="45:45">
      <c r="AS6860" s="47"/>
    </row>
    <row r="6861" spans="45:45">
      <c r="AS6861" s="47"/>
    </row>
    <row r="6862" spans="45:45">
      <c r="AS6862" s="47"/>
    </row>
    <row r="6863" spans="45:45">
      <c r="AS6863" s="47"/>
    </row>
    <row r="6864" spans="45:45">
      <c r="AS6864" s="47"/>
    </row>
    <row r="6865" spans="45:45">
      <c r="AS6865" s="47"/>
    </row>
    <row r="6866" spans="45:45">
      <c r="AS6866" s="47"/>
    </row>
    <row r="6867" spans="45:45">
      <c r="AS6867" s="47"/>
    </row>
    <row r="6868" spans="45:45">
      <c r="AS6868" s="47"/>
    </row>
    <row r="6869" spans="45:45">
      <c r="AS6869" s="47"/>
    </row>
    <row r="6870" spans="45:45">
      <c r="AS6870" s="47"/>
    </row>
    <row r="6871" spans="45:45">
      <c r="AS6871" s="47"/>
    </row>
    <row r="6872" spans="45:45">
      <c r="AS6872" s="47"/>
    </row>
    <row r="6873" spans="45:45">
      <c r="AS6873" s="47"/>
    </row>
    <row r="6874" spans="45:45">
      <c r="AS6874" s="47"/>
    </row>
    <row r="6875" spans="45:45">
      <c r="AS6875" s="47"/>
    </row>
    <row r="6876" spans="45:45">
      <c r="AS6876" s="47"/>
    </row>
    <row r="6877" spans="45:45">
      <c r="AS6877" s="47"/>
    </row>
    <row r="6878" spans="45:45">
      <c r="AS6878" s="47"/>
    </row>
    <row r="6879" spans="45:45">
      <c r="AS6879" s="47"/>
    </row>
    <row r="6880" spans="45:45">
      <c r="AS6880" s="47"/>
    </row>
    <row r="6881" spans="45:45">
      <c r="AS6881" s="47"/>
    </row>
    <row r="6882" spans="45:45">
      <c r="AS6882" s="47"/>
    </row>
    <row r="6883" spans="45:45">
      <c r="AS6883" s="47"/>
    </row>
    <row r="6884" spans="45:45">
      <c r="AS6884" s="47"/>
    </row>
    <row r="6885" spans="45:45">
      <c r="AS6885" s="47"/>
    </row>
    <row r="6886" spans="45:45">
      <c r="AS6886" s="47"/>
    </row>
    <row r="6887" spans="45:45">
      <c r="AS6887" s="47"/>
    </row>
    <row r="6888" spans="45:45">
      <c r="AS6888" s="47"/>
    </row>
    <row r="6889" spans="45:45">
      <c r="AS6889" s="47"/>
    </row>
    <row r="6890" spans="45:45">
      <c r="AS6890" s="47"/>
    </row>
    <row r="6891" spans="45:45">
      <c r="AS6891" s="47"/>
    </row>
    <row r="6892" spans="45:45">
      <c r="AS6892" s="47"/>
    </row>
    <row r="6893" spans="45:45">
      <c r="AS6893" s="47"/>
    </row>
    <row r="6894" spans="45:45">
      <c r="AS6894" s="47"/>
    </row>
    <row r="6895" spans="45:45">
      <c r="AS6895" s="47"/>
    </row>
    <row r="6896" spans="45:45">
      <c r="AS6896" s="47"/>
    </row>
    <row r="6897" spans="45:45">
      <c r="AS6897" s="47"/>
    </row>
    <row r="6898" spans="45:45">
      <c r="AS6898" s="47"/>
    </row>
    <row r="6899" spans="45:45">
      <c r="AS6899" s="47"/>
    </row>
    <row r="6900" spans="45:45">
      <c r="AS6900" s="47"/>
    </row>
    <row r="6901" spans="45:45">
      <c r="AS6901" s="47"/>
    </row>
    <row r="6902" spans="45:45">
      <c r="AS6902" s="47"/>
    </row>
    <row r="6903" spans="45:45">
      <c r="AS6903" s="47"/>
    </row>
    <row r="6904" spans="45:45">
      <c r="AS6904" s="47"/>
    </row>
    <row r="6905" spans="45:45">
      <c r="AS6905" s="47"/>
    </row>
    <row r="6906" spans="45:45">
      <c r="AS6906" s="47"/>
    </row>
    <row r="6907" spans="45:45">
      <c r="AS6907" s="47"/>
    </row>
    <row r="6908" spans="45:45">
      <c r="AS6908" s="47"/>
    </row>
    <row r="6909" spans="45:45">
      <c r="AS6909" s="47"/>
    </row>
    <row r="6910" spans="45:45">
      <c r="AS6910" s="47"/>
    </row>
    <row r="6911" spans="45:45">
      <c r="AS6911" s="47"/>
    </row>
    <row r="6912" spans="45:45">
      <c r="AS6912" s="47"/>
    </row>
    <row r="6913" spans="45:45">
      <c r="AS6913" s="47"/>
    </row>
    <row r="6914" spans="45:45">
      <c r="AS6914" s="47"/>
    </row>
    <row r="6915" spans="45:45">
      <c r="AS6915" s="47"/>
    </row>
    <row r="6916" spans="45:45">
      <c r="AS6916" s="47"/>
    </row>
    <row r="6917" spans="45:45">
      <c r="AS6917" s="47"/>
    </row>
    <row r="6918" spans="45:45">
      <c r="AS6918" s="47"/>
    </row>
    <row r="6919" spans="45:45">
      <c r="AS6919" s="47"/>
    </row>
    <row r="6920" spans="45:45">
      <c r="AS6920" s="47"/>
    </row>
    <row r="6921" spans="45:45">
      <c r="AS6921" s="47"/>
    </row>
    <row r="6922" spans="45:45">
      <c r="AS6922" s="47"/>
    </row>
    <row r="6923" spans="45:45">
      <c r="AS6923" s="47"/>
    </row>
    <row r="6924" spans="45:45">
      <c r="AS6924" s="47"/>
    </row>
    <row r="6925" spans="45:45">
      <c r="AS6925" s="47"/>
    </row>
    <row r="6926" spans="45:45">
      <c r="AS6926" s="47"/>
    </row>
    <row r="6927" spans="45:45">
      <c r="AS6927" s="47"/>
    </row>
    <row r="6928" spans="45:45">
      <c r="AS6928" s="47"/>
    </row>
    <row r="6929" spans="45:45">
      <c r="AS6929" s="47"/>
    </row>
    <row r="6930" spans="45:45">
      <c r="AS6930" s="47"/>
    </row>
    <row r="6931" spans="45:45">
      <c r="AS6931" s="47"/>
    </row>
    <row r="6932" spans="45:45">
      <c r="AS6932" s="47"/>
    </row>
    <row r="6933" spans="45:45">
      <c r="AS6933" s="47"/>
    </row>
    <row r="6934" spans="45:45">
      <c r="AS6934" s="47"/>
    </row>
    <row r="6935" spans="45:45">
      <c r="AS6935" s="47"/>
    </row>
    <row r="6936" spans="45:45">
      <c r="AS6936" s="47"/>
    </row>
    <row r="6937" spans="45:45">
      <c r="AS6937" s="47"/>
    </row>
    <row r="6938" spans="45:45">
      <c r="AS6938" s="47"/>
    </row>
    <row r="6939" spans="45:45">
      <c r="AS6939" s="47"/>
    </row>
    <row r="6940" spans="45:45">
      <c r="AS6940" s="47"/>
    </row>
    <row r="6941" spans="45:45">
      <c r="AS6941" s="47"/>
    </row>
    <row r="6942" spans="45:45">
      <c r="AS6942" s="47"/>
    </row>
    <row r="6943" spans="45:45">
      <c r="AS6943" s="47"/>
    </row>
    <row r="6944" spans="45:45">
      <c r="AS6944" s="47"/>
    </row>
    <row r="6945" spans="45:45">
      <c r="AS6945" s="47"/>
    </row>
    <row r="6946" spans="45:45">
      <c r="AS6946" s="47"/>
    </row>
    <row r="6947" spans="45:45">
      <c r="AS6947" s="47"/>
    </row>
    <row r="6948" spans="45:45">
      <c r="AS6948" s="47"/>
    </row>
    <row r="6949" spans="45:45">
      <c r="AS6949" s="47"/>
    </row>
    <row r="6950" spans="45:45">
      <c r="AS6950" s="47"/>
    </row>
    <row r="6951" spans="45:45">
      <c r="AS6951" s="47"/>
    </row>
    <row r="6952" spans="45:45">
      <c r="AS6952" s="47"/>
    </row>
    <row r="6953" spans="45:45">
      <c r="AS6953" s="47"/>
    </row>
    <row r="6954" spans="45:45">
      <c r="AS6954" s="47"/>
    </row>
    <row r="6955" spans="45:45">
      <c r="AS6955" s="47"/>
    </row>
    <row r="6956" spans="45:45">
      <c r="AS6956" s="47"/>
    </row>
    <row r="6957" spans="45:45">
      <c r="AS6957" s="47"/>
    </row>
    <row r="6958" spans="45:45">
      <c r="AS6958" s="47"/>
    </row>
    <row r="6959" spans="45:45">
      <c r="AS6959" s="47"/>
    </row>
    <row r="6960" spans="45:45">
      <c r="AS6960" s="47"/>
    </row>
    <row r="6961" spans="45:45">
      <c r="AS6961" s="47"/>
    </row>
    <row r="6962" spans="45:45">
      <c r="AS6962" s="47"/>
    </row>
    <row r="6963" spans="45:45">
      <c r="AS6963" s="47"/>
    </row>
    <row r="6964" spans="45:45">
      <c r="AS6964" s="47"/>
    </row>
    <row r="6965" spans="45:45">
      <c r="AS6965" s="47"/>
    </row>
    <row r="6966" spans="45:45">
      <c r="AS6966" s="47"/>
    </row>
    <row r="6967" spans="45:45">
      <c r="AS6967" s="47"/>
    </row>
    <row r="6968" spans="45:45">
      <c r="AS6968" s="47"/>
    </row>
    <row r="6969" spans="45:45">
      <c r="AS6969" s="47"/>
    </row>
    <row r="6970" spans="45:45">
      <c r="AS6970" s="47"/>
    </row>
    <row r="6971" spans="45:45">
      <c r="AS6971" s="47"/>
    </row>
    <row r="6972" spans="45:45">
      <c r="AS6972" s="47"/>
    </row>
    <row r="6973" spans="45:45">
      <c r="AS6973" s="47"/>
    </row>
    <row r="6974" spans="45:45">
      <c r="AS6974" s="47"/>
    </row>
    <row r="6975" spans="45:45">
      <c r="AS6975" s="47"/>
    </row>
    <row r="6976" spans="45:45">
      <c r="AS6976" s="47"/>
    </row>
    <row r="6977" spans="45:45">
      <c r="AS6977" s="47"/>
    </row>
    <row r="6978" spans="45:45">
      <c r="AS6978" s="47"/>
    </row>
    <row r="6979" spans="45:45">
      <c r="AS6979" s="47"/>
    </row>
    <row r="6980" spans="45:45">
      <c r="AS6980" s="47"/>
    </row>
    <row r="6981" spans="45:45">
      <c r="AS6981" s="47"/>
    </row>
    <row r="6982" spans="45:45">
      <c r="AS6982" s="47"/>
    </row>
    <row r="6983" spans="45:45">
      <c r="AS6983" s="47"/>
    </row>
    <row r="6984" spans="45:45">
      <c r="AS6984" s="47"/>
    </row>
    <row r="6985" spans="45:45">
      <c r="AS6985" s="47"/>
    </row>
    <row r="6986" spans="45:45">
      <c r="AS6986" s="47"/>
    </row>
    <row r="6987" spans="45:45">
      <c r="AS6987" s="47"/>
    </row>
    <row r="6988" spans="45:45">
      <c r="AS6988" s="47"/>
    </row>
    <row r="6989" spans="45:45">
      <c r="AS6989" s="47"/>
    </row>
    <row r="6990" spans="45:45">
      <c r="AS6990" s="47"/>
    </row>
    <row r="6991" spans="45:45">
      <c r="AS6991" s="47"/>
    </row>
    <row r="6992" spans="45:45">
      <c r="AS6992" s="47"/>
    </row>
    <row r="6993" spans="45:45">
      <c r="AS6993" s="47"/>
    </row>
    <row r="6994" spans="45:45">
      <c r="AS6994" s="47"/>
    </row>
    <row r="6995" spans="45:45">
      <c r="AS6995" s="47"/>
    </row>
    <row r="6996" spans="45:45">
      <c r="AS6996" s="47"/>
    </row>
    <row r="6997" spans="45:45">
      <c r="AS6997" s="47"/>
    </row>
    <row r="6998" spans="45:45">
      <c r="AS6998" s="47"/>
    </row>
    <row r="6999" spans="45:45">
      <c r="AS6999" s="47"/>
    </row>
    <row r="7000" spans="45:45">
      <c r="AS7000" s="47"/>
    </row>
    <row r="7001" spans="45:45">
      <c r="AS7001" s="47"/>
    </row>
    <row r="7002" spans="45:45">
      <c r="AS7002" s="47"/>
    </row>
    <row r="7003" spans="45:45">
      <c r="AS7003" s="47"/>
    </row>
    <row r="7004" spans="45:45">
      <c r="AS7004" s="47"/>
    </row>
    <row r="7005" spans="45:45">
      <c r="AS7005" s="47"/>
    </row>
    <row r="7006" spans="45:45">
      <c r="AS7006" s="47"/>
    </row>
    <row r="7007" spans="45:45">
      <c r="AS7007" s="47"/>
    </row>
    <row r="7008" spans="45:45">
      <c r="AS7008" s="47"/>
    </row>
    <row r="7009" spans="45:45">
      <c r="AS7009" s="47"/>
    </row>
    <row r="7010" spans="45:45">
      <c r="AS7010" s="47"/>
    </row>
    <row r="7011" spans="45:45">
      <c r="AS7011" s="47"/>
    </row>
    <row r="7012" spans="45:45">
      <c r="AS7012" s="47"/>
    </row>
    <row r="7013" spans="45:45">
      <c r="AS7013" s="47"/>
    </row>
    <row r="7014" spans="45:45">
      <c r="AS7014" s="47"/>
    </row>
    <row r="7015" spans="45:45">
      <c r="AS7015" s="47"/>
    </row>
    <row r="7016" spans="45:45">
      <c r="AS7016" s="47"/>
    </row>
    <row r="7017" spans="45:45">
      <c r="AS7017" s="47"/>
    </row>
    <row r="7018" spans="45:45">
      <c r="AS7018" s="47"/>
    </row>
    <row r="7019" spans="45:45">
      <c r="AS7019" s="47"/>
    </row>
    <row r="7020" spans="45:45">
      <c r="AS7020" s="47"/>
    </row>
    <row r="7021" spans="45:45">
      <c r="AS7021" s="47"/>
    </row>
    <row r="7022" spans="45:45">
      <c r="AS7022" s="47"/>
    </row>
    <row r="7023" spans="45:45">
      <c r="AS7023" s="47"/>
    </row>
    <row r="7024" spans="45:45">
      <c r="AS7024" s="47"/>
    </row>
    <row r="7025" spans="45:45">
      <c r="AS7025" s="47"/>
    </row>
    <row r="7026" spans="45:45">
      <c r="AS7026" s="47"/>
    </row>
    <row r="7027" spans="45:45">
      <c r="AS7027" s="47"/>
    </row>
    <row r="7028" spans="45:45">
      <c r="AS7028" s="47"/>
    </row>
    <row r="7029" spans="45:45">
      <c r="AS7029" s="47"/>
    </row>
    <row r="7030" spans="45:45">
      <c r="AS7030" s="47"/>
    </row>
    <row r="7031" spans="45:45">
      <c r="AS7031" s="47"/>
    </row>
    <row r="7032" spans="45:45">
      <c r="AS7032" s="47"/>
    </row>
    <row r="7033" spans="45:45">
      <c r="AS7033" s="47"/>
    </row>
    <row r="7034" spans="45:45">
      <c r="AS7034" s="47"/>
    </row>
    <row r="7035" spans="45:45">
      <c r="AS7035" s="47"/>
    </row>
    <row r="7036" spans="45:45">
      <c r="AS7036" s="47"/>
    </row>
    <row r="7037" spans="45:45">
      <c r="AS7037" s="47"/>
    </row>
    <row r="7038" spans="45:45">
      <c r="AS7038" s="47"/>
    </row>
    <row r="7039" spans="45:45">
      <c r="AS7039" s="47"/>
    </row>
    <row r="7040" spans="45:45">
      <c r="AS7040" s="47"/>
    </row>
    <row r="7041" spans="45:45">
      <c r="AS7041" s="47"/>
    </row>
    <row r="7042" spans="45:45">
      <c r="AS7042" s="47"/>
    </row>
    <row r="7043" spans="45:45">
      <c r="AS7043" s="47"/>
    </row>
    <row r="7044" spans="45:45">
      <c r="AS7044" s="47"/>
    </row>
    <row r="7045" spans="45:45">
      <c r="AS7045" s="47"/>
    </row>
    <row r="7046" spans="45:45">
      <c r="AS7046" s="47"/>
    </row>
    <row r="7047" spans="45:45">
      <c r="AS7047" s="47"/>
    </row>
    <row r="7048" spans="45:45">
      <c r="AS7048" s="47"/>
    </row>
    <row r="7049" spans="45:45">
      <c r="AS7049" s="47"/>
    </row>
    <row r="7050" spans="45:45">
      <c r="AS7050" s="47"/>
    </row>
    <row r="7051" spans="45:45">
      <c r="AS7051" s="47"/>
    </row>
    <row r="7052" spans="45:45">
      <c r="AS7052" s="47"/>
    </row>
    <row r="7053" spans="45:45">
      <c r="AS7053" s="47"/>
    </row>
    <row r="7054" spans="45:45">
      <c r="AS7054" s="47"/>
    </row>
    <row r="7055" spans="45:45">
      <c r="AS7055" s="47"/>
    </row>
    <row r="7056" spans="45:45">
      <c r="AS7056" s="47"/>
    </row>
    <row r="7057" spans="45:45">
      <c r="AS7057" s="47"/>
    </row>
    <row r="7058" spans="45:45">
      <c r="AS7058" s="47"/>
    </row>
    <row r="7059" spans="45:45">
      <c r="AS7059" s="47"/>
    </row>
    <row r="7060" spans="45:45">
      <c r="AS7060" s="47"/>
    </row>
    <row r="7061" spans="45:45">
      <c r="AS7061" s="47"/>
    </row>
    <row r="7062" spans="45:45">
      <c r="AS7062" s="47"/>
    </row>
    <row r="7063" spans="45:45">
      <c r="AS7063" s="47"/>
    </row>
    <row r="7064" spans="45:45">
      <c r="AS7064" s="47"/>
    </row>
    <row r="7065" spans="45:45">
      <c r="AS7065" s="47"/>
    </row>
    <row r="7066" spans="45:45">
      <c r="AS7066" s="47"/>
    </row>
    <row r="7067" spans="45:45">
      <c r="AS7067" s="47"/>
    </row>
    <row r="7068" spans="45:45">
      <c r="AS7068" s="47"/>
    </row>
    <row r="7069" spans="45:45">
      <c r="AS7069" s="47"/>
    </row>
    <row r="7070" spans="45:45">
      <c r="AS7070" s="47"/>
    </row>
    <row r="7071" spans="45:45">
      <c r="AS7071" s="47"/>
    </row>
    <row r="7072" spans="45:45">
      <c r="AS7072" s="47"/>
    </row>
    <row r="7073" spans="45:45">
      <c r="AS7073" s="47"/>
    </row>
    <row r="7074" spans="45:45">
      <c r="AS7074" s="47"/>
    </row>
    <row r="7075" spans="45:45">
      <c r="AS7075" s="47"/>
    </row>
    <row r="7076" spans="45:45">
      <c r="AS7076" s="47"/>
    </row>
    <row r="7077" spans="45:45">
      <c r="AS7077" s="47"/>
    </row>
    <row r="7078" spans="45:45">
      <c r="AS7078" s="47"/>
    </row>
    <row r="7079" spans="45:45">
      <c r="AS7079" s="47"/>
    </row>
    <row r="7080" spans="45:45">
      <c r="AS7080" s="47"/>
    </row>
    <row r="7081" spans="45:45">
      <c r="AS7081" s="47"/>
    </row>
    <row r="7082" spans="45:45">
      <c r="AS7082" s="47"/>
    </row>
    <row r="7083" spans="45:45">
      <c r="AS7083" s="47"/>
    </row>
    <row r="7084" spans="45:45">
      <c r="AS7084" s="47"/>
    </row>
    <row r="7085" spans="45:45">
      <c r="AS7085" s="47"/>
    </row>
    <row r="7086" spans="45:45">
      <c r="AS7086" s="47"/>
    </row>
    <row r="7087" spans="45:45">
      <c r="AS7087" s="47"/>
    </row>
    <row r="7088" spans="45:45">
      <c r="AS7088" s="47"/>
    </row>
    <row r="7089" spans="45:45">
      <c r="AS7089" s="47"/>
    </row>
    <row r="7090" spans="45:45">
      <c r="AS7090" s="47"/>
    </row>
    <row r="7091" spans="45:45">
      <c r="AS7091" s="47"/>
    </row>
    <row r="7092" spans="45:45">
      <c r="AS7092" s="47"/>
    </row>
    <row r="7093" spans="45:45">
      <c r="AS7093" s="47"/>
    </row>
    <row r="7094" spans="45:45">
      <c r="AS7094" s="47"/>
    </row>
    <row r="7095" spans="45:45">
      <c r="AS7095" s="47"/>
    </row>
    <row r="7096" spans="45:45">
      <c r="AS7096" s="47"/>
    </row>
    <row r="7097" spans="45:45">
      <c r="AS7097" s="47"/>
    </row>
    <row r="7098" spans="45:45">
      <c r="AS7098" s="47"/>
    </row>
    <row r="7099" spans="45:45">
      <c r="AS7099" s="47"/>
    </row>
    <row r="7100" spans="45:45">
      <c r="AS7100" s="47"/>
    </row>
    <row r="7101" spans="45:45">
      <c r="AS7101" s="47"/>
    </row>
    <row r="7102" spans="45:45">
      <c r="AS7102" s="47"/>
    </row>
    <row r="7103" spans="45:45">
      <c r="AS7103" s="47"/>
    </row>
    <row r="7104" spans="45:45">
      <c r="AS7104" s="47"/>
    </row>
    <row r="7105" spans="45:45">
      <c r="AS7105" s="47"/>
    </row>
    <row r="7106" spans="45:45">
      <c r="AS7106" s="47"/>
    </row>
    <row r="7107" spans="45:45">
      <c r="AS7107" s="47"/>
    </row>
    <row r="7108" spans="45:45">
      <c r="AS7108" s="47"/>
    </row>
    <row r="7109" spans="45:45">
      <c r="AS7109" s="47"/>
    </row>
    <row r="7110" spans="45:45">
      <c r="AS7110" s="47"/>
    </row>
    <row r="7111" spans="45:45">
      <c r="AS7111" s="47"/>
    </row>
    <row r="7112" spans="45:45">
      <c r="AS7112" s="47"/>
    </row>
    <row r="7113" spans="45:45">
      <c r="AS7113" s="47"/>
    </row>
    <row r="7114" spans="45:45">
      <c r="AS7114" s="47"/>
    </row>
    <row r="7115" spans="45:45">
      <c r="AS7115" s="47"/>
    </row>
    <row r="7116" spans="45:45">
      <c r="AS7116" s="47"/>
    </row>
    <row r="7117" spans="45:45">
      <c r="AS7117" s="47"/>
    </row>
    <row r="7118" spans="45:45">
      <c r="AS7118" s="47"/>
    </row>
    <row r="7119" spans="45:45">
      <c r="AS7119" s="47"/>
    </row>
    <row r="7120" spans="45:45">
      <c r="AS7120" s="47"/>
    </row>
    <row r="7121" spans="45:45">
      <c r="AS7121" s="47"/>
    </row>
    <row r="7122" spans="45:45">
      <c r="AS7122" s="47"/>
    </row>
    <row r="7123" spans="45:45">
      <c r="AS7123" s="47"/>
    </row>
    <row r="7124" spans="45:45">
      <c r="AS7124" s="47"/>
    </row>
    <row r="7125" spans="45:45">
      <c r="AS7125" s="47"/>
    </row>
    <row r="7126" spans="45:45">
      <c r="AS7126" s="47"/>
    </row>
    <row r="7127" spans="45:45">
      <c r="AS7127" s="47"/>
    </row>
    <row r="7128" spans="45:45">
      <c r="AS7128" s="47"/>
    </row>
    <row r="7129" spans="45:45">
      <c r="AS7129" s="47"/>
    </row>
    <row r="7130" spans="45:45">
      <c r="AS7130" s="47"/>
    </row>
    <row r="7131" spans="45:45">
      <c r="AS7131" s="47"/>
    </row>
    <row r="7132" spans="45:45">
      <c r="AS7132" s="47"/>
    </row>
    <row r="7133" spans="45:45">
      <c r="AS7133" s="47"/>
    </row>
    <row r="7134" spans="45:45">
      <c r="AS7134" s="47"/>
    </row>
    <row r="7135" spans="45:45">
      <c r="AS7135" s="47"/>
    </row>
    <row r="7136" spans="45:45">
      <c r="AS7136" s="47"/>
    </row>
    <row r="7137" spans="45:45">
      <c r="AS7137" s="47"/>
    </row>
    <row r="7138" spans="45:45">
      <c r="AS7138" s="47"/>
    </row>
    <row r="7139" spans="45:45">
      <c r="AS7139" s="47"/>
    </row>
    <row r="7140" spans="45:45">
      <c r="AS7140" s="47"/>
    </row>
    <row r="7141" spans="45:45">
      <c r="AS7141" s="47"/>
    </row>
    <row r="7142" spans="45:45">
      <c r="AS7142" s="47"/>
    </row>
    <row r="7143" spans="45:45">
      <c r="AS7143" s="47"/>
    </row>
    <row r="7144" spans="45:45">
      <c r="AS7144" s="47"/>
    </row>
    <row r="7145" spans="45:45">
      <c r="AS7145" s="47"/>
    </row>
    <row r="7146" spans="45:45">
      <c r="AS7146" s="47"/>
    </row>
    <row r="7147" spans="45:45">
      <c r="AS7147" s="47"/>
    </row>
    <row r="7148" spans="45:45">
      <c r="AS7148" s="47"/>
    </row>
    <row r="7149" spans="45:45">
      <c r="AS7149" s="47"/>
    </row>
    <row r="7150" spans="45:45">
      <c r="AS7150" s="47"/>
    </row>
    <row r="7151" spans="45:45">
      <c r="AS7151" s="47"/>
    </row>
    <row r="7152" spans="45:45">
      <c r="AS7152" s="47"/>
    </row>
    <row r="7153" spans="45:45">
      <c r="AS7153" s="47"/>
    </row>
    <row r="7154" spans="45:45">
      <c r="AS7154" s="47"/>
    </row>
    <row r="7155" spans="45:45">
      <c r="AS7155" s="47"/>
    </row>
    <row r="7156" spans="45:45">
      <c r="AS7156" s="47"/>
    </row>
    <row r="7157" spans="45:45">
      <c r="AS7157" s="47"/>
    </row>
    <row r="7158" spans="45:45">
      <c r="AS7158" s="47"/>
    </row>
    <row r="7159" spans="45:45">
      <c r="AS7159" s="47"/>
    </row>
    <row r="7160" spans="45:45">
      <c r="AS7160" s="47"/>
    </row>
    <row r="7161" spans="45:45">
      <c r="AS7161" s="47"/>
    </row>
    <row r="7162" spans="45:45">
      <c r="AS7162" s="47"/>
    </row>
    <row r="7163" spans="45:45">
      <c r="AS7163" s="47"/>
    </row>
    <row r="7164" spans="45:45">
      <c r="AS7164" s="47"/>
    </row>
    <row r="7165" spans="45:45">
      <c r="AS7165" s="47"/>
    </row>
    <row r="7166" spans="45:45">
      <c r="AS7166" s="47"/>
    </row>
    <row r="7167" spans="45:45">
      <c r="AS7167" s="47"/>
    </row>
    <row r="7168" spans="45:45">
      <c r="AS7168" s="47"/>
    </row>
    <row r="7169" spans="45:45">
      <c r="AS7169" s="47"/>
    </row>
    <row r="7170" spans="45:45">
      <c r="AS7170" s="47"/>
    </row>
    <row r="7171" spans="45:45">
      <c r="AS7171" s="47"/>
    </row>
    <row r="7172" spans="45:45">
      <c r="AS7172" s="47"/>
    </row>
    <row r="7173" spans="45:45">
      <c r="AS7173" s="47"/>
    </row>
    <row r="7174" spans="45:45">
      <c r="AS7174" s="47"/>
    </row>
    <row r="7175" spans="45:45">
      <c r="AS7175" s="47"/>
    </row>
    <row r="7176" spans="45:45">
      <c r="AS7176" s="47"/>
    </row>
    <row r="7177" spans="45:45">
      <c r="AS7177" s="47"/>
    </row>
    <row r="7178" spans="45:45">
      <c r="AS7178" s="47"/>
    </row>
    <row r="7179" spans="45:45">
      <c r="AS7179" s="47"/>
    </row>
    <row r="7180" spans="45:45">
      <c r="AS7180" s="47"/>
    </row>
    <row r="7181" spans="45:45">
      <c r="AS7181" s="47"/>
    </row>
    <row r="7182" spans="45:45">
      <c r="AS7182" s="47"/>
    </row>
    <row r="7183" spans="45:45">
      <c r="AS7183" s="47"/>
    </row>
    <row r="7184" spans="45:45">
      <c r="AS7184" s="47"/>
    </row>
    <row r="7185" spans="45:45">
      <c r="AS7185" s="47"/>
    </row>
    <row r="7186" spans="45:45">
      <c r="AS7186" s="47"/>
    </row>
    <row r="7187" spans="45:45">
      <c r="AS7187" s="47"/>
    </row>
    <row r="7188" spans="45:45">
      <c r="AS7188" s="47"/>
    </row>
    <row r="7189" spans="45:45">
      <c r="AS7189" s="47"/>
    </row>
    <row r="7190" spans="45:45">
      <c r="AS7190" s="47"/>
    </row>
    <row r="7191" spans="45:45">
      <c r="AS7191" s="47"/>
    </row>
    <row r="7192" spans="45:45">
      <c r="AS7192" s="47"/>
    </row>
    <row r="7193" spans="45:45">
      <c r="AS7193" s="47"/>
    </row>
    <row r="7194" spans="45:45">
      <c r="AS7194" s="47"/>
    </row>
    <row r="7195" spans="45:45">
      <c r="AS7195" s="47"/>
    </row>
    <row r="7196" spans="45:45">
      <c r="AS7196" s="47"/>
    </row>
    <row r="7197" spans="45:45">
      <c r="AS7197" s="47"/>
    </row>
    <row r="7198" spans="45:45">
      <c r="AS7198" s="47"/>
    </row>
    <row r="7199" spans="45:45">
      <c r="AS7199" s="47"/>
    </row>
    <row r="7200" spans="45:45">
      <c r="AS7200" s="47"/>
    </row>
    <row r="7201" spans="45:45">
      <c r="AS7201" s="47"/>
    </row>
    <row r="7202" spans="45:45">
      <c r="AS7202" s="47"/>
    </row>
    <row r="7203" spans="45:45">
      <c r="AS7203" s="47"/>
    </row>
    <row r="7204" spans="45:45">
      <c r="AS7204" s="47"/>
    </row>
    <row r="7205" spans="45:45">
      <c r="AS7205" s="47"/>
    </row>
    <row r="7206" spans="45:45">
      <c r="AS7206" s="47"/>
    </row>
    <row r="7207" spans="45:45">
      <c r="AS7207" s="47"/>
    </row>
    <row r="7208" spans="45:45">
      <c r="AS7208" s="47"/>
    </row>
    <row r="7209" spans="45:45">
      <c r="AS7209" s="47"/>
    </row>
    <row r="7210" spans="45:45">
      <c r="AS7210" s="47"/>
    </row>
    <row r="7211" spans="45:45">
      <c r="AS7211" s="47"/>
    </row>
    <row r="7212" spans="45:45">
      <c r="AS7212" s="47"/>
    </row>
    <row r="7213" spans="45:45">
      <c r="AS7213" s="47"/>
    </row>
    <row r="7214" spans="45:45">
      <c r="AS7214" s="47"/>
    </row>
    <row r="7215" spans="45:45">
      <c r="AS7215" s="47"/>
    </row>
    <row r="7216" spans="45:45">
      <c r="AS7216" s="47"/>
    </row>
    <row r="7217" spans="45:45">
      <c r="AS7217" s="47"/>
    </row>
    <row r="7218" spans="45:45">
      <c r="AS7218" s="47"/>
    </row>
    <row r="7219" spans="45:45">
      <c r="AS7219" s="47"/>
    </row>
    <row r="7220" spans="45:45">
      <c r="AS7220" s="47"/>
    </row>
    <row r="7221" spans="45:45">
      <c r="AS7221" s="47"/>
    </row>
    <row r="7222" spans="45:45">
      <c r="AS7222" s="47"/>
    </row>
    <row r="7223" spans="45:45">
      <c r="AS7223" s="47"/>
    </row>
    <row r="7224" spans="45:45">
      <c r="AS7224" s="47"/>
    </row>
    <row r="7225" spans="45:45">
      <c r="AS7225" s="47"/>
    </row>
    <row r="7226" spans="45:45">
      <c r="AS7226" s="47"/>
    </row>
    <row r="7227" spans="45:45">
      <c r="AS7227" s="47"/>
    </row>
    <row r="7228" spans="45:45">
      <c r="AS7228" s="47"/>
    </row>
    <row r="7229" spans="45:45">
      <c r="AS7229" s="47"/>
    </row>
    <row r="7230" spans="45:45">
      <c r="AS7230" s="47"/>
    </row>
    <row r="7231" spans="45:45">
      <c r="AS7231" s="47"/>
    </row>
    <row r="7232" spans="45:45">
      <c r="AS7232" s="47"/>
    </row>
    <row r="7233" spans="45:45">
      <c r="AS7233" s="47"/>
    </row>
    <row r="7234" spans="45:45">
      <c r="AS7234" s="47"/>
    </row>
    <row r="7235" spans="45:45">
      <c r="AS7235" s="47"/>
    </row>
    <row r="7236" spans="45:45">
      <c r="AS7236" s="47"/>
    </row>
    <row r="7237" spans="45:45">
      <c r="AS7237" s="47"/>
    </row>
    <row r="7238" spans="45:45">
      <c r="AS7238" s="47"/>
    </row>
    <row r="7239" spans="45:45">
      <c r="AS7239" s="47"/>
    </row>
    <row r="7240" spans="45:45">
      <c r="AS7240" s="47"/>
    </row>
    <row r="7241" spans="45:45">
      <c r="AS7241" s="47"/>
    </row>
    <row r="7242" spans="45:45">
      <c r="AS7242" s="47"/>
    </row>
    <row r="7243" spans="45:45">
      <c r="AS7243" s="47"/>
    </row>
    <row r="7244" spans="45:45">
      <c r="AS7244" s="47"/>
    </row>
    <row r="7245" spans="45:45">
      <c r="AS7245" s="47"/>
    </row>
    <row r="7246" spans="45:45">
      <c r="AS7246" s="47"/>
    </row>
    <row r="7247" spans="45:45">
      <c r="AS7247" s="47"/>
    </row>
    <row r="7248" spans="45:45">
      <c r="AS7248" s="47"/>
    </row>
    <row r="7249" spans="45:45">
      <c r="AS7249" s="47"/>
    </row>
    <row r="7250" spans="45:45">
      <c r="AS7250" s="47"/>
    </row>
    <row r="7251" spans="45:45">
      <c r="AS7251" s="47"/>
    </row>
    <row r="7252" spans="45:45">
      <c r="AS7252" s="47"/>
    </row>
    <row r="7253" spans="45:45">
      <c r="AS7253" s="47"/>
    </row>
    <row r="7254" spans="45:45">
      <c r="AS7254" s="47"/>
    </row>
    <row r="7255" spans="45:45">
      <c r="AS7255" s="47"/>
    </row>
    <row r="7256" spans="45:45">
      <c r="AS7256" s="47"/>
    </row>
    <row r="7257" spans="45:45">
      <c r="AS7257" s="47"/>
    </row>
    <row r="7258" spans="45:45">
      <c r="AS7258" s="47"/>
    </row>
    <row r="7259" spans="45:45">
      <c r="AS7259" s="47"/>
    </row>
    <row r="7260" spans="45:45">
      <c r="AS7260" s="47"/>
    </row>
    <row r="7261" spans="45:45">
      <c r="AS7261" s="47"/>
    </row>
    <row r="7262" spans="45:45">
      <c r="AS7262" s="47"/>
    </row>
    <row r="7263" spans="45:45">
      <c r="AS7263" s="47"/>
    </row>
    <row r="7264" spans="45:45">
      <c r="AS7264" s="47"/>
    </row>
    <row r="7265" spans="45:45">
      <c r="AS7265" s="47"/>
    </row>
    <row r="7266" spans="45:45">
      <c r="AS7266" s="47"/>
    </row>
    <row r="7267" spans="45:45">
      <c r="AS7267" s="47"/>
    </row>
    <row r="7268" spans="45:45">
      <c r="AS7268" s="47"/>
    </row>
    <row r="7269" spans="45:45">
      <c r="AS7269" s="47"/>
    </row>
    <row r="7270" spans="45:45">
      <c r="AS7270" s="47"/>
    </row>
    <row r="7271" spans="45:45">
      <c r="AS7271" s="47"/>
    </row>
    <row r="7272" spans="45:45">
      <c r="AS7272" s="47"/>
    </row>
    <row r="7273" spans="45:45">
      <c r="AS7273" s="47"/>
    </row>
    <row r="7274" spans="45:45">
      <c r="AS7274" s="47"/>
    </row>
    <row r="7275" spans="45:45">
      <c r="AS7275" s="47"/>
    </row>
    <row r="7276" spans="45:45">
      <c r="AS7276" s="47"/>
    </row>
    <row r="7277" spans="45:45">
      <c r="AS7277" s="47"/>
    </row>
    <row r="7278" spans="45:45">
      <c r="AS7278" s="47"/>
    </row>
    <row r="7279" spans="45:45">
      <c r="AS7279" s="47"/>
    </row>
    <row r="7280" spans="45:45">
      <c r="AS7280" s="47"/>
    </row>
    <row r="7281" spans="45:45">
      <c r="AS7281" s="47"/>
    </row>
    <row r="7282" spans="45:45">
      <c r="AS7282" s="47"/>
    </row>
    <row r="7283" spans="45:45">
      <c r="AS7283" s="47"/>
    </row>
    <row r="7284" spans="45:45">
      <c r="AS7284" s="47"/>
    </row>
    <row r="7285" spans="45:45">
      <c r="AS7285" s="47"/>
    </row>
    <row r="7286" spans="45:45">
      <c r="AS7286" s="47"/>
    </row>
    <row r="7287" spans="45:45">
      <c r="AS7287" s="47"/>
    </row>
    <row r="7288" spans="45:45">
      <c r="AS7288" s="47"/>
    </row>
    <row r="7289" spans="45:45">
      <c r="AS7289" s="47"/>
    </row>
    <row r="7290" spans="45:45">
      <c r="AS7290" s="47"/>
    </row>
    <row r="7291" spans="45:45">
      <c r="AS7291" s="47"/>
    </row>
    <row r="7292" spans="45:45">
      <c r="AS7292" s="47"/>
    </row>
    <row r="7293" spans="45:45">
      <c r="AS7293" s="47"/>
    </row>
    <row r="7294" spans="45:45">
      <c r="AS7294" s="47"/>
    </row>
    <row r="7295" spans="45:45">
      <c r="AS7295" s="47"/>
    </row>
    <row r="7296" spans="45:45">
      <c r="AS7296" s="47"/>
    </row>
    <row r="7297" spans="45:45">
      <c r="AS7297" s="47"/>
    </row>
    <row r="7298" spans="45:45">
      <c r="AS7298" s="47"/>
    </row>
    <row r="7299" spans="45:45">
      <c r="AS7299" s="47"/>
    </row>
    <row r="7300" spans="45:45">
      <c r="AS7300" s="47"/>
    </row>
    <row r="7301" spans="45:45">
      <c r="AS7301" s="47"/>
    </row>
    <row r="7302" spans="45:45">
      <c r="AS7302" s="47"/>
    </row>
    <row r="7303" spans="45:45">
      <c r="AS7303" s="47"/>
    </row>
    <row r="7304" spans="45:45">
      <c r="AS7304" s="47"/>
    </row>
    <row r="7305" spans="45:45">
      <c r="AS7305" s="47"/>
    </row>
    <row r="7306" spans="45:45">
      <c r="AS7306" s="47"/>
    </row>
    <row r="7307" spans="45:45">
      <c r="AS7307" s="47"/>
    </row>
    <row r="7308" spans="45:45">
      <c r="AS7308" s="47"/>
    </row>
    <row r="7309" spans="45:45">
      <c r="AS7309" s="47"/>
    </row>
    <row r="7310" spans="45:45">
      <c r="AS7310" s="47"/>
    </row>
    <row r="7311" spans="45:45">
      <c r="AS7311" s="47"/>
    </row>
    <row r="7312" spans="45:45">
      <c r="AS7312" s="47"/>
    </row>
    <row r="7313" spans="45:45">
      <c r="AS7313" s="47"/>
    </row>
    <row r="7314" spans="45:45">
      <c r="AS7314" s="47"/>
    </row>
    <row r="7315" spans="45:45">
      <c r="AS7315" s="47"/>
    </row>
    <row r="7316" spans="45:45">
      <c r="AS7316" s="47"/>
    </row>
    <row r="7317" spans="45:45">
      <c r="AS7317" s="47"/>
    </row>
    <row r="7318" spans="45:45">
      <c r="AS7318" s="47"/>
    </row>
    <row r="7319" spans="45:45">
      <c r="AS7319" s="47"/>
    </row>
    <row r="7320" spans="45:45">
      <c r="AS7320" s="47"/>
    </row>
    <row r="7321" spans="45:45">
      <c r="AS7321" s="47"/>
    </row>
    <row r="7322" spans="45:45">
      <c r="AS7322" s="47"/>
    </row>
    <row r="7323" spans="45:45">
      <c r="AS7323" s="47"/>
    </row>
    <row r="7324" spans="45:45">
      <c r="AS7324" s="47"/>
    </row>
    <row r="7325" spans="45:45">
      <c r="AS7325" s="47"/>
    </row>
    <row r="7326" spans="45:45">
      <c r="AS7326" s="47"/>
    </row>
    <row r="7327" spans="45:45">
      <c r="AS7327" s="47"/>
    </row>
    <row r="7328" spans="45:45">
      <c r="AS7328" s="47"/>
    </row>
    <row r="7329" spans="45:45">
      <c r="AS7329" s="47"/>
    </row>
    <row r="7330" spans="45:45">
      <c r="AS7330" s="47"/>
    </row>
    <row r="7331" spans="45:45">
      <c r="AS7331" s="47"/>
    </row>
    <row r="7332" spans="45:45">
      <c r="AS7332" s="47"/>
    </row>
    <row r="7333" spans="45:45">
      <c r="AS7333" s="47"/>
    </row>
    <row r="7334" spans="45:45">
      <c r="AS7334" s="47"/>
    </row>
    <row r="7335" spans="45:45">
      <c r="AS7335" s="47"/>
    </row>
    <row r="7336" spans="45:45">
      <c r="AS7336" s="47"/>
    </row>
    <row r="7337" spans="45:45">
      <c r="AS7337" s="47"/>
    </row>
    <row r="7338" spans="45:45">
      <c r="AS7338" s="47"/>
    </row>
    <row r="7339" spans="45:45">
      <c r="AS7339" s="47"/>
    </row>
    <row r="7340" spans="45:45">
      <c r="AS7340" s="47"/>
    </row>
    <row r="7341" spans="45:45">
      <c r="AS7341" s="47"/>
    </row>
    <row r="7342" spans="45:45">
      <c r="AS7342" s="47"/>
    </row>
    <row r="7343" spans="45:45">
      <c r="AS7343" s="47"/>
    </row>
    <row r="7344" spans="45:45">
      <c r="AS7344" s="47"/>
    </row>
    <row r="7345" spans="45:45">
      <c r="AS7345" s="47"/>
    </row>
    <row r="7346" spans="45:45">
      <c r="AS7346" s="47"/>
    </row>
    <row r="7347" spans="45:45">
      <c r="AS7347" s="47"/>
    </row>
    <row r="7348" spans="45:45">
      <c r="AS7348" s="47"/>
    </row>
    <row r="7349" spans="45:45">
      <c r="AS7349" s="47"/>
    </row>
    <row r="7350" spans="45:45">
      <c r="AS7350" s="47"/>
    </row>
    <row r="7351" spans="45:45">
      <c r="AS7351" s="47"/>
    </row>
    <row r="7352" spans="45:45">
      <c r="AS7352" s="47"/>
    </row>
    <row r="7353" spans="45:45">
      <c r="AS7353" s="47"/>
    </row>
    <row r="7354" spans="45:45">
      <c r="AS7354" s="47"/>
    </row>
    <row r="7355" spans="45:45">
      <c r="AS7355" s="47"/>
    </row>
    <row r="7356" spans="45:45">
      <c r="AS7356" s="47"/>
    </row>
    <row r="7357" spans="45:45">
      <c r="AS7357" s="47"/>
    </row>
    <row r="7358" spans="45:45">
      <c r="AS7358" s="47"/>
    </row>
    <row r="7359" spans="45:45">
      <c r="AS7359" s="47"/>
    </row>
    <row r="7360" spans="45:45">
      <c r="AS7360" s="47"/>
    </row>
    <row r="7361" spans="45:45">
      <c r="AS7361" s="47"/>
    </row>
    <row r="7362" spans="45:45">
      <c r="AS7362" s="47"/>
    </row>
    <row r="7363" spans="45:45">
      <c r="AS7363" s="47"/>
    </row>
    <row r="7364" spans="45:45">
      <c r="AS7364" s="47"/>
    </row>
    <row r="7365" spans="45:45">
      <c r="AS7365" s="47"/>
    </row>
    <row r="7366" spans="45:45">
      <c r="AS7366" s="47"/>
    </row>
    <row r="7367" spans="45:45">
      <c r="AS7367" s="47"/>
    </row>
    <row r="7368" spans="45:45">
      <c r="AS7368" s="47"/>
    </row>
    <row r="7369" spans="45:45">
      <c r="AS7369" s="47"/>
    </row>
    <row r="7370" spans="45:45">
      <c r="AS7370" s="47"/>
    </row>
    <row r="7371" spans="45:45">
      <c r="AS7371" s="47"/>
    </row>
    <row r="7372" spans="45:45">
      <c r="AS7372" s="47"/>
    </row>
    <row r="7373" spans="45:45">
      <c r="AS7373" s="47"/>
    </row>
    <row r="7374" spans="45:45">
      <c r="AS7374" s="47"/>
    </row>
    <row r="7375" spans="45:45">
      <c r="AS7375" s="47"/>
    </row>
    <row r="7376" spans="45:45">
      <c r="AS7376" s="47"/>
    </row>
    <row r="7377" spans="45:45">
      <c r="AS7377" s="47"/>
    </row>
    <row r="7378" spans="45:45">
      <c r="AS7378" s="47"/>
    </row>
    <row r="7379" spans="45:45">
      <c r="AS7379" s="47"/>
    </row>
    <row r="7380" spans="45:45">
      <c r="AS7380" s="47"/>
    </row>
    <row r="7381" spans="45:45">
      <c r="AS7381" s="47"/>
    </row>
    <row r="7382" spans="45:45">
      <c r="AS7382" s="47"/>
    </row>
    <row r="7383" spans="45:45">
      <c r="AS7383" s="47"/>
    </row>
    <row r="7384" spans="45:45">
      <c r="AS7384" s="47"/>
    </row>
    <row r="7385" spans="45:45">
      <c r="AS7385" s="47"/>
    </row>
    <row r="7386" spans="45:45">
      <c r="AS7386" s="47"/>
    </row>
    <row r="7387" spans="45:45">
      <c r="AS7387" s="47"/>
    </row>
    <row r="7388" spans="45:45">
      <c r="AS7388" s="47"/>
    </row>
    <row r="7389" spans="45:45">
      <c r="AS7389" s="47"/>
    </row>
    <row r="7390" spans="45:45">
      <c r="AS7390" s="47"/>
    </row>
    <row r="7391" spans="45:45">
      <c r="AS7391" s="47"/>
    </row>
    <row r="7392" spans="45:45">
      <c r="AS7392" s="47"/>
    </row>
    <row r="7393" spans="45:45">
      <c r="AS7393" s="47"/>
    </row>
    <row r="7394" spans="45:45">
      <c r="AS7394" s="47"/>
    </row>
    <row r="7395" spans="45:45">
      <c r="AS7395" s="47"/>
    </row>
    <row r="7396" spans="45:45">
      <c r="AS7396" s="47"/>
    </row>
    <row r="7397" spans="45:45">
      <c r="AS7397" s="47"/>
    </row>
    <row r="7398" spans="45:45">
      <c r="AS7398" s="47"/>
    </row>
    <row r="7399" spans="45:45">
      <c r="AS7399" s="47"/>
    </row>
    <row r="7400" spans="45:45">
      <c r="AS7400" s="47"/>
    </row>
    <row r="7401" spans="45:45">
      <c r="AS7401" s="47"/>
    </row>
    <row r="7402" spans="45:45">
      <c r="AS7402" s="47"/>
    </row>
    <row r="7403" spans="45:45">
      <c r="AS7403" s="47"/>
    </row>
    <row r="7404" spans="45:45">
      <c r="AS7404" s="47"/>
    </row>
    <row r="7405" spans="45:45">
      <c r="AS7405" s="47"/>
    </row>
    <row r="7406" spans="45:45">
      <c r="AS7406" s="47"/>
    </row>
    <row r="7407" spans="45:45">
      <c r="AS7407" s="47"/>
    </row>
    <row r="7408" spans="45:45">
      <c r="AS7408" s="47"/>
    </row>
    <row r="7409" spans="45:45">
      <c r="AS7409" s="47"/>
    </row>
    <row r="7410" spans="45:45">
      <c r="AS7410" s="47"/>
    </row>
    <row r="7411" spans="45:45">
      <c r="AS7411" s="47"/>
    </row>
    <row r="7412" spans="45:45">
      <c r="AS7412" s="47"/>
    </row>
    <row r="7413" spans="45:45">
      <c r="AS7413" s="47"/>
    </row>
    <row r="7414" spans="45:45">
      <c r="AS7414" s="47"/>
    </row>
    <row r="7415" spans="45:45">
      <c r="AS7415" s="47"/>
    </row>
    <row r="7416" spans="45:45">
      <c r="AS7416" s="47"/>
    </row>
    <row r="7417" spans="45:45">
      <c r="AS7417" s="47"/>
    </row>
    <row r="7418" spans="45:45">
      <c r="AS7418" s="47"/>
    </row>
    <row r="7419" spans="45:45">
      <c r="AS7419" s="47"/>
    </row>
    <row r="7420" spans="45:45">
      <c r="AS7420" s="47"/>
    </row>
    <row r="7421" spans="45:45">
      <c r="AS7421" s="47"/>
    </row>
    <row r="7422" spans="45:45">
      <c r="AS7422" s="47"/>
    </row>
    <row r="7423" spans="45:45">
      <c r="AS7423" s="47"/>
    </row>
    <row r="7424" spans="45:45">
      <c r="AS7424" s="47"/>
    </row>
    <row r="7425" spans="45:45">
      <c r="AS7425" s="47"/>
    </row>
    <row r="7426" spans="45:45">
      <c r="AS7426" s="47"/>
    </row>
    <row r="7427" spans="45:45">
      <c r="AS7427" s="47"/>
    </row>
    <row r="7428" spans="45:45">
      <c r="AS7428" s="47"/>
    </row>
    <row r="7429" spans="45:45">
      <c r="AS7429" s="47"/>
    </row>
    <row r="7430" spans="45:45">
      <c r="AS7430" s="47"/>
    </row>
    <row r="7431" spans="45:45">
      <c r="AS7431" s="47"/>
    </row>
    <row r="7432" spans="45:45">
      <c r="AS7432" s="47"/>
    </row>
    <row r="7433" spans="45:45">
      <c r="AS7433" s="47"/>
    </row>
    <row r="7434" spans="45:45">
      <c r="AS7434" s="47"/>
    </row>
    <row r="7435" spans="45:45">
      <c r="AS7435" s="47"/>
    </row>
    <row r="7436" spans="45:45">
      <c r="AS7436" s="47"/>
    </row>
    <row r="7437" spans="45:45">
      <c r="AS7437" s="47"/>
    </row>
    <row r="7438" spans="45:45">
      <c r="AS7438" s="47"/>
    </row>
    <row r="7439" spans="45:45">
      <c r="AS7439" s="47"/>
    </row>
    <row r="7440" spans="45:45">
      <c r="AS7440" s="47"/>
    </row>
    <row r="7441" spans="45:45">
      <c r="AS7441" s="47"/>
    </row>
    <row r="7442" spans="45:45">
      <c r="AS7442" s="47"/>
    </row>
    <row r="7443" spans="45:45">
      <c r="AS7443" s="47"/>
    </row>
    <row r="7444" spans="45:45">
      <c r="AS7444" s="47"/>
    </row>
    <row r="7445" spans="45:45">
      <c r="AS7445" s="47"/>
    </row>
    <row r="7446" spans="45:45">
      <c r="AS7446" s="47"/>
    </row>
    <row r="7447" spans="45:45">
      <c r="AS7447" s="47"/>
    </row>
    <row r="7448" spans="45:45">
      <c r="AS7448" s="47"/>
    </row>
    <row r="7449" spans="45:45">
      <c r="AS7449" s="47"/>
    </row>
    <row r="7450" spans="45:45">
      <c r="AS7450" s="47"/>
    </row>
    <row r="7451" spans="45:45">
      <c r="AS7451" s="47"/>
    </row>
    <row r="7452" spans="45:45">
      <c r="AS7452" s="47"/>
    </row>
    <row r="7453" spans="45:45">
      <c r="AS7453" s="47"/>
    </row>
    <row r="7454" spans="45:45">
      <c r="AS7454" s="47"/>
    </row>
    <row r="7455" spans="45:45">
      <c r="AS7455" s="47"/>
    </row>
    <row r="7456" spans="45:45">
      <c r="AS7456" s="47"/>
    </row>
    <row r="7457" spans="45:45">
      <c r="AS7457" s="47"/>
    </row>
    <row r="7458" spans="45:45">
      <c r="AS7458" s="47"/>
    </row>
    <row r="7459" spans="45:45">
      <c r="AS7459" s="47"/>
    </row>
    <row r="7460" spans="45:45">
      <c r="AS7460" s="47"/>
    </row>
    <row r="7461" spans="45:45">
      <c r="AS7461" s="47"/>
    </row>
    <row r="7462" spans="45:45">
      <c r="AS7462" s="47"/>
    </row>
    <row r="7463" spans="45:45">
      <c r="AS7463" s="47"/>
    </row>
    <row r="7464" spans="45:45">
      <c r="AS7464" s="47"/>
    </row>
    <row r="7465" spans="45:45">
      <c r="AS7465" s="47"/>
    </row>
    <row r="7466" spans="45:45">
      <c r="AS7466" s="47"/>
    </row>
    <row r="7467" spans="45:45">
      <c r="AS7467" s="47"/>
    </row>
    <row r="7468" spans="45:45">
      <c r="AS7468" s="47"/>
    </row>
    <row r="7469" spans="45:45">
      <c r="AS7469" s="47"/>
    </row>
    <row r="7470" spans="45:45">
      <c r="AS7470" s="47"/>
    </row>
    <row r="7471" spans="45:45">
      <c r="AS7471" s="47"/>
    </row>
    <row r="7472" spans="45:45">
      <c r="AS7472" s="47"/>
    </row>
    <row r="7473" spans="45:45">
      <c r="AS7473" s="47"/>
    </row>
    <row r="7474" spans="45:45">
      <c r="AS7474" s="47"/>
    </row>
    <row r="7475" spans="45:45">
      <c r="AS7475" s="47"/>
    </row>
    <row r="7476" spans="45:45">
      <c r="AS7476" s="47"/>
    </row>
    <row r="7477" spans="45:45">
      <c r="AS7477" s="47"/>
    </row>
    <row r="7478" spans="45:45">
      <c r="AS7478" s="47"/>
    </row>
    <row r="7479" spans="45:45">
      <c r="AS7479" s="47"/>
    </row>
    <row r="7480" spans="45:45">
      <c r="AS7480" s="47"/>
    </row>
    <row r="7481" spans="45:45">
      <c r="AS7481" s="47"/>
    </row>
    <row r="7482" spans="45:45">
      <c r="AS7482" s="47"/>
    </row>
    <row r="7483" spans="45:45">
      <c r="AS7483" s="47"/>
    </row>
    <row r="7484" spans="45:45">
      <c r="AS7484" s="47"/>
    </row>
    <row r="7485" spans="45:45">
      <c r="AS7485" s="47"/>
    </row>
    <row r="7486" spans="45:45">
      <c r="AS7486" s="47"/>
    </row>
    <row r="7487" spans="45:45">
      <c r="AS7487" s="47"/>
    </row>
    <row r="7488" spans="45:45">
      <c r="AS7488" s="47"/>
    </row>
    <row r="7489" spans="45:45">
      <c r="AS7489" s="47"/>
    </row>
    <row r="7490" spans="45:45">
      <c r="AS7490" s="47"/>
    </row>
    <row r="7491" spans="45:45">
      <c r="AS7491" s="47"/>
    </row>
    <row r="7492" spans="45:45">
      <c r="AS7492" s="47"/>
    </row>
    <row r="7493" spans="45:45">
      <c r="AS7493" s="47"/>
    </row>
    <row r="7494" spans="45:45">
      <c r="AS7494" s="47"/>
    </row>
    <row r="7495" spans="45:45">
      <c r="AS7495" s="47"/>
    </row>
    <row r="7496" spans="45:45">
      <c r="AS7496" s="47"/>
    </row>
    <row r="7497" spans="45:45">
      <c r="AS7497" s="47"/>
    </row>
    <row r="7498" spans="45:45">
      <c r="AS7498" s="47"/>
    </row>
    <row r="7499" spans="45:45">
      <c r="AS7499" s="47"/>
    </row>
    <row r="7500" spans="45:45">
      <c r="AS7500" s="47"/>
    </row>
    <row r="7501" spans="45:45">
      <c r="AS7501" s="47"/>
    </row>
    <row r="7502" spans="45:45">
      <c r="AS7502" s="47"/>
    </row>
    <row r="7503" spans="45:45">
      <c r="AS7503" s="47"/>
    </row>
    <row r="7504" spans="45:45">
      <c r="AS7504" s="47"/>
    </row>
    <row r="7505" spans="45:45">
      <c r="AS7505" s="47"/>
    </row>
    <row r="7506" spans="45:45">
      <c r="AS7506" s="47"/>
    </row>
    <row r="7507" spans="45:45">
      <c r="AS7507" s="47"/>
    </row>
    <row r="7508" spans="45:45">
      <c r="AS7508" s="47"/>
    </row>
    <row r="7509" spans="45:45">
      <c r="AS7509" s="47"/>
    </row>
    <row r="7510" spans="45:45">
      <c r="AS7510" s="47"/>
    </row>
    <row r="7511" spans="45:45">
      <c r="AS7511" s="47"/>
    </row>
    <row r="7512" spans="45:45">
      <c r="AS7512" s="47"/>
    </row>
    <row r="7513" spans="45:45">
      <c r="AS7513" s="47"/>
    </row>
    <row r="7514" spans="45:45">
      <c r="AS7514" s="47"/>
    </row>
    <row r="7515" spans="45:45">
      <c r="AS7515" s="47"/>
    </row>
    <row r="7516" spans="45:45">
      <c r="AS7516" s="47"/>
    </row>
    <row r="7517" spans="45:45">
      <c r="AS7517" s="47"/>
    </row>
    <row r="7518" spans="45:45">
      <c r="AS7518" s="47"/>
    </row>
    <row r="7519" spans="45:45">
      <c r="AS7519" s="47"/>
    </row>
    <row r="7520" spans="45:45">
      <c r="AS7520" s="47"/>
    </row>
    <row r="7521" spans="45:45">
      <c r="AS7521" s="47"/>
    </row>
    <row r="7522" spans="45:45">
      <c r="AS7522" s="47"/>
    </row>
    <row r="7523" spans="45:45">
      <c r="AS7523" s="47"/>
    </row>
    <row r="7524" spans="45:45">
      <c r="AS7524" s="47"/>
    </row>
    <row r="7525" spans="45:45">
      <c r="AS7525" s="47"/>
    </row>
    <row r="7526" spans="45:45">
      <c r="AS7526" s="47"/>
    </row>
    <row r="7527" spans="45:45">
      <c r="AS7527" s="47"/>
    </row>
    <row r="7528" spans="45:45">
      <c r="AS7528" s="47"/>
    </row>
    <row r="7529" spans="45:45">
      <c r="AS7529" s="47"/>
    </row>
    <row r="7530" spans="45:45">
      <c r="AS7530" s="47"/>
    </row>
    <row r="7531" spans="45:45">
      <c r="AS7531" s="47"/>
    </row>
    <row r="7532" spans="45:45">
      <c r="AS7532" s="47"/>
    </row>
    <row r="7533" spans="45:45">
      <c r="AS7533" s="47"/>
    </row>
    <row r="7534" spans="45:45">
      <c r="AS7534" s="47"/>
    </row>
    <row r="7535" spans="45:45">
      <c r="AS7535" s="47"/>
    </row>
    <row r="7536" spans="45:45">
      <c r="AS7536" s="47"/>
    </row>
    <row r="7537" spans="45:45">
      <c r="AS7537" s="47"/>
    </row>
    <row r="7538" spans="45:45">
      <c r="AS7538" s="47"/>
    </row>
    <row r="7539" spans="45:45">
      <c r="AS7539" s="47"/>
    </row>
    <row r="7540" spans="45:45">
      <c r="AS7540" s="47"/>
    </row>
    <row r="7541" spans="45:45">
      <c r="AS7541" s="47"/>
    </row>
    <row r="7542" spans="45:45">
      <c r="AS7542" s="47"/>
    </row>
    <row r="7543" spans="45:45">
      <c r="AS7543" s="47"/>
    </row>
    <row r="7544" spans="45:45">
      <c r="AS7544" s="47"/>
    </row>
    <row r="7545" spans="45:45">
      <c r="AS7545" s="47"/>
    </row>
    <row r="7546" spans="45:45">
      <c r="AS7546" s="47"/>
    </row>
    <row r="7547" spans="45:45">
      <c r="AS7547" s="47"/>
    </row>
    <row r="7548" spans="45:45">
      <c r="AS7548" s="47"/>
    </row>
    <row r="7549" spans="45:45">
      <c r="AS7549" s="47"/>
    </row>
    <row r="7550" spans="45:45">
      <c r="AS7550" s="47"/>
    </row>
    <row r="7551" spans="45:45">
      <c r="AS7551" s="47"/>
    </row>
    <row r="7552" spans="45:45">
      <c r="AS7552" s="47"/>
    </row>
    <row r="7553" spans="45:45">
      <c r="AS7553" s="47"/>
    </row>
    <row r="7554" spans="45:45">
      <c r="AS7554" s="47"/>
    </row>
    <row r="7555" spans="45:45">
      <c r="AS7555" s="47"/>
    </row>
    <row r="7556" spans="45:45">
      <c r="AS7556" s="47"/>
    </row>
    <row r="7557" spans="45:45">
      <c r="AS7557" s="47"/>
    </row>
    <row r="7558" spans="45:45">
      <c r="AS7558" s="47"/>
    </row>
    <row r="7559" spans="45:45">
      <c r="AS7559" s="47"/>
    </row>
    <row r="7560" spans="45:45">
      <c r="AS7560" s="47"/>
    </row>
    <row r="7561" spans="45:45">
      <c r="AS7561" s="47"/>
    </row>
    <row r="7562" spans="45:45">
      <c r="AS7562" s="47"/>
    </row>
    <row r="7563" spans="45:45">
      <c r="AS7563" s="47"/>
    </row>
    <row r="7564" spans="45:45">
      <c r="AS7564" s="47"/>
    </row>
    <row r="7565" spans="45:45">
      <c r="AS7565" s="47"/>
    </row>
    <row r="7566" spans="45:45">
      <c r="AS7566" s="47"/>
    </row>
    <row r="7567" spans="45:45">
      <c r="AS7567" s="47"/>
    </row>
    <row r="7568" spans="45:45">
      <c r="AS7568" s="47"/>
    </row>
    <row r="7569" spans="45:45">
      <c r="AS7569" s="47"/>
    </row>
    <row r="7570" spans="45:45">
      <c r="AS7570" s="47"/>
    </row>
    <row r="7571" spans="45:45">
      <c r="AS7571" s="47"/>
    </row>
    <row r="7572" spans="45:45">
      <c r="AS7572" s="47"/>
    </row>
    <row r="7573" spans="45:45">
      <c r="AS7573" s="47"/>
    </row>
    <row r="7574" spans="45:45">
      <c r="AS7574" s="47"/>
    </row>
    <row r="7575" spans="45:45">
      <c r="AS7575" s="47"/>
    </row>
    <row r="7576" spans="45:45">
      <c r="AS7576" s="47"/>
    </row>
    <row r="7577" spans="45:45">
      <c r="AS7577" s="47"/>
    </row>
    <row r="7578" spans="45:45">
      <c r="AS7578" s="47"/>
    </row>
    <row r="7579" spans="45:45">
      <c r="AS7579" s="47"/>
    </row>
    <row r="7580" spans="45:45">
      <c r="AS7580" s="47"/>
    </row>
    <row r="7581" spans="45:45">
      <c r="AS7581" s="47"/>
    </row>
    <row r="7582" spans="45:45">
      <c r="AS7582" s="47"/>
    </row>
    <row r="7583" spans="45:45">
      <c r="AS7583" s="47"/>
    </row>
    <row r="7584" spans="45:45">
      <c r="AS7584" s="47"/>
    </row>
    <row r="7585" spans="45:45">
      <c r="AS7585" s="47"/>
    </row>
    <row r="7586" spans="45:45">
      <c r="AS7586" s="47"/>
    </row>
    <row r="7587" spans="45:45">
      <c r="AS7587" s="47"/>
    </row>
    <row r="7588" spans="45:45">
      <c r="AS7588" s="47"/>
    </row>
    <row r="7589" spans="45:45">
      <c r="AS7589" s="47"/>
    </row>
    <row r="7590" spans="45:45">
      <c r="AS7590" s="47"/>
    </row>
    <row r="7591" spans="45:45">
      <c r="AS7591" s="47"/>
    </row>
    <row r="7592" spans="45:45">
      <c r="AS7592" s="47"/>
    </row>
    <row r="7593" spans="45:45">
      <c r="AS7593" s="47"/>
    </row>
    <row r="7594" spans="45:45">
      <c r="AS7594" s="47"/>
    </row>
    <row r="7595" spans="45:45">
      <c r="AS7595" s="47"/>
    </row>
    <row r="7596" spans="45:45">
      <c r="AS7596" s="47"/>
    </row>
    <row r="7597" spans="45:45">
      <c r="AS7597" s="47"/>
    </row>
    <row r="7598" spans="45:45">
      <c r="AS7598" s="47"/>
    </row>
    <row r="7599" spans="45:45">
      <c r="AS7599" s="47"/>
    </row>
    <row r="7600" spans="45:45">
      <c r="AS7600" s="47"/>
    </row>
    <row r="7601" spans="45:45">
      <c r="AS7601" s="47"/>
    </row>
    <row r="7602" spans="45:45">
      <c r="AS7602" s="47"/>
    </row>
    <row r="7603" spans="45:45">
      <c r="AS7603" s="47"/>
    </row>
    <row r="7604" spans="45:45">
      <c r="AS7604" s="47"/>
    </row>
    <row r="7605" spans="45:45">
      <c r="AS7605" s="47"/>
    </row>
    <row r="7606" spans="45:45">
      <c r="AS7606" s="47"/>
    </row>
    <row r="7607" spans="45:45">
      <c r="AS7607" s="47"/>
    </row>
    <row r="7608" spans="45:45">
      <c r="AS7608" s="47"/>
    </row>
    <row r="7609" spans="45:45">
      <c r="AS7609" s="47"/>
    </row>
    <row r="7610" spans="45:45">
      <c r="AS7610" s="47"/>
    </row>
    <row r="7611" spans="45:45">
      <c r="AS7611" s="47"/>
    </row>
    <row r="7612" spans="45:45">
      <c r="AS7612" s="47"/>
    </row>
    <row r="7613" spans="45:45">
      <c r="AS7613" s="47"/>
    </row>
    <row r="7614" spans="45:45">
      <c r="AS7614" s="47"/>
    </row>
    <row r="7615" spans="45:45">
      <c r="AS7615" s="47"/>
    </row>
    <row r="7616" spans="45:45">
      <c r="AS7616" s="47"/>
    </row>
    <row r="7617" spans="45:45">
      <c r="AS7617" s="47"/>
    </row>
    <row r="7618" spans="45:45">
      <c r="AS7618" s="47"/>
    </row>
    <row r="7619" spans="45:45">
      <c r="AS7619" s="47"/>
    </row>
    <row r="7620" spans="45:45">
      <c r="AS7620" s="47"/>
    </row>
    <row r="7621" spans="45:45">
      <c r="AS7621" s="47"/>
    </row>
    <row r="7622" spans="45:45">
      <c r="AS7622" s="47"/>
    </row>
    <row r="7623" spans="45:45">
      <c r="AS7623" s="47"/>
    </row>
    <row r="7624" spans="45:45">
      <c r="AS7624" s="47"/>
    </row>
    <row r="7625" spans="45:45">
      <c r="AS7625" s="47"/>
    </row>
    <row r="7626" spans="45:45">
      <c r="AS7626" s="47"/>
    </row>
    <row r="7627" spans="45:45">
      <c r="AS7627" s="47"/>
    </row>
    <row r="7628" spans="45:45">
      <c r="AS7628" s="47"/>
    </row>
    <row r="7629" spans="45:45">
      <c r="AS7629" s="47"/>
    </row>
    <row r="7630" spans="45:45">
      <c r="AS7630" s="47"/>
    </row>
    <row r="7631" spans="45:45">
      <c r="AS7631" s="47"/>
    </row>
    <row r="7632" spans="45:45">
      <c r="AS7632" s="47"/>
    </row>
    <row r="7633" spans="45:45">
      <c r="AS7633" s="47"/>
    </row>
    <row r="7634" spans="45:45">
      <c r="AS7634" s="47"/>
    </row>
    <row r="7635" spans="45:45">
      <c r="AS7635" s="47"/>
    </row>
    <row r="7636" spans="45:45">
      <c r="AS7636" s="47"/>
    </row>
    <row r="7637" spans="45:45">
      <c r="AS7637" s="47"/>
    </row>
    <row r="7638" spans="45:45">
      <c r="AS7638" s="47"/>
    </row>
    <row r="7639" spans="45:45">
      <c r="AS7639" s="47"/>
    </row>
    <row r="7640" spans="45:45">
      <c r="AS7640" s="47"/>
    </row>
    <row r="7641" spans="45:45">
      <c r="AS7641" s="47"/>
    </row>
    <row r="7642" spans="45:45">
      <c r="AS7642" s="47"/>
    </row>
    <row r="7643" spans="45:45">
      <c r="AS7643" s="47"/>
    </row>
    <row r="7644" spans="45:45">
      <c r="AS7644" s="47"/>
    </row>
    <row r="7645" spans="45:45">
      <c r="AS7645" s="47"/>
    </row>
    <row r="7646" spans="45:45">
      <c r="AS7646" s="47"/>
    </row>
    <row r="7647" spans="45:45">
      <c r="AS7647" s="47"/>
    </row>
    <row r="7648" spans="45:45">
      <c r="AS7648" s="47"/>
    </row>
    <row r="7649" spans="45:45">
      <c r="AS7649" s="47"/>
    </row>
    <row r="7650" spans="45:45">
      <c r="AS7650" s="47"/>
    </row>
    <row r="7651" spans="45:45">
      <c r="AS7651" s="47"/>
    </row>
    <row r="7652" spans="45:45">
      <c r="AS7652" s="47"/>
    </row>
    <row r="7653" spans="45:45">
      <c r="AS7653" s="47"/>
    </row>
    <row r="7654" spans="45:45">
      <c r="AS7654" s="47"/>
    </row>
    <row r="7655" spans="45:45">
      <c r="AS7655" s="47"/>
    </row>
    <row r="7656" spans="45:45">
      <c r="AS7656" s="47"/>
    </row>
    <row r="7657" spans="45:45">
      <c r="AS7657" s="47"/>
    </row>
    <row r="7658" spans="45:45">
      <c r="AS7658" s="47"/>
    </row>
    <row r="7659" spans="45:45">
      <c r="AS7659" s="47"/>
    </row>
    <row r="7660" spans="45:45">
      <c r="AS7660" s="47"/>
    </row>
    <row r="7661" spans="45:45">
      <c r="AS7661" s="47"/>
    </row>
    <row r="7662" spans="45:45">
      <c r="AS7662" s="47"/>
    </row>
    <row r="7663" spans="45:45">
      <c r="AS7663" s="47"/>
    </row>
    <row r="7664" spans="45:45">
      <c r="AS7664" s="47"/>
    </row>
    <row r="7665" spans="45:45">
      <c r="AS7665" s="47"/>
    </row>
    <row r="7666" spans="45:45">
      <c r="AS7666" s="47"/>
    </row>
    <row r="7667" spans="45:45">
      <c r="AS7667" s="47"/>
    </row>
    <row r="7668" spans="45:45">
      <c r="AS7668" s="47"/>
    </row>
    <row r="7669" spans="45:45">
      <c r="AS7669" s="47"/>
    </row>
    <row r="7670" spans="45:45">
      <c r="AS7670" s="47"/>
    </row>
    <row r="7671" spans="45:45">
      <c r="AS7671" s="47"/>
    </row>
    <row r="7672" spans="45:45">
      <c r="AS7672" s="47"/>
    </row>
    <row r="7673" spans="45:45">
      <c r="AS7673" s="47"/>
    </row>
    <row r="7674" spans="45:45">
      <c r="AS7674" s="47"/>
    </row>
    <row r="7675" spans="45:45">
      <c r="AS7675" s="47"/>
    </row>
    <row r="7676" spans="45:45">
      <c r="AS7676" s="47"/>
    </row>
    <row r="7677" spans="45:45">
      <c r="AS7677" s="47"/>
    </row>
    <row r="7678" spans="45:45">
      <c r="AS7678" s="47"/>
    </row>
    <row r="7679" spans="45:45">
      <c r="AS7679" s="47"/>
    </row>
    <row r="7680" spans="45:45">
      <c r="AS7680" s="47"/>
    </row>
    <row r="7681" spans="45:45">
      <c r="AS7681" s="47"/>
    </row>
    <row r="7682" spans="45:45">
      <c r="AS7682" s="47"/>
    </row>
    <row r="7683" spans="45:45">
      <c r="AS7683" s="47"/>
    </row>
    <row r="7684" spans="45:45">
      <c r="AS7684" s="47"/>
    </row>
    <row r="7685" spans="45:45">
      <c r="AS7685" s="47"/>
    </row>
    <row r="7686" spans="45:45">
      <c r="AS7686" s="47"/>
    </row>
    <row r="7687" spans="45:45">
      <c r="AS7687" s="47"/>
    </row>
    <row r="7688" spans="45:45">
      <c r="AS7688" s="47"/>
    </row>
    <row r="7689" spans="45:45">
      <c r="AS7689" s="47"/>
    </row>
    <row r="7690" spans="45:45">
      <c r="AS7690" s="47"/>
    </row>
    <row r="7691" spans="45:45">
      <c r="AS7691" s="47"/>
    </row>
    <row r="7692" spans="45:45">
      <c r="AS7692" s="47"/>
    </row>
    <row r="7693" spans="45:45">
      <c r="AS7693" s="47"/>
    </row>
    <row r="7694" spans="45:45">
      <c r="AS7694" s="47"/>
    </row>
    <row r="7695" spans="45:45">
      <c r="AS7695" s="47"/>
    </row>
    <row r="7696" spans="45:45">
      <c r="AS7696" s="47"/>
    </row>
    <row r="7697" spans="45:45">
      <c r="AS7697" s="47"/>
    </row>
    <row r="7698" spans="45:45">
      <c r="AS7698" s="47"/>
    </row>
    <row r="7699" spans="45:45">
      <c r="AS7699" s="47"/>
    </row>
    <row r="7700" spans="45:45">
      <c r="AS7700" s="47"/>
    </row>
    <row r="7701" spans="45:45">
      <c r="AS7701" s="47"/>
    </row>
    <row r="7702" spans="45:45">
      <c r="AS7702" s="47"/>
    </row>
    <row r="7703" spans="45:45">
      <c r="AS7703" s="47"/>
    </row>
    <row r="7704" spans="45:45">
      <c r="AS7704" s="47"/>
    </row>
    <row r="7705" spans="45:45">
      <c r="AS7705" s="47"/>
    </row>
    <row r="7706" spans="45:45">
      <c r="AS7706" s="47"/>
    </row>
    <row r="7707" spans="45:45">
      <c r="AS7707" s="47"/>
    </row>
    <row r="7708" spans="45:45">
      <c r="AS7708" s="47"/>
    </row>
    <row r="7709" spans="45:45">
      <c r="AS7709" s="47"/>
    </row>
    <row r="7710" spans="45:45">
      <c r="AS7710" s="47"/>
    </row>
    <row r="7711" spans="45:45">
      <c r="AS7711" s="47"/>
    </row>
    <row r="7712" spans="45:45">
      <c r="AS7712" s="47"/>
    </row>
    <row r="7713" spans="45:45">
      <c r="AS7713" s="47"/>
    </row>
    <row r="7714" spans="45:45">
      <c r="AS7714" s="47"/>
    </row>
    <row r="7715" spans="45:45">
      <c r="AS7715" s="47"/>
    </row>
    <row r="7716" spans="45:45">
      <c r="AS7716" s="47"/>
    </row>
    <row r="7717" spans="45:45">
      <c r="AS7717" s="47"/>
    </row>
    <row r="7718" spans="45:45">
      <c r="AS7718" s="47"/>
    </row>
    <row r="7719" spans="45:45">
      <c r="AS7719" s="47"/>
    </row>
    <row r="7720" spans="45:45">
      <c r="AS7720" s="47"/>
    </row>
    <row r="7721" spans="45:45">
      <c r="AS7721" s="47"/>
    </row>
    <row r="7722" spans="45:45">
      <c r="AS7722" s="47"/>
    </row>
    <row r="7723" spans="45:45">
      <c r="AS7723" s="47"/>
    </row>
    <row r="7724" spans="45:45">
      <c r="AS7724" s="47"/>
    </row>
    <row r="7725" spans="45:45">
      <c r="AS7725" s="47"/>
    </row>
    <row r="7726" spans="45:45">
      <c r="AS7726" s="47"/>
    </row>
    <row r="7727" spans="45:45">
      <c r="AS7727" s="47"/>
    </row>
    <row r="7728" spans="45:45">
      <c r="AS7728" s="47"/>
    </row>
    <row r="7729" spans="45:45">
      <c r="AS7729" s="47"/>
    </row>
    <row r="7730" spans="45:45">
      <c r="AS7730" s="47"/>
    </row>
    <row r="7731" spans="45:45">
      <c r="AS7731" s="47"/>
    </row>
    <row r="7732" spans="45:45">
      <c r="AS7732" s="47"/>
    </row>
    <row r="7733" spans="45:45">
      <c r="AS7733" s="47"/>
    </row>
    <row r="7734" spans="45:45">
      <c r="AS7734" s="47"/>
    </row>
    <row r="7735" spans="45:45">
      <c r="AS7735" s="47"/>
    </row>
    <row r="7736" spans="45:45">
      <c r="AS7736" s="47"/>
    </row>
    <row r="7737" spans="45:45">
      <c r="AS7737" s="47"/>
    </row>
    <row r="7738" spans="45:45">
      <c r="AS7738" s="47"/>
    </row>
    <row r="7739" spans="45:45">
      <c r="AS7739" s="47"/>
    </row>
    <row r="7740" spans="45:45">
      <c r="AS7740" s="47"/>
    </row>
    <row r="7741" spans="45:45">
      <c r="AS7741" s="47"/>
    </row>
    <row r="7742" spans="45:45">
      <c r="AS7742" s="47"/>
    </row>
    <row r="7743" spans="45:45">
      <c r="AS7743" s="47"/>
    </row>
    <row r="7744" spans="45:45">
      <c r="AS7744" s="47"/>
    </row>
    <row r="7745" spans="45:45">
      <c r="AS7745" s="47"/>
    </row>
    <row r="7746" spans="45:45">
      <c r="AS7746" s="47"/>
    </row>
    <row r="7747" spans="45:45">
      <c r="AS7747" s="47"/>
    </row>
    <row r="7748" spans="45:45">
      <c r="AS7748" s="47"/>
    </row>
    <row r="7749" spans="45:45">
      <c r="AS7749" s="47"/>
    </row>
    <row r="7750" spans="45:45">
      <c r="AS7750" s="47"/>
    </row>
    <row r="7751" spans="45:45">
      <c r="AS7751" s="47"/>
    </row>
    <row r="7752" spans="45:45">
      <c r="AS7752" s="47"/>
    </row>
    <row r="7753" spans="45:45">
      <c r="AS7753" s="47"/>
    </row>
    <row r="7754" spans="45:45">
      <c r="AS7754" s="47"/>
    </row>
    <row r="7755" spans="45:45">
      <c r="AS7755" s="47"/>
    </row>
    <row r="7756" spans="45:45">
      <c r="AS7756" s="47"/>
    </row>
    <row r="7757" spans="45:45">
      <c r="AS7757" s="47"/>
    </row>
    <row r="7758" spans="45:45">
      <c r="AS7758" s="47"/>
    </row>
    <row r="7759" spans="45:45">
      <c r="AS7759" s="47"/>
    </row>
    <row r="7760" spans="45:45">
      <c r="AS7760" s="47"/>
    </row>
    <row r="7761" spans="45:45">
      <c r="AS7761" s="47"/>
    </row>
    <row r="7762" spans="45:45">
      <c r="AS7762" s="47"/>
    </row>
    <row r="7763" spans="45:45">
      <c r="AS7763" s="47"/>
    </row>
    <row r="7764" spans="45:45">
      <c r="AS7764" s="47"/>
    </row>
    <row r="7765" spans="45:45">
      <c r="AS7765" s="47"/>
    </row>
    <row r="7766" spans="45:45">
      <c r="AS7766" s="47"/>
    </row>
    <row r="7767" spans="45:45">
      <c r="AS7767" s="47"/>
    </row>
    <row r="7768" spans="45:45">
      <c r="AS7768" s="47"/>
    </row>
    <row r="7769" spans="45:45">
      <c r="AS7769" s="47"/>
    </row>
    <row r="7770" spans="45:45">
      <c r="AS7770" s="47"/>
    </row>
    <row r="7771" spans="45:45">
      <c r="AS7771" s="47"/>
    </row>
    <row r="7772" spans="45:45">
      <c r="AS7772" s="47"/>
    </row>
    <row r="7773" spans="45:45">
      <c r="AS7773" s="47"/>
    </row>
    <row r="7774" spans="45:45">
      <c r="AS7774" s="47"/>
    </row>
    <row r="7775" spans="45:45">
      <c r="AS7775" s="47"/>
    </row>
    <row r="7776" spans="45:45">
      <c r="AS7776" s="47"/>
    </row>
    <row r="7777" spans="45:45">
      <c r="AS7777" s="47"/>
    </row>
    <row r="7778" spans="45:45">
      <c r="AS7778" s="47"/>
    </row>
    <row r="7779" spans="45:45">
      <c r="AS7779" s="47"/>
    </row>
    <row r="7780" spans="45:45">
      <c r="AS7780" s="47"/>
    </row>
    <row r="7781" spans="45:45">
      <c r="AS7781" s="47"/>
    </row>
    <row r="7782" spans="45:45">
      <c r="AS7782" s="47"/>
    </row>
    <row r="7783" spans="45:45">
      <c r="AS7783" s="47"/>
    </row>
    <row r="7784" spans="45:45">
      <c r="AS7784" s="47"/>
    </row>
    <row r="7785" spans="45:45">
      <c r="AS7785" s="47"/>
    </row>
    <row r="7786" spans="45:45">
      <c r="AS7786" s="47"/>
    </row>
    <row r="7787" spans="45:45">
      <c r="AS7787" s="47"/>
    </row>
    <row r="7788" spans="45:45">
      <c r="AS7788" s="47"/>
    </row>
    <row r="7789" spans="45:45">
      <c r="AS7789" s="47"/>
    </row>
    <row r="7790" spans="45:45">
      <c r="AS7790" s="47"/>
    </row>
    <row r="7791" spans="45:45">
      <c r="AS7791" s="47"/>
    </row>
    <row r="7792" spans="45:45">
      <c r="AS7792" s="47"/>
    </row>
    <row r="7793" spans="45:45">
      <c r="AS7793" s="47"/>
    </row>
    <row r="7794" spans="45:45">
      <c r="AS7794" s="47"/>
    </row>
    <row r="7795" spans="45:45">
      <c r="AS7795" s="47"/>
    </row>
    <row r="7796" spans="45:45">
      <c r="AS7796" s="47"/>
    </row>
    <row r="7797" spans="45:45">
      <c r="AS7797" s="47"/>
    </row>
    <row r="7798" spans="45:45">
      <c r="AS7798" s="47"/>
    </row>
    <row r="7799" spans="45:45">
      <c r="AS7799" s="47"/>
    </row>
    <row r="7800" spans="45:45">
      <c r="AS7800" s="47"/>
    </row>
    <row r="7801" spans="45:45">
      <c r="AS7801" s="47"/>
    </row>
    <row r="7802" spans="45:45">
      <c r="AS7802" s="47"/>
    </row>
    <row r="7803" spans="45:45">
      <c r="AS7803" s="47"/>
    </row>
    <row r="7804" spans="45:45">
      <c r="AS7804" s="47"/>
    </row>
    <row r="7805" spans="45:45">
      <c r="AS7805" s="47"/>
    </row>
    <row r="7806" spans="45:45">
      <c r="AS7806" s="47"/>
    </row>
    <row r="7807" spans="45:45">
      <c r="AS7807" s="47"/>
    </row>
    <row r="7808" spans="45:45">
      <c r="AS7808" s="47"/>
    </row>
    <row r="7809" spans="45:45">
      <c r="AS7809" s="47"/>
    </row>
    <row r="7810" spans="45:45">
      <c r="AS7810" s="47"/>
    </row>
    <row r="7811" spans="45:45">
      <c r="AS7811" s="47"/>
    </row>
    <row r="7812" spans="45:45">
      <c r="AS7812" s="47"/>
    </row>
    <row r="7813" spans="45:45">
      <c r="AS7813" s="47"/>
    </row>
    <row r="7814" spans="45:45">
      <c r="AS7814" s="47"/>
    </row>
    <row r="7815" spans="45:45">
      <c r="AS7815" s="47"/>
    </row>
    <row r="7816" spans="45:45">
      <c r="AS7816" s="47"/>
    </row>
    <row r="7817" spans="45:45">
      <c r="AS7817" s="47"/>
    </row>
    <row r="7818" spans="45:45">
      <c r="AS7818" s="47"/>
    </row>
    <row r="7819" spans="45:45">
      <c r="AS7819" s="47"/>
    </row>
    <row r="7820" spans="45:45">
      <c r="AS7820" s="47"/>
    </row>
    <row r="7821" spans="45:45">
      <c r="AS7821" s="47"/>
    </row>
    <row r="7822" spans="45:45">
      <c r="AS7822" s="47"/>
    </row>
    <row r="7823" spans="45:45">
      <c r="AS7823" s="47"/>
    </row>
    <row r="7824" spans="45:45">
      <c r="AS7824" s="47"/>
    </row>
    <row r="7825" spans="45:45">
      <c r="AS7825" s="47"/>
    </row>
    <row r="7826" spans="45:45">
      <c r="AS7826" s="47"/>
    </row>
    <row r="7827" spans="45:45">
      <c r="AS7827" s="47"/>
    </row>
    <row r="7828" spans="45:45">
      <c r="AS7828" s="47"/>
    </row>
    <row r="7829" spans="45:45">
      <c r="AS7829" s="47"/>
    </row>
    <row r="7830" spans="45:45">
      <c r="AS7830" s="47"/>
    </row>
    <row r="7831" spans="45:45">
      <c r="AS7831" s="47"/>
    </row>
    <row r="7832" spans="45:45">
      <c r="AS7832" s="47"/>
    </row>
    <row r="7833" spans="45:45">
      <c r="AS7833" s="47"/>
    </row>
    <row r="7834" spans="45:45">
      <c r="AS7834" s="47"/>
    </row>
    <row r="7835" spans="45:45">
      <c r="AS7835" s="47"/>
    </row>
    <row r="7836" spans="45:45">
      <c r="AS7836" s="47"/>
    </row>
    <row r="7837" spans="45:45">
      <c r="AS7837" s="47"/>
    </row>
    <row r="7838" spans="45:45">
      <c r="AS7838" s="47"/>
    </row>
    <row r="7839" spans="45:45">
      <c r="AS7839" s="47"/>
    </row>
    <row r="7840" spans="45:45">
      <c r="AS7840" s="47"/>
    </row>
    <row r="7841" spans="45:45">
      <c r="AS7841" s="47"/>
    </row>
    <row r="7842" spans="45:45">
      <c r="AS7842" s="47"/>
    </row>
    <row r="7843" spans="45:45">
      <c r="AS7843" s="47"/>
    </row>
    <row r="7844" spans="45:45">
      <c r="AS7844" s="47"/>
    </row>
    <row r="7845" spans="45:45">
      <c r="AS7845" s="47"/>
    </row>
    <row r="7846" spans="45:45">
      <c r="AS7846" s="47"/>
    </row>
    <row r="7847" spans="45:45">
      <c r="AS7847" s="47"/>
    </row>
    <row r="7848" spans="45:45">
      <c r="AS7848" s="47"/>
    </row>
    <row r="7849" spans="45:45">
      <c r="AS7849" s="47"/>
    </row>
    <row r="7850" spans="45:45">
      <c r="AS7850" s="47"/>
    </row>
    <row r="7851" spans="45:45">
      <c r="AS7851" s="47"/>
    </row>
    <row r="7852" spans="45:45">
      <c r="AS7852" s="47"/>
    </row>
    <row r="7853" spans="45:45">
      <c r="AS7853" s="47"/>
    </row>
    <row r="7854" spans="45:45">
      <c r="AS7854" s="47"/>
    </row>
    <row r="7855" spans="45:45">
      <c r="AS7855" s="47"/>
    </row>
    <row r="7856" spans="45:45">
      <c r="AS7856" s="47"/>
    </row>
    <row r="7857" spans="45:45">
      <c r="AS7857" s="47"/>
    </row>
    <row r="7858" spans="45:45">
      <c r="AS7858" s="47"/>
    </row>
    <row r="7859" spans="45:45">
      <c r="AS7859" s="47"/>
    </row>
    <row r="7860" spans="45:45">
      <c r="AS7860" s="47"/>
    </row>
    <row r="7861" spans="45:45">
      <c r="AS7861" s="47"/>
    </row>
    <row r="7862" spans="45:45">
      <c r="AS7862" s="47"/>
    </row>
    <row r="7863" spans="45:45">
      <c r="AS7863" s="47"/>
    </row>
    <row r="7864" spans="45:45">
      <c r="AS7864" s="47"/>
    </row>
    <row r="7865" spans="45:45">
      <c r="AS7865" s="47"/>
    </row>
    <row r="7866" spans="45:45">
      <c r="AS7866" s="47"/>
    </row>
    <row r="7867" spans="45:45">
      <c r="AS7867" s="47"/>
    </row>
    <row r="7868" spans="45:45">
      <c r="AS7868" s="47"/>
    </row>
    <row r="7869" spans="45:45">
      <c r="AS7869" s="47"/>
    </row>
    <row r="7870" spans="45:45">
      <c r="AS7870" s="47"/>
    </row>
    <row r="7871" spans="45:45">
      <c r="AS7871" s="47"/>
    </row>
    <row r="7872" spans="45:45">
      <c r="AS7872" s="47"/>
    </row>
    <row r="7873" spans="45:45">
      <c r="AS7873" s="47"/>
    </row>
    <row r="7874" spans="45:45">
      <c r="AS7874" s="47"/>
    </row>
    <row r="7875" spans="45:45">
      <c r="AS7875" s="47"/>
    </row>
    <row r="7876" spans="45:45">
      <c r="AS7876" s="47"/>
    </row>
    <row r="7877" spans="45:45">
      <c r="AS7877" s="47"/>
    </row>
    <row r="7878" spans="45:45">
      <c r="AS7878" s="47"/>
    </row>
    <row r="7879" spans="45:45">
      <c r="AS7879" s="47"/>
    </row>
    <row r="7880" spans="45:45">
      <c r="AS7880" s="47"/>
    </row>
    <row r="7881" spans="45:45">
      <c r="AS7881" s="47"/>
    </row>
    <row r="7882" spans="45:45">
      <c r="AS7882" s="47"/>
    </row>
    <row r="7883" spans="45:45">
      <c r="AS7883" s="47"/>
    </row>
    <row r="7884" spans="45:45">
      <c r="AS7884" s="47"/>
    </row>
    <row r="7885" spans="45:45">
      <c r="AS7885" s="47"/>
    </row>
    <row r="7886" spans="45:45">
      <c r="AS7886" s="47"/>
    </row>
    <row r="7887" spans="45:45">
      <c r="AS7887" s="47"/>
    </row>
    <row r="7888" spans="45:45">
      <c r="AS7888" s="47"/>
    </row>
    <row r="7889" spans="45:45">
      <c r="AS7889" s="47"/>
    </row>
    <row r="7890" spans="45:45">
      <c r="AS7890" s="47"/>
    </row>
    <row r="7891" spans="45:45">
      <c r="AS7891" s="47"/>
    </row>
    <row r="7892" spans="45:45">
      <c r="AS7892" s="47"/>
    </row>
    <row r="7893" spans="45:45">
      <c r="AS7893" s="47"/>
    </row>
    <row r="7894" spans="45:45">
      <c r="AS7894" s="47"/>
    </row>
    <row r="7895" spans="45:45">
      <c r="AS7895" s="47"/>
    </row>
    <row r="7896" spans="45:45">
      <c r="AS7896" s="47"/>
    </row>
    <row r="7897" spans="45:45">
      <c r="AS7897" s="47"/>
    </row>
    <row r="7898" spans="45:45">
      <c r="AS7898" s="47"/>
    </row>
    <row r="7899" spans="45:45">
      <c r="AS7899" s="47"/>
    </row>
    <row r="7900" spans="45:45">
      <c r="AS7900" s="47"/>
    </row>
    <row r="7901" spans="45:45">
      <c r="AS7901" s="47"/>
    </row>
    <row r="7902" spans="45:45">
      <c r="AS7902" s="47"/>
    </row>
    <row r="7903" spans="45:45">
      <c r="AS7903" s="47"/>
    </row>
    <row r="7904" spans="45:45">
      <c r="AS7904" s="47"/>
    </row>
    <row r="7905" spans="45:45">
      <c r="AS7905" s="47"/>
    </row>
    <row r="7906" spans="45:45">
      <c r="AS7906" s="47"/>
    </row>
    <row r="7907" spans="45:45">
      <c r="AS7907" s="47"/>
    </row>
    <row r="7908" spans="45:45">
      <c r="AS7908" s="47"/>
    </row>
    <row r="7909" spans="45:45">
      <c r="AS7909" s="47"/>
    </row>
    <row r="7910" spans="45:45">
      <c r="AS7910" s="47"/>
    </row>
    <row r="7911" spans="45:45">
      <c r="AS7911" s="47"/>
    </row>
    <row r="7912" spans="45:45">
      <c r="AS7912" s="47"/>
    </row>
    <row r="7913" spans="45:45">
      <c r="AS7913" s="47"/>
    </row>
    <row r="7914" spans="45:45">
      <c r="AS7914" s="47"/>
    </row>
    <row r="7915" spans="45:45">
      <c r="AS7915" s="47"/>
    </row>
    <row r="7916" spans="45:45">
      <c r="AS7916" s="47"/>
    </row>
    <row r="7917" spans="45:45">
      <c r="AS7917" s="47"/>
    </row>
    <row r="7918" spans="45:45">
      <c r="AS7918" s="47"/>
    </row>
    <row r="7919" spans="45:45">
      <c r="AS7919" s="47"/>
    </row>
    <row r="7920" spans="45:45">
      <c r="AS7920" s="47"/>
    </row>
    <row r="7921" spans="45:45">
      <c r="AS7921" s="47"/>
    </row>
    <row r="7922" spans="45:45">
      <c r="AS7922" s="47"/>
    </row>
    <row r="7923" spans="45:45">
      <c r="AS7923" s="47"/>
    </row>
    <row r="7924" spans="45:45">
      <c r="AS7924" s="47"/>
    </row>
    <row r="7925" spans="45:45">
      <c r="AS7925" s="47"/>
    </row>
    <row r="7926" spans="45:45">
      <c r="AS7926" s="47"/>
    </row>
    <row r="7927" spans="45:45">
      <c r="AS7927" s="47"/>
    </row>
    <row r="7928" spans="45:45">
      <c r="AS7928" s="47"/>
    </row>
    <row r="7929" spans="45:45">
      <c r="AS7929" s="47"/>
    </row>
    <row r="7930" spans="45:45">
      <c r="AS7930" s="47"/>
    </row>
    <row r="7931" spans="45:45">
      <c r="AS7931" s="47"/>
    </row>
    <row r="7932" spans="45:45">
      <c r="AS7932" s="47"/>
    </row>
    <row r="7933" spans="45:45">
      <c r="AS7933" s="47"/>
    </row>
    <row r="7934" spans="45:45">
      <c r="AS7934" s="47"/>
    </row>
    <row r="7935" spans="45:45">
      <c r="AS7935" s="47"/>
    </row>
    <row r="7936" spans="45:45">
      <c r="AS7936" s="47"/>
    </row>
    <row r="7937" spans="45:45">
      <c r="AS7937" s="47"/>
    </row>
    <row r="7938" spans="45:45">
      <c r="AS7938" s="47"/>
    </row>
    <row r="7939" spans="45:45">
      <c r="AS7939" s="47"/>
    </row>
    <row r="7940" spans="45:45">
      <c r="AS7940" s="47"/>
    </row>
    <row r="7941" spans="45:45">
      <c r="AS7941" s="47"/>
    </row>
    <row r="7942" spans="45:45">
      <c r="AS7942" s="47"/>
    </row>
    <row r="7943" spans="45:45">
      <c r="AS7943" s="47"/>
    </row>
    <row r="7944" spans="45:45">
      <c r="AS7944" s="47"/>
    </row>
    <row r="7945" spans="45:45">
      <c r="AS7945" s="47"/>
    </row>
    <row r="7946" spans="45:45">
      <c r="AS7946" s="47"/>
    </row>
    <row r="7947" spans="45:45">
      <c r="AS7947" s="47"/>
    </row>
    <row r="7948" spans="45:45">
      <c r="AS7948" s="47"/>
    </row>
    <row r="7949" spans="45:45">
      <c r="AS7949" s="47"/>
    </row>
    <row r="7950" spans="45:45">
      <c r="AS7950" s="47"/>
    </row>
    <row r="7951" spans="45:45">
      <c r="AS7951" s="47"/>
    </row>
    <row r="7952" spans="45:45">
      <c r="AS7952" s="47"/>
    </row>
    <row r="7953" spans="45:45">
      <c r="AS7953" s="47"/>
    </row>
    <row r="7954" spans="45:45">
      <c r="AS7954" s="47"/>
    </row>
    <row r="7955" spans="45:45">
      <c r="AS7955" s="47"/>
    </row>
    <row r="7956" spans="45:45">
      <c r="AS7956" s="47"/>
    </row>
    <row r="7957" spans="45:45">
      <c r="AS7957" s="47"/>
    </row>
    <row r="7958" spans="45:45">
      <c r="AS7958" s="47"/>
    </row>
    <row r="7959" spans="45:45">
      <c r="AS7959" s="47"/>
    </row>
    <row r="7960" spans="45:45">
      <c r="AS7960" s="47"/>
    </row>
    <row r="7961" spans="45:45">
      <c r="AS7961" s="47"/>
    </row>
    <row r="7962" spans="45:45">
      <c r="AS7962" s="47"/>
    </row>
    <row r="7963" spans="45:45">
      <c r="AS7963" s="47"/>
    </row>
    <row r="7964" spans="45:45">
      <c r="AS7964" s="47"/>
    </row>
    <row r="7965" spans="45:45">
      <c r="AS7965" s="47"/>
    </row>
    <row r="7966" spans="45:45">
      <c r="AS7966" s="47"/>
    </row>
    <row r="7967" spans="45:45">
      <c r="AS7967" s="47"/>
    </row>
    <row r="7968" spans="45:45">
      <c r="AS7968" s="47"/>
    </row>
    <row r="7969" spans="45:45">
      <c r="AS7969" s="47"/>
    </row>
    <row r="7970" spans="45:45">
      <c r="AS7970" s="47"/>
    </row>
    <row r="7971" spans="45:45">
      <c r="AS7971" s="47"/>
    </row>
    <row r="7972" spans="45:45">
      <c r="AS7972" s="47"/>
    </row>
    <row r="7973" spans="45:45">
      <c r="AS7973" s="47"/>
    </row>
    <row r="7974" spans="45:45">
      <c r="AS7974" s="47"/>
    </row>
    <row r="7975" spans="45:45">
      <c r="AS7975" s="47"/>
    </row>
    <row r="7976" spans="45:45">
      <c r="AS7976" s="47"/>
    </row>
    <row r="7977" spans="45:45">
      <c r="AS7977" s="47"/>
    </row>
    <row r="7978" spans="45:45">
      <c r="AS7978" s="47"/>
    </row>
    <row r="7979" spans="45:45">
      <c r="AS7979" s="47"/>
    </row>
    <row r="7980" spans="45:45">
      <c r="AS7980" s="47"/>
    </row>
    <row r="7981" spans="45:45">
      <c r="AS7981" s="47"/>
    </row>
    <row r="7982" spans="45:45">
      <c r="AS7982" s="47"/>
    </row>
    <row r="7983" spans="45:45">
      <c r="AS7983" s="47"/>
    </row>
    <row r="7984" spans="45:45">
      <c r="AS7984" s="47"/>
    </row>
    <row r="7985" spans="45:45">
      <c r="AS7985" s="47"/>
    </row>
    <row r="7986" spans="45:45">
      <c r="AS7986" s="47"/>
    </row>
    <row r="7987" spans="45:45">
      <c r="AS7987" s="47"/>
    </row>
    <row r="7988" spans="45:45">
      <c r="AS7988" s="47"/>
    </row>
    <row r="7989" spans="45:45">
      <c r="AS7989" s="47"/>
    </row>
    <row r="7990" spans="45:45">
      <c r="AS7990" s="47"/>
    </row>
    <row r="7991" spans="45:45">
      <c r="AS7991" s="47"/>
    </row>
    <row r="7992" spans="45:45">
      <c r="AS7992" s="47"/>
    </row>
    <row r="7993" spans="45:45">
      <c r="AS7993" s="47"/>
    </row>
    <row r="7994" spans="45:45">
      <c r="AS7994" s="47"/>
    </row>
    <row r="7995" spans="45:45">
      <c r="AS7995" s="47"/>
    </row>
    <row r="7996" spans="45:45">
      <c r="AS7996" s="47"/>
    </row>
    <row r="7997" spans="45:45">
      <c r="AS7997" s="47"/>
    </row>
    <row r="7998" spans="45:45">
      <c r="AS7998" s="47"/>
    </row>
    <row r="7999" spans="45:45">
      <c r="AS7999" s="47"/>
    </row>
    <row r="8000" spans="45:45">
      <c r="AS8000" s="47"/>
    </row>
    <row r="8001" spans="45:45">
      <c r="AS8001" s="47"/>
    </row>
    <row r="8002" spans="45:45">
      <c r="AS8002" s="47"/>
    </row>
    <row r="8003" spans="45:45">
      <c r="AS8003" s="47"/>
    </row>
    <row r="8004" spans="45:45">
      <c r="AS8004" s="47"/>
    </row>
    <row r="8005" spans="45:45">
      <c r="AS8005" s="47"/>
    </row>
    <row r="8006" spans="45:45">
      <c r="AS8006" s="47"/>
    </row>
    <row r="8007" spans="45:45">
      <c r="AS8007" s="47"/>
    </row>
    <row r="8008" spans="45:45">
      <c r="AS8008" s="47"/>
    </row>
    <row r="8009" spans="45:45">
      <c r="AS8009" s="47"/>
    </row>
    <row r="8010" spans="45:45">
      <c r="AS8010" s="47"/>
    </row>
    <row r="8011" spans="45:45">
      <c r="AS8011" s="47"/>
    </row>
    <row r="8012" spans="45:45">
      <c r="AS8012" s="47"/>
    </row>
    <row r="8013" spans="45:45">
      <c r="AS8013" s="47"/>
    </row>
    <row r="8014" spans="45:45">
      <c r="AS8014" s="47"/>
    </row>
    <row r="8015" spans="45:45">
      <c r="AS8015" s="47"/>
    </row>
    <row r="8016" spans="45:45">
      <c r="AS8016" s="47"/>
    </row>
    <row r="8017" spans="45:45">
      <c r="AS8017" s="47"/>
    </row>
    <row r="8018" spans="45:45">
      <c r="AS8018" s="47"/>
    </row>
    <row r="8019" spans="45:45">
      <c r="AS8019" s="47"/>
    </row>
    <row r="8020" spans="45:45">
      <c r="AS8020" s="47"/>
    </row>
    <row r="8021" spans="45:45">
      <c r="AS8021" s="47"/>
    </row>
    <row r="8022" spans="45:45">
      <c r="AS8022" s="47"/>
    </row>
    <row r="8023" spans="45:45">
      <c r="AS8023" s="47"/>
    </row>
    <row r="8024" spans="45:45">
      <c r="AS8024" s="47"/>
    </row>
    <row r="8025" spans="45:45">
      <c r="AS8025" s="47"/>
    </row>
    <row r="8026" spans="45:45">
      <c r="AS8026" s="47"/>
    </row>
    <row r="8027" spans="45:45">
      <c r="AS8027" s="47"/>
    </row>
    <row r="8028" spans="45:45">
      <c r="AS8028" s="47"/>
    </row>
    <row r="8029" spans="45:45">
      <c r="AS8029" s="47"/>
    </row>
    <row r="8030" spans="45:45">
      <c r="AS8030" s="47"/>
    </row>
    <row r="8031" spans="45:45">
      <c r="AS8031" s="47"/>
    </row>
    <row r="8032" spans="45:45">
      <c r="AS8032" s="47"/>
    </row>
    <row r="8033" spans="45:45">
      <c r="AS8033" s="47"/>
    </row>
    <row r="8034" spans="45:45">
      <c r="AS8034" s="47"/>
    </row>
    <row r="8035" spans="45:45">
      <c r="AS8035" s="47"/>
    </row>
    <row r="8036" spans="45:45">
      <c r="AS8036" s="47"/>
    </row>
    <row r="8037" spans="45:45">
      <c r="AS8037" s="47"/>
    </row>
    <row r="8038" spans="45:45">
      <c r="AS8038" s="47"/>
    </row>
    <row r="8039" spans="45:45">
      <c r="AS8039" s="47"/>
    </row>
    <row r="8040" spans="45:45">
      <c r="AS8040" s="47"/>
    </row>
    <row r="8041" spans="45:45">
      <c r="AS8041" s="47"/>
    </row>
    <row r="8042" spans="45:45">
      <c r="AS8042" s="47"/>
    </row>
    <row r="8043" spans="45:45">
      <c r="AS8043" s="47"/>
    </row>
    <row r="8044" spans="45:45">
      <c r="AS8044" s="47"/>
    </row>
    <row r="8045" spans="45:45">
      <c r="AS8045" s="47"/>
    </row>
    <row r="8046" spans="45:45">
      <c r="AS8046" s="47"/>
    </row>
    <row r="8047" spans="45:45">
      <c r="AS8047" s="47"/>
    </row>
    <row r="8048" spans="45:45">
      <c r="AS8048" s="47"/>
    </row>
    <row r="8049" spans="45:45">
      <c r="AS8049" s="47"/>
    </row>
    <row r="8050" spans="45:45">
      <c r="AS8050" s="47"/>
    </row>
    <row r="8051" spans="45:45">
      <c r="AS8051" s="47"/>
    </row>
    <row r="8052" spans="45:45">
      <c r="AS8052" s="47"/>
    </row>
    <row r="8053" spans="45:45">
      <c r="AS8053" s="47"/>
    </row>
    <row r="8054" spans="45:45">
      <c r="AS8054" s="47"/>
    </row>
    <row r="8055" spans="45:45">
      <c r="AS8055" s="47"/>
    </row>
    <row r="8056" spans="45:45">
      <c r="AS8056" s="47"/>
    </row>
    <row r="8057" spans="45:45">
      <c r="AS8057" s="47"/>
    </row>
    <row r="8058" spans="45:45">
      <c r="AS8058" s="47"/>
    </row>
    <row r="8059" spans="45:45">
      <c r="AS8059" s="47"/>
    </row>
    <row r="8060" spans="45:45">
      <c r="AS8060" s="47"/>
    </row>
    <row r="8061" spans="45:45">
      <c r="AS8061" s="47"/>
    </row>
    <row r="8062" spans="45:45">
      <c r="AS8062" s="47"/>
    </row>
    <row r="8063" spans="45:45">
      <c r="AS8063" s="47"/>
    </row>
    <row r="8064" spans="45:45">
      <c r="AS8064" s="47"/>
    </row>
    <row r="8065" spans="45:45">
      <c r="AS8065" s="47"/>
    </row>
    <row r="8066" spans="45:45">
      <c r="AS8066" s="47"/>
    </row>
    <row r="8067" spans="45:45">
      <c r="AS8067" s="47"/>
    </row>
    <row r="8068" spans="45:45">
      <c r="AS8068" s="47"/>
    </row>
    <row r="8069" spans="45:45">
      <c r="AS8069" s="47"/>
    </row>
    <row r="8070" spans="45:45">
      <c r="AS8070" s="47"/>
    </row>
    <row r="8071" spans="45:45">
      <c r="AS8071" s="47"/>
    </row>
    <row r="8072" spans="45:45">
      <c r="AS8072" s="47"/>
    </row>
    <row r="8073" spans="45:45">
      <c r="AS8073" s="47"/>
    </row>
    <row r="8074" spans="45:45">
      <c r="AS8074" s="47"/>
    </row>
    <row r="8075" spans="45:45">
      <c r="AS8075" s="47"/>
    </row>
    <row r="8076" spans="45:45">
      <c r="AS8076" s="47"/>
    </row>
    <row r="8077" spans="45:45">
      <c r="AS8077" s="47"/>
    </row>
    <row r="8078" spans="45:45">
      <c r="AS8078" s="47"/>
    </row>
    <row r="8079" spans="45:45">
      <c r="AS8079" s="47"/>
    </row>
    <row r="8080" spans="45:45">
      <c r="AS8080" s="47"/>
    </row>
    <row r="8081" spans="45:45">
      <c r="AS8081" s="47"/>
    </row>
    <row r="8082" spans="45:45">
      <c r="AS8082" s="47"/>
    </row>
    <row r="8083" spans="45:45">
      <c r="AS8083" s="47"/>
    </row>
    <row r="8084" spans="45:45">
      <c r="AS8084" s="47"/>
    </row>
    <row r="8085" spans="45:45">
      <c r="AS8085" s="47"/>
    </row>
    <row r="8086" spans="45:45">
      <c r="AS8086" s="47"/>
    </row>
    <row r="8087" spans="45:45">
      <c r="AS8087" s="47"/>
    </row>
    <row r="8088" spans="45:45">
      <c r="AS8088" s="47"/>
    </row>
    <row r="8089" spans="45:45">
      <c r="AS8089" s="47"/>
    </row>
    <row r="8090" spans="45:45">
      <c r="AS8090" s="47"/>
    </row>
    <row r="8091" spans="45:45">
      <c r="AS8091" s="47"/>
    </row>
    <row r="8092" spans="45:45">
      <c r="AS8092" s="47"/>
    </row>
    <row r="8093" spans="45:45">
      <c r="AS8093" s="47"/>
    </row>
    <row r="8094" spans="45:45">
      <c r="AS8094" s="47"/>
    </row>
    <row r="8095" spans="45:45">
      <c r="AS8095" s="47"/>
    </row>
    <row r="8096" spans="45:45">
      <c r="AS8096" s="47"/>
    </row>
    <row r="8097" spans="45:45">
      <c r="AS8097" s="47"/>
    </row>
    <row r="8098" spans="45:45">
      <c r="AS8098" s="47"/>
    </row>
    <row r="8099" spans="45:45">
      <c r="AS8099" s="47"/>
    </row>
    <row r="8100" spans="45:45">
      <c r="AS8100" s="47"/>
    </row>
    <row r="8101" spans="45:45">
      <c r="AS8101" s="47"/>
    </row>
    <row r="8102" spans="45:45">
      <c r="AS8102" s="47"/>
    </row>
    <row r="8103" spans="45:45">
      <c r="AS8103" s="47"/>
    </row>
    <row r="8104" spans="45:45">
      <c r="AS8104" s="47"/>
    </row>
    <row r="8105" spans="45:45">
      <c r="AS8105" s="47"/>
    </row>
    <row r="8106" spans="45:45">
      <c r="AS8106" s="47"/>
    </row>
    <row r="8107" spans="45:45">
      <c r="AS8107" s="47"/>
    </row>
    <row r="8108" spans="45:45">
      <c r="AS8108" s="47"/>
    </row>
    <row r="8109" spans="45:45">
      <c r="AS8109" s="47"/>
    </row>
    <row r="8110" spans="45:45">
      <c r="AS8110" s="47"/>
    </row>
    <row r="8111" spans="45:45">
      <c r="AS8111" s="47"/>
    </row>
    <row r="8112" spans="45:45">
      <c r="AS8112" s="47"/>
    </row>
    <row r="8113" spans="45:45">
      <c r="AS8113" s="47"/>
    </row>
    <row r="8114" spans="45:45">
      <c r="AS8114" s="47"/>
    </row>
    <row r="8115" spans="45:45">
      <c r="AS8115" s="47"/>
    </row>
    <row r="8116" spans="45:45">
      <c r="AS8116" s="47"/>
    </row>
    <row r="8117" spans="45:45">
      <c r="AS8117" s="47"/>
    </row>
    <row r="8118" spans="45:45">
      <c r="AS8118" s="47"/>
    </row>
    <row r="8119" spans="45:45">
      <c r="AS8119" s="47"/>
    </row>
    <row r="8120" spans="45:45">
      <c r="AS8120" s="47"/>
    </row>
    <row r="8121" spans="45:45">
      <c r="AS8121" s="47"/>
    </row>
    <row r="8122" spans="45:45">
      <c r="AS8122" s="47"/>
    </row>
    <row r="8123" spans="45:45">
      <c r="AS8123" s="47"/>
    </row>
    <row r="8124" spans="45:45">
      <c r="AS8124" s="47"/>
    </row>
    <row r="8125" spans="45:45">
      <c r="AS8125" s="47"/>
    </row>
    <row r="8126" spans="45:45">
      <c r="AS8126" s="47"/>
    </row>
    <row r="8127" spans="45:45">
      <c r="AS8127" s="47"/>
    </row>
    <row r="8128" spans="45:45">
      <c r="AS8128" s="47"/>
    </row>
    <row r="8129" spans="45:45">
      <c r="AS8129" s="47"/>
    </row>
    <row r="8130" spans="45:45">
      <c r="AS8130" s="47"/>
    </row>
    <row r="8131" spans="45:45">
      <c r="AS8131" s="47"/>
    </row>
    <row r="8132" spans="45:45">
      <c r="AS8132" s="47"/>
    </row>
    <row r="8133" spans="45:45">
      <c r="AS8133" s="47"/>
    </row>
    <row r="8134" spans="45:45">
      <c r="AS8134" s="47"/>
    </row>
    <row r="8135" spans="45:45">
      <c r="AS8135" s="47"/>
    </row>
    <row r="8136" spans="45:45">
      <c r="AS8136" s="47"/>
    </row>
    <row r="8137" spans="45:45">
      <c r="AS8137" s="47"/>
    </row>
    <row r="8138" spans="45:45">
      <c r="AS8138" s="47"/>
    </row>
    <row r="8139" spans="45:45">
      <c r="AS8139" s="47"/>
    </row>
    <row r="8140" spans="45:45">
      <c r="AS8140" s="47"/>
    </row>
    <row r="8141" spans="45:45">
      <c r="AS8141" s="47"/>
    </row>
    <row r="8142" spans="45:45">
      <c r="AS8142" s="47"/>
    </row>
    <row r="8143" spans="45:45">
      <c r="AS8143" s="47"/>
    </row>
    <row r="8144" spans="45:45">
      <c r="AS8144" s="47"/>
    </row>
    <row r="8145" spans="45:45">
      <c r="AS8145" s="47"/>
    </row>
    <row r="8146" spans="45:45">
      <c r="AS8146" s="47"/>
    </row>
    <row r="8147" spans="45:45">
      <c r="AS8147" s="47"/>
    </row>
    <row r="8148" spans="45:45">
      <c r="AS8148" s="47"/>
    </row>
    <row r="8149" spans="45:45">
      <c r="AS8149" s="47"/>
    </row>
    <row r="8150" spans="45:45">
      <c r="AS8150" s="47"/>
    </row>
    <row r="8151" spans="45:45">
      <c r="AS8151" s="47"/>
    </row>
    <row r="8152" spans="45:45">
      <c r="AS8152" s="47"/>
    </row>
    <row r="8153" spans="45:45">
      <c r="AS8153" s="47"/>
    </row>
    <row r="8154" spans="45:45">
      <c r="AS8154" s="47"/>
    </row>
    <row r="8155" spans="45:45">
      <c r="AS8155" s="47"/>
    </row>
    <row r="8156" spans="45:45">
      <c r="AS8156" s="47"/>
    </row>
    <row r="8157" spans="45:45">
      <c r="AS8157" s="47"/>
    </row>
    <row r="8158" spans="45:45">
      <c r="AS8158" s="47"/>
    </row>
    <row r="8159" spans="45:45">
      <c r="AS8159" s="47"/>
    </row>
    <row r="8160" spans="45:45">
      <c r="AS8160" s="47"/>
    </row>
    <row r="8161" spans="45:45">
      <c r="AS8161" s="47"/>
    </row>
    <row r="8162" spans="45:45">
      <c r="AS8162" s="47"/>
    </row>
    <row r="8163" spans="45:45">
      <c r="AS8163" s="47"/>
    </row>
    <row r="8164" spans="45:45">
      <c r="AS8164" s="47"/>
    </row>
    <row r="8165" spans="45:45">
      <c r="AS8165" s="47"/>
    </row>
    <row r="8166" spans="45:45">
      <c r="AS8166" s="47"/>
    </row>
    <row r="8167" spans="45:45">
      <c r="AS8167" s="47"/>
    </row>
    <row r="8168" spans="45:45">
      <c r="AS8168" s="47"/>
    </row>
    <row r="8169" spans="45:45">
      <c r="AS8169" s="47"/>
    </row>
    <row r="8170" spans="45:45">
      <c r="AS8170" s="47"/>
    </row>
    <row r="8171" spans="45:45">
      <c r="AS8171" s="47"/>
    </row>
    <row r="8172" spans="45:45">
      <c r="AS8172" s="47"/>
    </row>
    <row r="8173" spans="45:45">
      <c r="AS8173" s="47"/>
    </row>
    <row r="8174" spans="45:45">
      <c r="AS8174" s="47"/>
    </row>
    <row r="8175" spans="45:45">
      <c r="AS8175" s="47"/>
    </row>
    <row r="8176" spans="45:45">
      <c r="AS8176" s="47"/>
    </row>
    <row r="8177" spans="45:45">
      <c r="AS8177" s="47"/>
    </row>
    <row r="8178" spans="45:45">
      <c r="AS8178" s="47"/>
    </row>
    <row r="8179" spans="45:45">
      <c r="AS8179" s="47"/>
    </row>
    <row r="8180" spans="45:45">
      <c r="AS8180" s="47"/>
    </row>
    <row r="8181" spans="45:45">
      <c r="AS8181" s="47"/>
    </row>
    <row r="8182" spans="45:45">
      <c r="AS8182" s="47"/>
    </row>
    <row r="8183" spans="45:45">
      <c r="AS8183" s="47"/>
    </row>
    <row r="8184" spans="45:45">
      <c r="AS8184" s="47"/>
    </row>
    <row r="8185" spans="45:45">
      <c r="AS8185" s="47"/>
    </row>
    <row r="8186" spans="45:45">
      <c r="AS8186" s="47"/>
    </row>
    <row r="8187" spans="45:45">
      <c r="AS8187" s="47"/>
    </row>
    <row r="8188" spans="45:45">
      <c r="AS8188" s="47"/>
    </row>
    <row r="8189" spans="45:45">
      <c r="AS8189" s="47"/>
    </row>
    <row r="8190" spans="45:45">
      <c r="AS8190" s="47"/>
    </row>
    <row r="8191" spans="45:45">
      <c r="AS8191" s="47"/>
    </row>
    <row r="8192" spans="45:45">
      <c r="AS8192" s="47"/>
    </row>
    <row r="8193" spans="45:45">
      <c r="AS8193" s="47"/>
    </row>
    <row r="8194" spans="45:45">
      <c r="AS8194" s="47"/>
    </row>
    <row r="8195" spans="45:45">
      <c r="AS8195" s="47"/>
    </row>
    <row r="8196" spans="45:45">
      <c r="AS8196" s="47"/>
    </row>
    <row r="8197" spans="45:45">
      <c r="AS8197" s="47"/>
    </row>
    <row r="8198" spans="45:45">
      <c r="AS8198" s="47"/>
    </row>
    <row r="8199" spans="45:45">
      <c r="AS8199" s="47"/>
    </row>
    <row r="8200" spans="45:45">
      <c r="AS8200" s="47"/>
    </row>
    <row r="8201" spans="45:45">
      <c r="AS8201" s="47"/>
    </row>
    <row r="8202" spans="45:45">
      <c r="AS8202" s="47"/>
    </row>
    <row r="8203" spans="45:45">
      <c r="AS8203" s="47"/>
    </row>
    <row r="8204" spans="45:45">
      <c r="AS8204" s="47"/>
    </row>
    <row r="8205" spans="45:45">
      <c r="AS8205" s="47"/>
    </row>
    <row r="8206" spans="45:45">
      <c r="AS8206" s="47"/>
    </row>
    <row r="8207" spans="45:45">
      <c r="AS8207" s="47"/>
    </row>
    <row r="8208" spans="45:45">
      <c r="AS8208" s="47"/>
    </row>
    <row r="8209" spans="45:45">
      <c r="AS8209" s="47"/>
    </row>
    <row r="8210" spans="45:45">
      <c r="AS8210" s="47"/>
    </row>
    <row r="8211" spans="45:45">
      <c r="AS8211" s="47"/>
    </row>
    <row r="8212" spans="45:45">
      <c r="AS8212" s="47"/>
    </row>
    <row r="8213" spans="45:45">
      <c r="AS8213" s="47"/>
    </row>
    <row r="8214" spans="45:45">
      <c r="AS8214" s="47"/>
    </row>
    <row r="8215" spans="45:45">
      <c r="AS8215" s="47"/>
    </row>
    <row r="8216" spans="45:45">
      <c r="AS8216" s="47"/>
    </row>
    <row r="8217" spans="45:45">
      <c r="AS8217" s="47"/>
    </row>
    <row r="8218" spans="45:45">
      <c r="AS8218" s="47"/>
    </row>
    <row r="8219" spans="45:45">
      <c r="AS8219" s="47"/>
    </row>
    <row r="8220" spans="45:45">
      <c r="AS8220" s="47"/>
    </row>
    <row r="8221" spans="45:45">
      <c r="AS8221" s="47"/>
    </row>
    <row r="8222" spans="45:45">
      <c r="AS8222" s="47"/>
    </row>
    <row r="8223" spans="45:45">
      <c r="AS8223" s="47"/>
    </row>
    <row r="8224" spans="45:45">
      <c r="AS8224" s="47"/>
    </row>
    <row r="8225" spans="45:45">
      <c r="AS8225" s="47"/>
    </row>
    <row r="8226" spans="45:45">
      <c r="AS8226" s="47"/>
    </row>
    <row r="8227" spans="45:45">
      <c r="AS8227" s="47"/>
    </row>
    <row r="8228" spans="45:45">
      <c r="AS8228" s="47"/>
    </row>
    <row r="8229" spans="45:45">
      <c r="AS8229" s="47"/>
    </row>
    <row r="8230" spans="45:45">
      <c r="AS8230" s="47"/>
    </row>
    <row r="8231" spans="45:45">
      <c r="AS8231" s="47"/>
    </row>
    <row r="8232" spans="45:45">
      <c r="AS8232" s="47"/>
    </row>
    <row r="8233" spans="45:45">
      <c r="AS8233" s="47"/>
    </row>
    <row r="8234" spans="45:45">
      <c r="AS8234" s="47"/>
    </row>
    <row r="8235" spans="45:45">
      <c r="AS8235" s="47"/>
    </row>
    <row r="8236" spans="45:45">
      <c r="AS8236" s="47"/>
    </row>
    <row r="8237" spans="45:45">
      <c r="AS8237" s="47"/>
    </row>
    <row r="8238" spans="45:45">
      <c r="AS8238" s="47"/>
    </row>
    <row r="8239" spans="45:45">
      <c r="AS8239" s="47"/>
    </row>
    <row r="8240" spans="45:45">
      <c r="AS8240" s="47"/>
    </row>
    <row r="8241" spans="45:45">
      <c r="AS8241" s="47"/>
    </row>
    <row r="8242" spans="45:45">
      <c r="AS8242" s="47"/>
    </row>
    <row r="8243" spans="45:45">
      <c r="AS8243" s="47"/>
    </row>
    <row r="8244" spans="45:45">
      <c r="AS8244" s="47"/>
    </row>
    <row r="8245" spans="45:45">
      <c r="AS8245" s="47"/>
    </row>
    <row r="8246" spans="45:45">
      <c r="AS8246" s="47"/>
    </row>
    <row r="8247" spans="45:45">
      <c r="AS8247" s="47"/>
    </row>
    <row r="8248" spans="45:45">
      <c r="AS8248" s="47"/>
    </row>
    <row r="8249" spans="45:45">
      <c r="AS8249" s="47"/>
    </row>
    <row r="8250" spans="45:45">
      <c r="AS8250" s="47"/>
    </row>
    <row r="8251" spans="45:45">
      <c r="AS8251" s="47"/>
    </row>
    <row r="8252" spans="45:45">
      <c r="AS8252" s="47"/>
    </row>
    <row r="8253" spans="45:45">
      <c r="AS8253" s="47"/>
    </row>
    <row r="8254" spans="45:45">
      <c r="AS8254" s="47"/>
    </row>
    <row r="8255" spans="45:45">
      <c r="AS8255" s="47"/>
    </row>
    <row r="8256" spans="45:45">
      <c r="AS8256" s="47"/>
    </row>
    <row r="8257" spans="45:45">
      <c r="AS8257" s="47"/>
    </row>
    <row r="8258" spans="45:45">
      <c r="AS8258" s="47"/>
    </row>
    <row r="8259" spans="45:45">
      <c r="AS8259" s="47"/>
    </row>
    <row r="8260" spans="45:45">
      <c r="AS8260" s="47"/>
    </row>
    <row r="8261" spans="45:45">
      <c r="AS8261" s="47"/>
    </row>
    <row r="8262" spans="45:45">
      <c r="AS8262" s="47"/>
    </row>
    <row r="8263" spans="45:45">
      <c r="AS8263" s="47"/>
    </row>
    <row r="8264" spans="45:45">
      <c r="AS8264" s="47"/>
    </row>
    <row r="8265" spans="45:45">
      <c r="AS8265" s="47"/>
    </row>
    <row r="8266" spans="45:45">
      <c r="AS8266" s="47"/>
    </row>
    <row r="8267" spans="45:45">
      <c r="AS8267" s="47"/>
    </row>
    <row r="8268" spans="45:45">
      <c r="AS8268" s="47"/>
    </row>
    <row r="8269" spans="45:45">
      <c r="AS8269" s="47"/>
    </row>
    <row r="8270" spans="45:45">
      <c r="AS8270" s="47"/>
    </row>
    <row r="8271" spans="45:45">
      <c r="AS8271" s="47"/>
    </row>
    <row r="8272" spans="45:45">
      <c r="AS8272" s="47"/>
    </row>
    <row r="8273" spans="45:45">
      <c r="AS8273" s="47"/>
    </row>
    <row r="8274" spans="45:45">
      <c r="AS8274" s="47"/>
    </row>
    <row r="8275" spans="45:45">
      <c r="AS8275" s="47"/>
    </row>
    <row r="8276" spans="45:45">
      <c r="AS8276" s="47"/>
    </row>
    <row r="8277" spans="45:45">
      <c r="AS8277" s="47"/>
    </row>
    <row r="8278" spans="45:45">
      <c r="AS8278" s="47"/>
    </row>
    <row r="8279" spans="45:45">
      <c r="AS8279" s="47"/>
    </row>
    <row r="8280" spans="45:45">
      <c r="AS8280" s="47"/>
    </row>
    <row r="8281" spans="45:45">
      <c r="AS8281" s="47"/>
    </row>
    <row r="8282" spans="45:45">
      <c r="AS8282" s="47"/>
    </row>
    <row r="8283" spans="45:45">
      <c r="AS8283" s="47"/>
    </row>
    <row r="8284" spans="45:45">
      <c r="AS8284" s="47"/>
    </row>
    <row r="8285" spans="45:45">
      <c r="AS8285" s="47"/>
    </row>
    <row r="8286" spans="45:45">
      <c r="AS8286" s="47"/>
    </row>
    <row r="8287" spans="45:45">
      <c r="AS8287" s="47"/>
    </row>
    <row r="8288" spans="45:45">
      <c r="AS8288" s="47"/>
    </row>
    <row r="8289" spans="45:45">
      <c r="AS8289" s="47"/>
    </row>
    <row r="8290" spans="45:45">
      <c r="AS8290" s="47"/>
    </row>
    <row r="8291" spans="45:45">
      <c r="AS8291" s="47"/>
    </row>
    <row r="8292" spans="45:45">
      <c r="AS8292" s="47"/>
    </row>
    <row r="8293" spans="45:45">
      <c r="AS8293" s="47"/>
    </row>
    <row r="8294" spans="45:45">
      <c r="AS8294" s="47"/>
    </row>
    <row r="8295" spans="45:45">
      <c r="AS8295" s="47"/>
    </row>
    <row r="8296" spans="45:45">
      <c r="AS8296" s="47"/>
    </row>
    <row r="8297" spans="45:45">
      <c r="AS8297" s="47"/>
    </row>
    <row r="8298" spans="45:45">
      <c r="AS8298" s="47"/>
    </row>
    <row r="8299" spans="45:45">
      <c r="AS8299" s="47"/>
    </row>
    <row r="8300" spans="45:45">
      <c r="AS8300" s="47"/>
    </row>
    <row r="8301" spans="45:45">
      <c r="AS8301" s="47"/>
    </row>
    <row r="8302" spans="45:45">
      <c r="AS8302" s="47"/>
    </row>
    <row r="8303" spans="45:45">
      <c r="AS8303" s="47"/>
    </row>
    <row r="8304" spans="45:45">
      <c r="AS8304" s="47"/>
    </row>
    <row r="8305" spans="45:45">
      <c r="AS8305" s="47"/>
    </row>
    <row r="8306" spans="45:45">
      <c r="AS8306" s="47"/>
    </row>
    <row r="8307" spans="45:45">
      <c r="AS8307" s="47"/>
    </row>
    <row r="8308" spans="45:45">
      <c r="AS8308" s="47"/>
    </row>
    <row r="8309" spans="45:45">
      <c r="AS8309" s="47"/>
    </row>
    <row r="8310" spans="45:45">
      <c r="AS8310" s="47"/>
    </row>
    <row r="8311" spans="45:45">
      <c r="AS8311" s="47"/>
    </row>
    <row r="8312" spans="45:45">
      <c r="AS8312" s="47"/>
    </row>
    <row r="8313" spans="45:45">
      <c r="AS8313" s="47"/>
    </row>
    <row r="8314" spans="45:45">
      <c r="AS8314" s="47"/>
    </row>
    <row r="8315" spans="45:45">
      <c r="AS8315" s="47"/>
    </row>
    <row r="8316" spans="45:45">
      <c r="AS8316" s="47"/>
    </row>
    <row r="8317" spans="45:45">
      <c r="AS8317" s="47"/>
    </row>
    <row r="8318" spans="45:45">
      <c r="AS8318" s="47"/>
    </row>
    <row r="8319" spans="45:45">
      <c r="AS8319" s="47"/>
    </row>
    <row r="8320" spans="45:45">
      <c r="AS8320" s="47"/>
    </row>
    <row r="8321" spans="45:45">
      <c r="AS8321" s="47"/>
    </row>
    <row r="8322" spans="45:45">
      <c r="AS8322" s="47"/>
    </row>
    <row r="8323" spans="45:45">
      <c r="AS8323" s="47"/>
    </row>
    <row r="8324" spans="45:45">
      <c r="AS8324" s="47"/>
    </row>
    <row r="8325" spans="45:45">
      <c r="AS8325" s="47"/>
    </row>
    <row r="8326" spans="45:45">
      <c r="AS8326" s="47"/>
    </row>
    <row r="8327" spans="45:45">
      <c r="AS8327" s="47"/>
    </row>
    <row r="8328" spans="45:45">
      <c r="AS8328" s="47"/>
    </row>
    <row r="8329" spans="45:45">
      <c r="AS8329" s="47"/>
    </row>
    <row r="8330" spans="45:45">
      <c r="AS8330" s="47"/>
    </row>
    <row r="8331" spans="45:45">
      <c r="AS8331" s="47"/>
    </row>
    <row r="8332" spans="45:45">
      <c r="AS8332" s="47"/>
    </row>
    <row r="8333" spans="45:45">
      <c r="AS8333" s="47"/>
    </row>
    <row r="8334" spans="45:45">
      <c r="AS8334" s="47"/>
    </row>
    <row r="8335" spans="45:45">
      <c r="AS8335" s="47"/>
    </row>
    <row r="8336" spans="45:45">
      <c r="AS8336" s="47"/>
    </row>
    <row r="8337" spans="45:45">
      <c r="AS8337" s="47"/>
    </row>
    <row r="8338" spans="45:45">
      <c r="AS8338" s="47"/>
    </row>
    <row r="8339" spans="45:45">
      <c r="AS8339" s="47"/>
    </row>
    <row r="8340" spans="45:45">
      <c r="AS8340" s="47"/>
    </row>
    <row r="8341" spans="45:45">
      <c r="AS8341" s="47"/>
    </row>
    <row r="8342" spans="45:45">
      <c r="AS8342" s="47"/>
    </row>
    <row r="8343" spans="45:45">
      <c r="AS8343" s="47"/>
    </row>
    <row r="8344" spans="45:45">
      <c r="AS8344" s="47"/>
    </row>
    <row r="8345" spans="45:45">
      <c r="AS8345" s="47"/>
    </row>
    <row r="8346" spans="45:45">
      <c r="AS8346" s="47"/>
    </row>
    <row r="8347" spans="45:45">
      <c r="AS8347" s="47"/>
    </row>
    <row r="8348" spans="45:45">
      <c r="AS8348" s="47"/>
    </row>
    <row r="8349" spans="45:45">
      <c r="AS8349" s="47"/>
    </row>
    <row r="8350" spans="45:45">
      <c r="AS8350" s="47"/>
    </row>
    <row r="8351" spans="45:45">
      <c r="AS8351" s="47"/>
    </row>
    <row r="8352" spans="45:45">
      <c r="AS8352" s="47"/>
    </row>
    <row r="8353" spans="45:45">
      <c r="AS8353" s="47"/>
    </row>
    <row r="8354" spans="45:45">
      <c r="AS8354" s="47"/>
    </row>
    <row r="8355" spans="45:45">
      <c r="AS8355" s="47"/>
    </row>
    <row r="8356" spans="45:45">
      <c r="AS8356" s="47"/>
    </row>
    <row r="8357" spans="45:45">
      <c r="AS8357" s="47"/>
    </row>
    <row r="8358" spans="45:45">
      <c r="AS8358" s="47"/>
    </row>
    <row r="8359" spans="45:45">
      <c r="AS8359" s="47"/>
    </row>
    <row r="8360" spans="45:45">
      <c r="AS8360" s="47"/>
    </row>
    <row r="8361" spans="45:45">
      <c r="AS8361" s="47"/>
    </row>
    <row r="8362" spans="45:45">
      <c r="AS8362" s="47"/>
    </row>
    <row r="8363" spans="45:45">
      <c r="AS8363" s="47"/>
    </row>
    <row r="8364" spans="45:45">
      <c r="AS8364" s="47"/>
    </row>
    <row r="8365" spans="45:45">
      <c r="AS8365" s="47"/>
    </row>
    <row r="8366" spans="45:45">
      <c r="AS8366" s="47"/>
    </row>
    <row r="8367" spans="45:45">
      <c r="AS8367" s="47"/>
    </row>
    <row r="8368" spans="45:45">
      <c r="AS8368" s="47"/>
    </row>
    <row r="8369" spans="45:45">
      <c r="AS8369" s="47"/>
    </row>
    <row r="8370" spans="45:45">
      <c r="AS8370" s="47"/>
    </row>
    <row r="8371" spans="45:45">
      <c r="AS8371" s="47"/>
    </row>
    <row r="8372" spans="45:45">
      <c r="AS8372" s="47"/>
    </row>
    <row r="8373" spans="45:45">
      <c r="AS8373" s="47"/>
    </row>
    <row r="8374" spans="45:45">
      <c r="AS8374" s="47"/>
    </row>
    <row r="8375" spans="45:45">
      <c r="AS8375" s="47"/>
    </row>
    <row r="8376" spans="45:45">
      <c r="AS8376" s="47"/>
    </row>
    <row r="8377" spans="45:45">
      <c r="AS8377" s="47"/>
    </row>
    <row r="8378" spans="45:45">
      <c r="AS8378" s="47"/>
    </row>
    <row r="8379" spans="45:45">
      <c r="AS8379" s="47"/>
    </row>
    <row r="8380" spans="45:45">
      <c r="AS8380" s="47"/>
    </row>
    <row r="8381" spans="45:45">
      <c r="AS8381" s="47"/>
    </row>
    <row r="8382" spans="45:45">
      <c r="AS8382" s="47"/>
    </row>
    <row r="8383" spans="45:45">
      <c r="AS8383" s="47"/>
    </row>
    <row r="8384" spans="45:45">
      <c r="AS8384" s="47"/>
    </row>
    <row r="8385" spans="45:45">
      <c r="AS8385" s="47"/>
    </row>
    <row r="8386" spans="45:45">
      <c r="AS8386" s="47"/>
    </row>
    <row r="8387" spans="45:45">
      <c r="AS8387" s="47"/>
    </row>
    <row r="8388" spans="45:45">
      <c r="AS8388" s="47"/>
    </row>
    <row r="8389" spans="45:45">
      <c r="AS8389" s="47"/>
    </row>
    <row r="8390" spans="45:45">
      <c r="AS8390" s="47"/>
    </row>
    <row r="8391" spans="45:45">
      <c r="AS8391" s="47"/>
    </row>
    <row r="8392" spans="45:45">
      <c r="AS8392" s="47"/>
    </row>
    <row r="8393" spans="45:45">
      <c r="AS8393" s="47"/>
    </row>
    <row r="8394" spans="45:45">
      <c r="AS8394" s="47"/>
    </row>
    <row r="8395" spans="45:45">
      <c r="AS8395" s="47"/>
    </row>
    <row r="8396" spans="45:45">
      <c r="AS8396" s="47"/>
    </row>
    <row r="8397" spans="45:45">
      <c r="AS8397" s="47"/>
    </row>
    <row r="8398" spans="45:45">
      <c r="AS8398" s="47"/>
    </row>
    <row r="8399" spans="45:45">
      <c r="AS8399" s="47"/>
    </row>
    <row r="8400" spans="45:45">
      <c r="AS8400" s="47"/>
    </row>
    <row r="8401" spans="45:45">
      <c r="AS8401" s="47"/>
    </row>
    <row r="8402" spans="45:45">
      <c r="AS8402" s="47"/>
    </row>
    <row r="8403" spans="45:45">
      <c r="AS8403" s="47"/>
    </row>
    <row r="8404" spans="45:45">
      <c r="AS8404" s="47"/>
    </row>
    <row r="8405" spans="45:45">
      <c r="AS8405" s="47"/>
    </row>
    <row r="8406" spans="45:45">
      <c r="AS8406" s="47"/>
    </row>
    <row r="8407" spans="45:45">
      <c r="AS8407" s="47"/>
    </row>
    <row r="8408" spans="45:45">
      <c r="AS8408" s="47"/>
    </row>
    <row r="8409" spans="45:45">
      <c r="AS8409" s="47"/>
    </row>
    <row r="8410" spans="45:45">
      <c r="AS8410" s="47"/>
    </row>
    <row r="8411" spans="45:45">
      <c r="AS8411" s="47"/>
    </row>
    <row r="8412" spans="45:45">
      <c r="AS8412" s="47"/>
    </row>
    <row r="8413" spans="45:45">
      <c r="AS8413" s="47"/>
    </row>
    <row r="8414" spans="45:45">
      <c r="AS8414" s="47"/>
    </row>
    <row r="8415" spans="45:45">
      <c r="AS8415" s="47"/>
    </row>
    <row r="8416" spans="45:45">
      <c r="AS8416" s="47"/>
    </row>
    <row r="8417" spans="45:45">
      <c r="AS8417" s="47"/>
    </row>
    <row r="8418" spans="45:45">
      <c r="AS8418" s="47"/>
    </row>
    <row r="8419" spans="45:45">
      <c r="AS8419" s="47"/>
    </row>
    <row r="8420" spans="45:45">
      <c r="AS8420" s="47"/>
    </row>
    <row r="8421" spans="45:45">
      <c r="AS8421" s="47"/>
    </row>
    <row r="8422" spans="45:45">
      <c r="AS8422" s="47"/>
    </row>
    <row r="8423" spans="45:45">
      <c r="AS8423" s="47"/>
    </row>
    <row r="8424" spans="45:45">
      <c r="AS8424" s="47"/>
    </row>
    <row r="8425" spans="45:45">
      <c r="AS8425" s="47"/>
    </row>
    <row r="8426" spans="45:45">
      <c r="AS8426" s="47"/>
    </row>
    <row r="8427" spans="45:45">
      <c r="AS8427" s="47"/>
    </row>
    <row r="8428" spans="45:45">
      <c r="AS8428" s="47"/>
    </row>
    <row r="8429" spans="45:45">
      <c r="AS8429" s="47"/>
    </row>
    <row r="8430" spans="45:45">
      <c r="AS8430" s="47"/>
    </row>
    <row r="8431" spans="45:45">
      <c r="AS8431" s="47"/>
    </row>
    <row r="8432" spans="45:45">
      <c r="AS8432" s="47"/>
    </row>
    <row r="8433" spans="45:45">
      <c r="AS8433" s="47"/>
    </row>
    <row r="8434" spans="45:45">
      <c r="AS8434" s="47"/>
    </row>
    <row r="8435" spans="45:45">
      <c r="AS8435" s="47"/>
    </row>
    <row r="8436" spans="45:45">
      <c r="AS8436" s="47"/>
    </row>
    <row r="8437" spans="45:45">
      <c r="AS8437" s="47"/>
    </row>
    <row r="8438" spans="45:45">
      <c r="AS8438" s="47"/>
    </row>
    <row r="8439" spans="45:45">
      <c r="AS8439" s="47"/>
    </row>
    <row r="8440" spans="45:45">
      <c r="AS8440" s="47"/>
    </row>
    <row r="8441" spans="45:45">
      <c r="AS8441" s="47"/>
    </row>
    <row r="8442" spans="45:45">
      <c r="AS8442" s="47"/>
    </row>
    <row r="8443" spans="45:45">
      <c r="AS8443" s="47"/>
    </row>
    <row r="8444" spans="45:45">
      <c r="AS8444" s="47"/>
    </row>
    <row r="8445" spans="45:45">
      <c r="AS8445" s="47"/>
    </row>
    <row r="8446" spans="45:45">
      <c r="AS8446" s="47"/>
    </row>
    <row r="8447" spans="45:45">
      <c r="AS8447" s="47"/>
    </row>
    <row r="8448" spans="45:45">
      <c r="AS8448" s="47"/>
    </row>
    <row r="8449" spans="45:45">
      <c r="AS8449" s="47"/>
    </row>
    <row r="8450" spans="45:45">
      <c r="AS8450" s="47"/>
    </row>
    <row r="8451" spans="45:45">
      <c r="AS8451" s="47"/>
    </row>
    <row r="8452" spans="45:45">
      <c r="AS8452" s="47"/>
    </row>
    <row r="8453" spans="45:45">
      <c r="AS8453" s="47"/>
    </row>
    <row r="8454" spans="45:45">
      <c r="AS8454" s="47"/>
    </row>
    <row r="8455" spans="45:45">
      <c r="AS8455" s="47"/>
    </row>
    <row r="8456" spans="45:45">
      <c r="AS8456" s="47"/>
    </row>
    <row r="8457" spans="45:45">
      <c r="AS8457" s="47"/>
    </row>
    <row r="8458" spans="45:45">
      <c r="AS8458" s="47"/>
    </row>
    <row r="8459" spans="45:45">
      <c r="AS8459" s="47"/>
    </row>
    <row r="8460" spans="45:45">
      <c r="AS8460" s="47"/>
    </row>
    <row r="8461" spans="45:45">
      <c r="AS8461" s="47"/>
    </row>
    <row r="8462" spans="45:45">
      <c r="AS8462" s="47"/>
    </row>
    <row r="8463" spans="45:45">
      <c r="AS8463" s="47"/>
    </row>
    <row r="8464" spans="45:45">
      <c r="AS8464" s="47"/>
    </row>
    <row r="8465" spans="45:45">
      <c r="AS8465" s="47"/>
    </row>
    <row r="8466" spans="45:45">
      <c r="AS8466" s="47"/>
    </row>
    <row r="8467" spans="45:45">
      <c r="AS8467" s="47"/>
    </row>
    <row r="8468" spans="45:45">
      <c r="AS8468" s="47"/>
    </row>
    <row r="8469" spans="45:45">
      <c r="AS8469" s="47"/>
    </row>
    <row r="8470" spans="45:45">
      <c r="AS8470" s="47"/>
    </row>
    <row r="8471" spans="45:45">
      <c r="AS8471" s="47"/>
    </row>
    <row r="8472" spans="45:45">
      <c r="AS8472" s="47"/>
    </row>
    <row r="8473" spans="45:45">
      <c r="AS8473" s="47"/>
    </row>
    <row r="8474" spans="45:45">
      <c r="AS8474" s="47"/>
    </row>
    <row r="8475" spans="45:45">
      <c r="AS8475" s="47"/>
    </row>
    <row r="8476" spans="45:45">
      <c r="AS8476" s="47"/>
    </row>
    <row r="8477" spans="45:45">
      <c r="AS8477" s="47"/>
    </row>
    <row r="8478" spans="45:45">
      <c r="AS8478" s="47"/>
    </row>
    <row r="8479" spans="45:45">
      <c r="AS8479" s="47"/>
    </row>
    <row r="8480" spans="45:45">
      <c r="AS8480" s="47"/>
    </row>
    <row r="8481" spans="45:45">
      <c r="AS8481" s="47"/>
    </row>
    <row r="8482" spans="45:45">
      <c r="AS8482" s="47"/>
    </row>
    <row r="8483" spans="45:45">
      <c r="AS8483" s="47"/>
    </row>
    <row r="8484" spans="45:45">
      <c r="AS8484" s="47"/>
    </row>
    <row r="8485" spans="45:45">
      <c r="AS8485" s="47"/>
    </row>
    <row r="8486" spans="45:45">
      <c r="AS8486" s="47"/>
    </row>
    <row r="8487" spans="45:45">
      <c r="AS8487" s="47"/>
    </row>
    <row r="8488" spans="45:45">
      <c r="AS8488" s="47"/>
    </row>
    <row r="8489" spans="45:45">
      <c r="AS8489" s="47"/>
    </row>
    <row r="8490" spans="45:45">
      <c r="AS8490" s="47"/>
    </row>
    <row r="8491" spans="45:45">
      <c r="AS8491" s="47"/>
    </row>
    <row r="8492" spans="45:45">
      <c r="AS8492" s="47"/>
    </row>
    <row r="8493" spans="45:45">
      <c r="AS8493" s="47"/>
    </row>
    <row r="8494" spans="45:45">
      <c r="AS8494" s="47"/>
    </row>
    <row r="8495" spans="45:45">
      <c r="AS8495" s="47"/>
    </row>
    <row r="8496" spans="45:45">
      <c r="AS8496" s="47"/>
    </row>
    <row r="8497" spans="45:45">
      <c r="AS8497" s="47"/>
    </row>
    <row r="8498" spans="45:45">
      <c r="AS8498" s="47"/>
    </row>
    <row r="8499" spans="45:45">
      <c r="AS8499" s="47"/>
    </row>
    <row r="8500" spans="45:45">
      <c r="AS8500" s="47"/>
    </row>
    <row r="8501" spans="45:45">
      <c r="AS8501" s="47"/>
    </row>
    <row r="8502" spans="45:45">
      <c r="AS8502" s="47"/>
    </row>
    <row r="8503" spans="45:45">
      <c r="AS8503" s="47"/>
    </row>
    <row r="8504" spans="45:45">
      <c r="AS8504" s="47"/>
    </row>
    <row r="8505" spans="45:45">
      <c r="AS8505" s="47"/>
    </row>
    <row r="8506" spans="45:45">
      <c r="AS8506" s="47"/>
    </row>
    <row r="8507" spans="45:45">
      <c r="AS8507" s="47"/>
    </row>
    <row r="8508" spans="45:45">
      <c r="AS8508" s="47"/>
    </row>
    <row r="8509" spans="45:45">
      <c r="AS8509" s="47"/>
    </row>
    <row r="8510" spans="45:45">
      <c r="AS8510" s="47"/>
    </row>
    <row r="8511" spans="45:45">
      <c r="AS8511" s="47"/>
    </row>
    <row r="8512" spans="45:45">
      <c r="AS8512" s="47"/>
    </row>
    <row r="8513" spans="45:45">
      <c r="AS8513" s="47"/>
    </row>
    <row r="8514" spans="45:45">
      <c r="AS8514" s="47"/>
    </row>
    <row r="8515" spans="45:45">
      <c r="AS8515" s="47"/>
    </row>
    <row r="8516" spans="45:45">
      <c r="AS8516" s="47"/>
    </row>
    <row r="8517" spans="45:45">
      <c r="AS8517" s="47"/>
    </row>
    <row r="8518" spans="45:45">
      <c r="AS8518" s="47"/>
    </row>
    <row r="8519" spans="45:45">
      <c r="AS8519" s="47"/>
    </row>
    <row r="8520" spans="45:45">
      <c r="AS8520" s="47"/>
    </row>
    <row r="8521" spans="45:45">
      <c r="AS8521" s="47"/>
    </row>
    <row r="8522" spans="45:45">
      <c r="AS8522" s="47"/>
    </row>
    <row r="8523" spans="45:45">
      <c r="AS8523" s="47"/>
    </row>
    <row r="8524" spans="45:45">
      <c r="AS8524" s="47"/>
    </row>
    <row r="8525" spans="45:45">
      <c r="AS8525" s="47"/>
    </row>
    <row r="8526" spans="45:45">
      <c r="AS8526" s="47"/>
    </row>
    <row r="8527" spans="45:45">
      <c r="AS8527" s="47"/>
    </row>
    <row r="8528" spans="45:45">
      <c r="AS8528" s="47"/>
    </row>
    <row r="8529" spans="45:45">
      <c r="AS8529" s="47"/>
    </row>
    <row r="8530" spans="45:45">
      <c r="AS8530" s="47"/>
    </row>
    <row r="8531" spans="45:45">
      <c r="AS8531" s="47"/>
    </row>
    <row r="8532" spans="45:45">
      <c r="AS8532" s="47"/>
    </row>
    <row r="8533" spans="45:45">
      <c r="AS8533" s="47"/>
    </row>
    <row r="8534" spans="45:45">
      <c r="AS8534" s="47"/>
    </row>
    <row r="8535" spans="45:45">
      <c r="AS8535" s="47"/>
    </row>
    <row r="8536" spans="45:45">
      <c r="AS8536" s="47"/>
    </row>
    <row r="8537" spans="45:45">
      <c r="AS8537" s="47"/>
    </row>
    <row r="8538" spans="45:45">
      <c r="AS8538" s="47"/>
    </row>
    <row r="8539" spans="45:45">
      <c r="AS8539" s="47"/>
    </row>
    <row r="8540" spans="45:45">
      <c r="AS8540" s="47"/>
    </row>
    <row r="8541" spans="45:45">
      <c r="AS8541" s="47"/>
    </row>
    <row r="8542" spans="45:45">
      <c r="AS8542" s="47"/>
    </row>
    <row r="8543" spans="45:45">
      <c r="AS8543" s="47"/>
    </row>
    <row r="8544" spans="45:45">
      <c r="AS8544" s="47"/>
    </row>
    <row r="8545" spans="45:45">
      <c r="AS8545" s="47"/>
    </row>
    <row r="8546" spans="45:45">
      <c r="AS8546" s="47"/>
    </row>
    <row r="8547" spans="45:45">
      <c r="AS8547" s="47"/>
    </row>
    <row r="8548" spans="45:45">
      <c r="AS8548" s="47"/>
    </row>
    <row r="8549" spans="45:45">
      <c r="AS8549" s="47"/>
    </row>
    <row r="8550" spans="45:45">
      <c r="AS8550" s="47"/>
    </row>
    <row r="8551" spans="45:45">
      <c r="AS8551" s="47"/>
    </row>
    <row r="8552" spans="45:45">
      <c r="AS8552" s="47"/>
    </row>
    <row r="8553" spans="45:45">
      <c r="AS8553" s="47"/>
    </row>
    <row r="8554" spans="45:45">
      <c r="AS8554" s="47"/>
    </row>
    <row r="8555" spans="45:45">
      <c r="AS8555" s="47"/>
    </row>
    <row r="8556" spans="45:45">
      <c r="AS8556" s="47"/>
    </row>
    <row r="8557" spans="45:45">
      <c r="AS8557" s="47"/>
    </row>
    <row r="8558" spans="45:45">
      <c r="AS8558" s="47"/>
    </row>
    <row r="8559" spans="45:45">
      <c r="AS8559" s="47"/>
    </row>
    <row r="8560" spans="45:45">
      <c r="AS8560" s="47"/>
    </row>
    <row r="8561" spans="45:45">
      <c r="AS8561" s="47"/>
    </row>
    <row r="8562" spans="45:45">
      <c r="AS8562" s="47"/>
    </row>
    <row r="8563" spans="45:45">
      <c r="AS8563" s="47"/>
    </row>
    <row r="8564" spans="45:45">
      <c r="AS8564" s="47"/>
    </row>
    <row r="8565" spans="45:45">
      <c r="AS8565" s="47"/>
    </row>
    <row r="8566" spans="45:45">
      <c r="AS8566" s="47"/>
    </row>
    <row r="8567" spans="45:45">
      <c r="AS8567" s="47"/>
    </row>
    <row r="8568" spans="45:45">
      <c r="AS8568" s="47"/>
    </row>
    <row r="8569" spans="45:45">
      <c r="AS8569" s="47"/>
    </row>
    <row r="8570" spans="45:45">
      <c r="AS8570" s="47"/>
    </row>
    <row r="8571" spans="45:45">
      <c r="AS8571" s="47"/>
    </row>
    <row r="8572" spans="45:45">
      <c r="AS8572" s="47"/>
    </row>
    <row r="8573" spans="45:45">
      <c r="AS8573" s="47"/>
    </row>
    <row r="8574" spans="45:45">
      <c r="AS8574" s="47"/>
    </row>
    <row r="8575" spans="45:45">
      <c r="AS8575" s="47"/>
    </row>
    <row r="8576" spans="45:45">
      <c r="AS8576" s="47"/>
    </row>
    <row r="8577" spans="45:45">
      <c r="AS8577" s="47"/>
    </row>
    <row r="8578" spans="45:45">
      <c r="AS8578" s="47"/>
    </row>
    <row r="8579" spans="45:45">
      <c r="AS8579" s="47"/>
    </row>
    <row r="8580" spans="45:45">
      <c r="AS8580" s="47"/>
    </row>
    <row r="8581" spans="45:45">
      <c r="AS8581" s="47"/>
    </row>
    <row r="8582" spans="45:45">
      <c r="AS8582" s="47"/>
    </row>
    <row r="8583" spans="45:45">
      <c r="AS8583" s="47"/>
    </row>
    <row r="8584" spans="45:45">
      <c r="AS8584" s="47"/>
    </row>
    <row r="8585" spans="45:45">
      <c r="AS8585" s="47"/>
    </row>
    <row r="8586" spans="45:45">
      <c r="AS8586" s="47"/>
    </row>
    <row r="8587" spans="45:45">
      <c r="AS8587" s="47"/>
    </row>
    <row r="8588" spans="45:45">
      <c r="AS8588" s="47"/>
    </row>
    <row r="8589" spans="45:45">
      <c r="AS8589" s="47"/>
    </row>
    <row r="8590" spans="45:45">
      <c r="AS8590" s="47"/>
    </row>
    <row r="8591" spans="45:45">
      <c r="AS8591" s="47"/>
    </row>
    <row r="8592" spans="45:45">
      <c r="AS8592" s="47"/>
    </row>
    <row r="8593" spans="45:45">
      <c r="AS8593" s="47"/>
    </row>
    <row r="8594" spans="45:45">
      <c r="AS8594" s="47"/>
    </row>
    <row r="8595" spans="45:45">
      <c r="AS8595" s="47"/>
    </row>
    <row r="8596" spans="45:45">
      <c r="AS8596" s="47"/>
    </row>
    <row r="8597" spans="45:45">
      <c r="AS8597" s="47"/>
    </row>
    <row r="8598" spans="45:45">
      <c r="AS8598" s="47"/>
    </row>
    <row r="8599" spans="45:45">
      <c r="AS8599" s="47"/>
    </row>
    <row r="8600" spans="45:45">
      <c r="AS8600" s="47"/>
    </row>
    <row r="8601" spans="45:45">
      <c r="AS8601" s="47"/>
    </row>
    <row r="8602" spans="45:45">
      <c r="AS8602" s="47"/>
    </row>
    <row r="8603" spans="45:45">
      <c r="AS8603" s="47"/>
    </row>
    <row r="8604" spans="45:45">
      <c r="AS8604" s="47"/>
    </row>
    <row r="8605" spans="45:45">
      <c r="AS8605" s="47"/>
    </row>
    <row r="8606" spans="45:45">
      <c r="AS8606" s="47"/>
    </row>
    <row r="8607" spans="45:45">
      <c r="AS8607" s="47"/>
    </row>
    <row r="8608" spans="45:45">
      <c r="AS8608" s="47"/>
    </row>
    <row r="8609" spans="45:45">
      <c r="AS8609" s="47"/>
    </row>
    <row r="8610" spans="45:45">
      <c r="AS8610" s="47"/>
    </row>
    <row r="8611" spans="45:45">
      <c r="AS8611" s="47"/>
    </row>
    <row r="8612" spans="45:45">
      <c r="AS8612" s="47"/>
    </row>
    <row r="8613" spans="45:45">
      <c r="AS8613" s="47"/>
    </row>
    <row r="8614" spans="45:45">
      <c r="AS8614" s="47"/>
    </row>
    <row r="8615" spans="45:45">
      <c r="AS8615" s="47"/>
    </row>
    <row r="8616" spans="45:45">
      <c r="AS8616" s="47"/>
    </row>
    <row r="8617" spans="45:45">
      <c r="AS8617" s="47"/>
    </row>
    <row r="8618" spans="45:45">
      <c r="AS8618" s="47"/>
    </row>
    <row r="8619" spans="45:45">
      <c r="AS8619" s="47"/>
    </row>
    <row r="8620" spans="45:45">
      <c r="AS8620" s="47"/>
    </row>
    <row r="8621" spans="45:45">
      <c r="AS8621" s="47"/>
    </row>
    <row r="8622" spans="45:45">
      <c r="AS8622" s="47"/>
    </row>
    <row r="8623" spans="45:45">
      <c r="AS8623" s="47"/>
    </row>
    <row r="8624" spans="45:45">
      <c r="AS8624" s="47"/>
    </row>
    <row r="8625" spans="45:45">
      <c r="AS8625" s="47"/>
    </row>
    <row r="8626" spans="45:45">
      <c r="AS8626" s="47"/>
    </row>
    <row r="8627" spans="45:45">
      <c r="AS8627" s="47"/>
    </row>
    <row r="8628" spans="45:45">
      <c r="AS8628" s="47"/>
    </row>
    <row r="8629" spans="45:45">
      <c r="AS8629" s="47"/>
    </row>
    <row r="8630" spans="45:45">
      <c r="AS8630" s="47"/>
    </row>
    <row r="8631" spans="45:45">
      <c r="AS8631" s="47"/>
    </row>
    <row r="8632" spans="45:45">
      <c r="AS8632" s="47"/>
    </row>
    <row r="8633" spans="45:45">
      <c r="AS8633" s="47"/>
    </row>
    <row r="8634" spans="45:45">
      <c r="AS8634" s="47"/>
    </row>
    <row r="8635" spans="45:45">
      <c r="AS8635" s="47"/>
    </row>
    <row r="8636" spans="45:45">
      <c r="AS8636" s="47"/>
    </row>
    <row r="8637" spans="45:45">
      <c r="AS8637" s="47"/>
    </row>
    <row r="8638" spans="45:45">
      <c r="AS8638" s="47"/>
    </row>
    <row r="8639" spans="45:45">
      <c r="AS8639" s="47"/>
    </row>
    <row r="8640" spans="45:45">
      <c r="AS8640" s="47"/>
    </row>
    <row r="8641" spans="45:45">
      <c r="AS8641" s="47"/>
    </row>
    <row r="8642" spans="45:45">
      <c r="AS8642" s="47"/>
    </row>
    <row r="8643" spans="45:45">
      <c r="AS8643" s="47"/>
    </row>
    <row r="8644" spans="45:45">
      <c r="AS8644" s="47"/>
    </row>
    <row r="8645" spans="45:45">
      <c r="AS8645" s="47"/>
    </row>
    <row r="8646" spans="45:45">
      <c r="AS8646" s="47"/>
    </row>
    <row r="8647" spans="45:45">
      <c r="AS8647" s="47"/>
    </row>
    <row r="8648" spans="45:45">
      <c r="AS8648" s="47"/>
    </row>
    <row r="8649" spans="45:45">
      <c r="AS8649" s="47"/>
    </row>
    <row r="8650" spans="45:45">
      <c r="AS8650" s="47"/>
    </row>
    <row r="8651" spans="45:45">
      <c r="AS8651" s="47"/>
    </row>
    <row r="8652" spans="45:45">
      <c r="AS8652" s="47"/>
    </row>
    <row r="8653" spans="45:45">
      <c r="AS8653" s="47"/>
    </row>
    <row r="8654" spans="45:45">
      <c r="AS8654" s="47"/>
    </row>
    <row r="8655" spans="45:45">
      <c r="AS8655" s="47"/>
    </row>
    <row r="8656" spans="45:45">
      <c r="AS8656" s="47"/>
    </row>
    <row r="8657" spans="45:45">
      <c r="AS8657" s="47"/>
    </row>
    <row r="8658" spans="45:45">
      <c r="AS8658" s="47"/>
    </row>
    <row r="8659" spans="45:45">
      <c r="AS8659" s="47"/>
    </row>
    <row r="8660" spans="45:45">
      <c r="AS8660" s="47"/>
    </row>
    <row r="8661" spans="45:45">
      <c r="AS8661" s="47"/>
    </row>
    <row r="8662" spans="45:45">
      <c r="AS8662" s="47"/>
    </row>
    <row r="8663" spans="45:45">
      <c r="AS8663" s="47"/>
    </row>
    <row r="8664" spans="45:45">
      <c r="AS8664" s="47"/>
    </row>
    <row r="8665" spans="45:45">
      <c r="AS8665" s="47"/>
    </row>
    <row r="8666" spans="45:45">
      <c r="AS8666" s="47"/>
    </row>
    <row r="8667" spans="45:45">
      <c r="AS8667" s="47"/>
    </row>
    <row r="8668" spans="45:45">
      <c r="AS8668" s="47"/>
    </row>
    <row r="8669" spans="45:45">
      <c r="AS8669" s="47"/>
    </row>
    <row r="8670" spans="45:45">
      <c r="AS8670" s="47"/>
    </row>
    <row r="8671" spans="45:45">
      <c r="AS8671" s="47"/>
    </row>
    <row r="8672" spans="45:45">
      <c r="AS8672" s="47"/>
    </row>
    <row r="8673" spans="45:45">
      <c r="AS8673" s="47"/>
    </row>
    <row r="8674" spans="45:45">
      <c r="AS8674" s="47"/>
    </row>
    <row r="8675" spans="45:45">
      <c r="AS8675" s="47"/>
    </row>
    <row r="8676" spans="45:45">
      <c r="AS8676" s="47"/>
    </row>
    <row r="8677" spans="45:45">
      <c r="AS8677" s="47"/>
    </row>
    <row r="8678" spans="45:45">
      <c r="AS8678" s="47"/>
    </row>
    <row r="8679" spans="45:45">
      <c r="AS8679" s="47"/>
    </row>
    <row r="8680" spans="45:45">
      <c r="AS8680" s="47"/>
    </row>
    <row r="8681" spans="45:45">
      <c r="AS8681" s="47"/>
    </row>
    <row r="8682" spans="45:45">
      <c r="AS8682" s="47"/>
    </row>
    <row r="8683" spans="45:45">
      <c r="AS8683" s="47"/>
    </row>
    <row r="8684" spans="45:45">
      <c r="AS8684" s="47"/>
    </row>
    <row r="8685" spans="45:45">
      <c r="AS8685" s="47"/>
    </row>
    <row r="8686" spans="45:45">
      <c r="AS8686" s="47"/>
    </row>
    <row r="8687" spans="45:45">
      <c r="AS8687" s="47"/>
    </row>
    <row r="8688" spans="45:45">
      <c r="AS8688" s="47"/>
    </row>
    <row r="8689" spans="45:45">
      <c r="AS8689" s="47"/>
    </row>
    <row r="8690" spans="45:45">
      <c r="AS8690" s="47"/>
    </row>
    <row r="8691" spans="45:45">
      <c r="AS8691" s="47"/>
    </row>
    <row r="8692" spans="45:45">
      <c r="AS8692" s="47"/>
    </row>
    <row r="8693" spans="45:45">
      <c r="AS8693" s="47"/>
    </row>
    <row r="8694" spans="45:45">
      <c r="AS8694" s="47"/>
    </row>
    <row r="8695" spans="45:45">
      <c r="AS8695" s="47"/>
    </row>
    <row r="8696" spans="45:45">
      <c r="AS8696" s="47"/>
    </row>
    <row r="8697" spans="45:45">
      <c r="AS8697" s="47"/>
    </row>
    <row r="8698" spans="45:45">
      <c r="AS8698" s="47"/>
    </row>
    <row r="8699" spans="45:45">
      <c r="AS8699" s="47"/>
    </row>
    <row r="8700" spans="45:45">
      <c r="AS8700" s="47"/>
    </row>
    <row r="8701" spans="45:45">
      <c r="AS8701" s="47"/>
    </row>
    <row r="8702" spans="45:45">
      <c r="AS8702" s="47"/>
    </row>
    <row r="8703" spans="45:45">
      <c r="AS8703" s="47"/>
    </row>
    <row r="8704" spans="45:45">
      <c r="AS8704" s="47"/>
    </row>
    <row r="8705" spans="45:45">
      <c r="AS8705" s="47"/>
    </row>
    <row r="8706" spans="45:45">
      <c r="AS8706" s="47"/>
    </row>
    <row r="8707" spans="45:45">
      <c r="AS8707" s="47"/>
    </row>
    <row r="8708" spans="45:45">
      <c r="AS8708" s="47"/>
    </row>
    <row r="8709" spans="45:45">
      <c r="AS8709" s="47"/>
    </row>
    <row r="8710" spans="45:45">
      <c r="AS8710" s="47"/>
    </row>
    <row r="8711" spans="45:45">
      <c r="AS8711" s="47"/>
    </row>
    <row r="8712" spans="45:45">
      <c r="AS8712" s="47"/>
    </row>
    <row r="8713" spans="45:45">
      <c r="AS8713" s="47"/>
    </row>
    <row r="8714" spans="45:45">
      <c r="AS8714" s="47"/>
    </row>
    <row r="8715" spans="45:45">
      <c r="AS8715" s="47"/>
    </row>
    <row r="8716" spans="45:45">
      <c r="AS8716" s="47"/>
    </row>
    <row r="8717" spans="45:45">
      <c r="AS8717" s="47"/>
    </row>
    <row r="8718" spans="45:45">
      <c r="AS8718" s="47"/>
    </row>
    <row r="8719" spans="45:45">
      <c r="AS8719" s="47"/>
    </row>
    <row r="8720" spans="45:45">
      <c r="AS8720" s="47"/>
    </row>
    <row r="8721" spans="45:45">
      <c r="AS8721" s="47"/>
    </row>
    <row r="8722" spans="45:45">
      <c r="AS8722" s="47"/>
    </row>
    <row r="8723" spans="45:45">
      <c r="AS8723" s="47"/>
    </row>
    <row r="8724" spans="45:45">
      <c r="AS8724" s="47"/>
    </row>
    <row r="8725" spans="45:45">
      <c r="AS8725" s="47"/>
    </row>
    <row r="8726" spans="45:45">
      <c r="AS8726" s="47"/>
    </row>
    <row r="8727" spans="45:45">
      <c r="AS8727" s="47"/>
    </row>
    <row r="8728" spans="45:45">
      <c r="AS8728" s="47"/>
    </row>
    <row r="8729" spans="45:45">
      <c r="AS8729" s="47"/>
    </row>
    <row r="8730" spans="45:45">
      <c r="AS8730" s="47"/>
    </row>
    <row r="8731" spans="45:45">
      <c r="AS8731" s="47"/>
    </row>
    <row r="8732" spans="45:45">
      <c r="AS8732" s="47"/>
    </row>
    <row r="8733" spans="45:45">
      <c r="AS8733" s="47"/>
    </row>
    <row r="8734" spans="45:45">
      <c r="AS8734" s="47"/>
    </row>
    <row r="8735" spans="45:45">
      <c r="AS8735" s="47"/>
    </row>
    <row r="8736" spans="45:45">
      <c r="AS8736" s="47"/>
    </row>
    <row r="8737" spans="45:45">
      <c r="AS8737" s="47"/>
    </row>
    <row r="8738" spans="45:45">
      <c r="AS8738" s="47"/>
    </row>
    <row r="8739" spans="45:45">
      <c r="AS8739" s="47"/>
    </row>
    <row r="8740" spans="45:45">
      <c r="AS8740" s="47"/>
    </row>
    <row r="8741" spans="45:45">
      <c r="AS8741" s="47"/>
    </row>
    <row r="8742" spans="45:45">
      <c r="AS8742" s="47"/>
    </row>
    <row r="8743" spans="45:45">
      <c r="AS8743" s="47"/>
    </row>
    <row r="8744" spans="45:45">
      <c r="AS8744" s="47"/>
    </row>
    <row r="8745" spans="45:45">
      <c r="AS8745" s="47"/>
    </row>
    <row r="8746" spans="45:45">
      <c r="AS8746" s="47"/>
    </row>
    <row r="8747" spans="45:45">
      <c r="AS8747" s="47"/>
    </row>
    <row r="8748" spans="45:45">
      <c r="AS8748" s="47"/>
    </row>
    <row r="8749" spans="45:45">
      <c r="AS8749" s="47"/>
    </row>
    <row r="8750" spans="45:45">
      <c r="AS8750" s="47"/>
    </row>
    <row r="8751" spans="45:45">
      <c r="AS8751" s="47"/>
    </row>
    <row r="8752" spans="45:45">
      <c r="AS8752" s="47"/>
    </row>
    <row r="8753" spans="45:45">
      <c r="AS8753" s="47"/>
    </row>
    <row r="8754" spans="45:45">
      <c r="AS8754" s="47"/>
    </row>
    <row r="8755" spans="45:45">
      <c r="AS8755" s="47"/>
    </row>
    <row r="8756" spans="45:45">
      <c r="AS8756" s="47"/>
    </row>
    <row r="8757" spans="45:45">
      <c r="AS8757" s="47"/>
    </row>
    <row r="8758" spans="45:45">
      <c r="AS8758" s="47"/>
    </row>
    <row r="8759" spans="45:45">
      <c r="AS8759" s="47"/>
    </row>
    <row r="8760" spans="45:45">
      <c r="AS8760" s="47"/>
    </row>
    <row r="8761" spans="45:45">
      <c r="AS8761" s="47"/>
    </row>
    <row r="8762" spans="45:45">
      <c r="AS8762" s="47"/>
    </row>
    <row r="8763" spans="45:45">
      <c r="AS8763" s="47"/>
    </row>
    <row r="8764" spans="45:45">
      <c r="AS8764" s="47"/>
    </row>
    <row r="8765" spans="45:45">
      <c r="AS8765" s="47"/>
    </row>
    <row r="8766" spans="45:45">
      <c r="AS8766" s="47"/>
    </row>
    <row r="8767" spans="45:45">
      <c r="AS8767" s="47"/>
    </row>
    <row r="8768" spans="45:45">
      <c r="AS8768" s="47"/>
    </row>
    <row r="8769" spans="45:45">
      <c r="AS8769" s="47"/>
    </row>
    <row r="8770" spans="45:45">
      <c r="AS8770" s="47"/>
    </row>
    <row r="8771" spans="45:45">
      <c r="AS8771" s="47"/>
    </row>
    <row r="8772" spans="45:45">
      <c r="AS8772" s="47"/>
    </row>
    <row r="8773" spans="45:45">
      <c r="AS8773" s="47"/>
    </row>
    <row r="8774" spans="45:45">
      <c r="AS8774" s="47"/>
    </row>
    <row r="8775" spans="45:45">
      <c r="AS8775" s="47"/>
    </row>
    <row r="8776" spans="45:45">
      <c r="AS8776" s="47"/>
    </row>
    <row r="8777" spans="45:45">
      <c r="AS8777" s="47"/>
    </row>
    <row r="8778" spans="45:45">
      <c r="AS8778" s="47"/>
    </row>
    <row r="8779" spans="45:45">
      <c r="AS8779" s="47"/>
    </row>
    <row r="8780" spans="45:45">
      <c r="AS8780" s="47"/>
    </row>
    <row r="8781" spans="45:45">
      <c r="AS8781" s="47"/>
    </row>
    <row r="8782" spans="45:45">
      <c r="AS8782" s="47"/>
    </row>
    <row r="8783" spans="45:45">
      <c r="AS8783" s="47"/>
    </row>
    <row r="8784" spans="45:45">
      <c r="AS8784" s="47"/>
    </row>
    <row r="8785" spans="45:45">
      <c r="AS8785" s="47"/>
    </row>
    <row r="8786" spans="45:45">
      <c r="AS8786" s="47"/>
    </row>
    <row r="8787" spans="45:45">
      <c r="AS8787" s="47"/>
    </row>
    <row r="8788" spans="45:45">
      <c r="AS8788" s="47"/>
    </row>
    <row r="8789" spans="45:45">
      <c r="AS8789" s="47"/>
    </row>
    <row r="8790" spans="45:45">
      <c r="AS8790" s="47"/>
    </row>
    <row r="8791" spans="45:45">
      <c r="AS8791" s="47"/>
    </row>
    <row r="8792" spans="45:45">
      <c r="AS8792" s="47"/>
    </row>
    <row r="8793" spans="45:45">
      <c r="AS8793" s="47"/>
    </row>
    <row r="8794" spans="45:45">
      <c r="AS8794" s="47"/>
    </row>
    <row r="8795" spans="45:45">
      <c r="AS8795" s="47"/>
    </row>
    <row r="8796" spans="45:45">
      <c r="AS8796" s="47"/>
    </row>
    <row r="8797" spans="45:45">
      <c r="AS8797" s="47"/>
    </row>
    <row r="8798" spans="45:45">
      <c r="AS8798" s="47"/>
    </row>
    <row r="8799" spans="45:45">
      <c r="AS8799" s="47"/>
    </row>
    <row r="8800" spans="45:45">
      <c r="AS8800" s="47"/>
    </row>
    <row r="8801" spans="45:45">
      <c r="AS8801" s="47"/>
    </row>
    <row r="8802" spans="45:45">
      <c r="AS8802" s="47"/>
    </row>
    <row r="8803" spans="45:45">
      <c r="AS8803" s="47"/>
    </row>
    <row r="8804" spans="45:45">
      <c r="AS8804" s="47"/>
    </row>
    <row r="8805" spans="45:45">
      <c r="AS8805" s="47"/>
    </row>
    <row r="8806" spans="45:45">
      <c r="AS8806" s="47"/>
    </row>
    <row r="8807" spans="45:45">
      <c r="AS8807" s="47"/>
    </row>
    <row r="8808" spans="45:45">
      <c r="AS8808" s="47"/>
    </row>
    <row r="8809" spans="45:45">
      <c r="AS8809" s="47"/>
    </row>
    <row r="8810" spans="45:45">
      <c r="AS8810" s="47"/>
    </row>
    <row r="8811" spans="45:45">
      <c r="AS8811" s="47"/>
    </row>
    <row r="8812" spans="45:45">
      <c r="AS8812" s="47"/>
    </row>
    <row r="8813" spans="45:45">
      <c r="AS8813" s="47"/>
    </row>
    <row r="8814" spans="45:45">
      <c r="AS8814" s="47"/>
    </row>
    <row r="8815" spans="45:45">
      <c r="AS8815" s="47"/>
    </row>
    <row r="8816" spans="45:45">
      <c r="AS8816" s="47"/>
    </row>
    <row r="8817" spans="45:45">
      <c r="AS8817" s="47"/>
    </row>
    <row r="8818" spans="45:45">
      <c r="AS8818" s="47"/>
    </row>
    <row r="8819" spans="45:45">
      <c r="AS8819" s="47"/>
    </row>
    <row r="8820" spans="45:45">
      <c r="AS8820" s="47"/>
    </row>
    <row r="8821" spans="45:45">
      <c r="AS8821" s="47"/>
    </row>
    <row r="8822" spans="45:45">
      <c r="AS8822" s="47"/>
    </row>
    <row r="8823" spans="45:45">
      <c r="AS8823" s="47"/>
    </row>
    <row r="8824" spans="45:45">
      <c r="AS8824" s="47"/>
    </row>
    <row r="8825" spans="45:45">
      <c r="AS8825" s="47"/>
    </row>
    <row r="8826" spans="45:45">
      <c r="AS8826" s="47"/>
    </row>
    <row r="8827" spans="45:45">
      <c r="AS8827" s="47"/>
    </row>
    <row r="8828" spans="45:45">
      <c r="AS8828" s="47"/>
    </row>
    <row r="8829" spans="45:45">
      <c r="AS8829" s="47"/>
    </row>
    <row r="8830" spans="45:45">
      <c r="AS8830" s="47"/>
    </row>
    <row r="8831" spans="45:45">
      <c r="AS8831" s="47"/>
    </row>
    <row r="8832" spans="45:45">
      <c r="AS8832" s="47"/>
    </row>
    <row r="8833" spans="45:45">
      <c r="AS8833" s="47"/>
    </row>
    <row r="8834" spans="45:45">
      <c r="AS8834" s="47"/>
    </row>
    <row r="8835" spans="45:45">
      <c r="AS8835" s="47"/>
    </row>
    <row r="8836" spans="45:45">
      <c r="AS8836" s="47"/>
    </row>
    <row r="8837" spans="45:45">
      <c r="AS8837" s="47"/>
    </row>
    <row r="8838" spans="45:45">
      <c r="AS8838" s="47"/>
    </row>
    <row r="8839" spans="45:45">
      <c r="AS8839" s="47"/>
    </row>
    <row r="8840" spans="45:45">
      <c r="AS8840" s="47"/>
    </row>
    <row r="8841" spans="45:45">
      <c r="AS8841" s="47"/>
    </row>
    <row r="8842" spans="45:45">
      <c r="AS8842" s="47"/>
    </row>
    <row r="8843" spans="45:45">
      <c r="AS8843" s="47"/>
    </row>
    <row r="8844" spans="45:45">
      <c r="AS8844" s="47"/>
    </row>
    <row r="8845" spans="45:45">
      <c r="AS8845" s="47"/>
    </row>
    <row r="8846" spans="45:45">
      <c r="AS8846" s="47"/>
    </row>
    <row r="8847" spans="45:45">
      <c r="AS8847" s="47"/>
    </row>
    <row r="8848" spans="45:45">
      <c r="AS8848" s="47"/>
    </row>
    <row r="8849" spans="45:45">
      <c r="AS8849" s="47"/>
    </row>
    <row r="8850" spans="45:45">
      <c r="AS8850" s="47"/>
    </row>
    <row r="8851" spans="45:45">
      <c r="AS8851" s="47"/>
    </row>
    <row r="8852" spans="45:45">
      <c r="AS8852" s="47"/>
    </row>
    <row r="8853" spans="45:45">
      <c r="AS8853" s="47"/>
    </row>
    <row r="8854" spans="45:45">
      <c r="AS8854" s="47"/>
    </row>
    <row r="8855" spans="45:45">
      <c r="AS8855" s="47"/>
    </row>
    <row r="8856" spans="45:45">
      <c r="AS8856" s="47"/>
    </row>
    <row r="8857" spans="45:45">
      <c r="AS8857" s="47"/>
    </row>
    <row r="8858" spans="45:45">
      <c r="AS8858" s="47"/>
    </row>
    <row r="8859" spans="45:45">
      <c r="AS8859" s="47"/>
    </row>
    <row r="8860" spans="45:45">
      <c r="AS8860" s="47"/>
    </row>
    <row r="8861" spans="45:45">
      <c r="AS8861" s="47"/>
    </row>
    <row r="8862" spans="45:45">
      <c r="AS8862" s="47"/>
    </row>
    <row r="8863" spans="45:45">
      <c r="AS8863" s="47"/>
    </row>
    <row r="8864" spans="45:45">
      <c r="AS8864" s="47"/>
    </row>
    <row r="8865" spans="45:45">
      <c r="AS8865" s="47"/>
    </row>
    <row r="8866" spans="45:45">
      <c r="AS8866" s="47"/>
    </row>
    <row r="8867" spans="45:45">
      <c r="AS8867" s="47"/>
    </row>
    <row r="8868" spans="45:45">
      <c r="AS8868" s="47"/>
    </row>
    <row r="8869" spans="45:45">
      <c r="AS8869" s="47"/>
    </row>
    <row r="8870" spans="45:45">
      <c r="AS8870" s="47"/>
    </row>
    <row r="8871" spans="45:45">
      <c r="AS8871" s="47"/>
    </row>
    <row r="8872" spans="45:45">
      <c r="AS8872" s="47"/>
    </row>
    <row r="8873" spans="45:45">
      <c r="AS8873" s="47"/>
    </row>
    <row r="8874" spans="45:45">
      <c r="AS8874" s="47"/>
    </row>
    <row r="8875" spans="45:45">
      <c r="AS8875" s="47"/>
    </row>
    <row r="8876" spans="45:45">
      <c r="AS8876" s="47"/>
    </row>
    <row r="8877" spans="45:45">
      <c r="AS8877" s="47"/>
    </row>
    <row r="8878" spans="45:45">
      <c r="AS8878" s="47"/>
    </row>
    <row r="8879" spans="45:45">
      <c r="AS8879" s="47"/>
    </row>
    <row r="8880" spans="45:45">
      <c r="AS8880" s="47"/>
    </row>
    <row r="8881" spans="45:45">
      <c r="AS8881" s="47"/>
    </row>
    <row r="8882" spans="45:45">
      <c r="AS8882" s="47"/>
    </row>
    <row r="8883" spans="45:45">
      <c r="AS8883" s="47"/>
    </row>
    <row r="8884" spans="45:45">
      <c r="AS8884" s="47"/>
    </row>
    <row r="8885" spans="45:45">
      <c r="AS8885" s="47"/>
    </row>
    <row r="8886" spans="45:45">
      <c r="AS8886" s="47"/>
    </row>
    <row r="8887" spans="45:45">
      <c r="AS8887" s="47"/>
    </row>
    <row r="8888" spans="45:45">
      <c r="AS8888" s="47"/>
    </row>
    <row r="8889" spans="45:45">
      <c r="AS8889" s="47"/>
    </row>
    <row r="8890" spans="45:45">
      <c r="AS8890" s="47"/>
    </row>
    <row r="8891" spans="45:45">
      <c r="AS8891" s="47"/>
    </row>
    <row r="8892" spans="45:45">
      <c r="AS8892" s="47"/>
    </row>
    <row r="8893" spans="45:45">
      <c r="AS8893" s="47"/>
    </row>
    <row r="8894" spans="45:45">
      <c r="AS8894" s="47"/>
    </row>
    <row r="8895" spans="45:45">
      <c r="AS8895" s="47"/>
    </row>
    <row r="8896" spans="45:45">
      <c r="AS8896" s="47"/>
    </row>
    <row r="8897" spans="45:45">
      <c r="AS8897" s="47"/>
    </row>
    <row r="8898" spans="45:45">
      <c r="AS8898" s="47"/>
    </row>
    <row r="8899" spans="45:45">
      <c r="AS8899" s="47"/>
    </row>
    <row r="8900" spans="45:45">
      <c r="AS8900" s="47"/>
    </row>
    <row r="8901" spans="45:45">
      <c r="AS8901" s="47"/>
    </row>
    <row r="8902" spans="45:45">
      <c r="AS8902" s="47"/>
    </row>
    <row r="8903" spans="45:45">
      <c r="AS8903" s="47"/>
    </row>
    <row r="8904" spans="45:45">
      <c r="AS8904" s="47"/>
    </row>
    <row r="8905" spans="45:45">
      <c r="AS8905" s="47"/>
    </row>
    <row r="8906" spans="45:45">
      <c r="AS8906" s="47"/>
    </row>
    <row r="8907" spans="45:45">
      <c r="AS8907" s="47"/>
    </row>
    <row r="8908" spans="45:45">
      <c r="AS8908" s="47"/>
    </row>
    <row r="8909" spans="45:45">
      <c r="AS8909" s="47"/>
    </row>
    <row r="8910" spans="45:45">
      <c r="AS8910" s="47"/>
    </row>
    <row r="8911" spans="45:45">
      <c r="AS8911" s="47"/>
    </row>
    <row r="8912" spans="45:45">
      <c r="AS8912" s="47"/>
    </row>
    <row r="8913" spans="45:45">
      <c r="AS8913" s="47"/>
    </row>
    <row r="8914" spans="45:45">
      <c r="AS8914" s="47"/>
    </row>
    <row r="8915" spans="45:45">
      <c r="AS8915" s="47"/>
    </row>
    <row r="8916" spans="45:45">
      <c r="AS8916" s="47"/>
    </row>
    <row r="8917" spans="45:45">
      <c r="AS8917" s="47"/>
    </row>
    <row r="8918" spans="45:45">
      <c r="AS8918" s="47"/>
    </row>
    <row r="8919" spans="45:45">
      <c r="AS8919" s="47"/>
    </row>
    <row r="8920" spans="45:45">
      <c r="AS8920" s="47"/>
    </row>
    <row r="8921" spans="45:45">
      <c r="AS8921" s="47"/>
    </row>
    <row r="8922" spans="45:45">
      <c r="AS8922" s="47"/>
    </row>
    <row r="8923" spans="45:45">
      <c r="AS8923" s="47"/>
    </row>
    <row r="8924" spans="45:45">
      <c r="AS8924" s="47"/>
    </row>
    <row r="8925" spans="45:45">
      <c r="AS8925" s="47"/>
    </row>
    <row r="8926" spans="45:45">
      <c r="AS8926" s="47"/>
    </row>
    <row r="8927" spans="45:45">
      <c r="AS8927" s="47"/>
    </row>
    <row r="8928" spans="45:45">
      <c r="AS8928" s="47"/>
    </row>
    <row r="8929" spans="45:45">
      <c r="AS8929" s="47"/>
    </row>
    <row r="8930" spans="45:45">
      <c r="AS8930" s="47"/>
    </row>
    <row r="8931" spans="45:45">
      <c r="AS8931" s="47"/>
    </row>
    <row r="8932" spans="45:45">
      <c r="AS8932" s="47"/>
    </row>
    <row r="8933" spans="45:45">
      <c r="AS8933" s="47"/>
    </row>
    <row r="8934" spans="45:45">
      <c r="AS8934" s="47"/>
    </row>
    <row r="8935" spans="45:45">
      <c r="AS8935" s="47"/>
    </row>
    <row r="8936" spans="45:45">
      <c r="AS8936" s="47"/>
    </row>
    <row r="8937" spans="45:45">
      <c r="AS8937" s="47"/>
    </row>
    <row r="8938" spans="45:45">
      <c r="AS8938" s="47"/>
    </row>
    <row r="8939" spans="45:45">
      <c r="AS8939" s="47"/>
    </row>
    <row r="8940" spans="45:45">
      <c r="AS8940" s="47"/>
    </row>
    <row r="8941" spans="45:45">
      <c r="AS8941" s="47"/>
    </row>
    <row r="8942" spans="45:45">
      <c r="AS8942" s="47"/>
    </row>
    <row r="8943" spans="45:45">
      <c r="AS8943" s="47"/>
    </row>
    <row r="8944" spans="45:45">
      <c r="AS8944" s="47"/>
    </row>
    <row r="8945" spans="45:45">
      <c r="AS8945" s="47"/>
    </row>
    <row r="8946" spans="45:45">
      <c r="AS8946" s="47"/>
    </row>
    <row r="8947" spans="45:45">
      <c r="AS8947" s="47"/>
    </row>
    <row r="8948" spans="45:45">
      <c r="AS8948" s="47"/>
    </row>
    <row r="8949" spans="45:45">
      <c r="AS8949" s="47"/>
    </row>
    <row r="8950" spans="45:45">
      <c r="AS8950" s="47"/>
    </row>
    <row r="8951" spans="45:45">
      <c r="AS8951" s="47"/>
    </row>
    <row r="8952" spans="45:45">
      <c r="AS8952" s="47"/>
    </row>
    <row r="8953" spans="45:45">
      <c r="AS8953" s="47"/>
    </row>
    <row r="8954" spans="45:45">
      <c r="AS8954" s="47"/>
    </row>
    <row r="8955" spans="45:45">
      <c r="AS8955" s="47"/>
    </row>
    <row r="8956" spans="45:45">
      <c r="AS8956" s="47"/>
    </row>
    <row r="8957" spans="45:45">
      <c r="AS8957" s="47"/>
    </row>
    <row r="8958" spans="45:45">
      <c r="AS8958" s="47"/>
    </row>
    <row r="8959" spans="45:45">
      <c r="AS8959" s="47"/>
    </row>
    <row r="8960" spans="45:45">
      <c r="AS8960" s="47"/>
    </row>
    <row r="8961" spans="45:45">
      <c r="AS8961" s="47"/>
    </row>
    <row r="8962" spans="45:45">
      <c r="AS8962" s="47"/>
    </row>
    <row r="8963" spans="45:45">
      <c r="AS8963" s="47"/>
    </row>
    <row r="8964" spans="45:45">
      <c r="AS8964" s="47"/>
    </row>
    <row r="8965" spans="45:45">
      <c r="AS8965" s="47"/>
    </row>
    <row r="8966" spans="45:45">
      <c r="AS8966" s="47"/>
    </row>
    <row r="8967" spans="45:45">
      <c r="AS8967" s="47"/>
    </row>
    <row r="8968" spans="45:45">
      <c r="AS8968" s="47"/>
    </row>
    <row r="8969" spans="45:45">
      <c r="AS8969" s="47"/>
    </row>
    <row r="8970" spans="45:45">
      <c r="AS8970" s="47"/>
    </row>
    <row r="8971" spans="45:45">
      <c r="AS8971" s="47"/>
    </row>
    <row r="8972" spans="45:45">
      <c r="AS8972" s="47"/>
    </row>
    <row r="8973" spans="45:45">
      <c r="AS8973" s="47"/>
    </row>
    <row r="8974" spans="45:45">
      <c r="AS8974" s="47"/>
    </row>
    <row r="8975" spans="45:45">
      <c r="AS8975" s="47"/>
    </row>
    <row r="8976" spans="45:45">
      <c r="AS8976" s="47"/>
    </row>
    <row r="8977" spans="45:45">
      <c r="AS8977" s="47"/>
    </row>
    <row r="8978" spans="45:45">
      <c r="AS8978" s="47"/>
    </row>
    <row r="8979" spans="45:45">
      <c r="AS8979" s="47"/>
    </row>
    <row r="8980" spans="45:45">
      <c r="AS8980" s="47"/>
    </row>
    <row r="8981" spans="45:45">
      <c r="AS8981" s="47"/>
    </row>
    <row r="8982" spans="45:45">
      <c r="AS8982" s="47"/>
    </row>
    <row r="8983" spans="45:45">
      <c r="AS8983" s="47"/>
    </row>
    <row r="8984" spans="45:45">
      <c r="AS8984" s="47"/>
    </row>
    <row r="8985" spans="45:45">
      <c r="AS8985" s="47"/>
    </row>
    <row r="8986" spans="45:45">
      <c r="AS8986" s="47"/>
    </row>
    <row r="8987" spans="45:45">
      <c r="AS8987" s="47"/>
    </row>
    <row r="8988" spans="45:45">
      <c r="AS8988" s="47"/>
    </row>
    <row r="8989" spans="45:45">
      <c r="AS8989" s="47"/>
    </row>
    <row r="8990" spans="45:45">
      <c r="AS8990" s="47"/>
    </row>
    <row r="8991" spans="45:45">
      <c r="AS8991" s="47"/>
    </row>
    <row r="8992" spans="45:45">
      <c r="AS8992" s="47"/>
    </row>
    <row r="8993" spans="45:45">
      <c r="AS8993" s="47"/>
    </row>
    <row r="8994" spans="45:45">
      <c r="AS8994" s="47"/>
    </row>
    <row r="8995" spans="45:45">
      <c r="AS8995" s="47"/>
    </row>
    <row r="8996" spans="45:45">
      <c r="AS8996" s="47"/>
    </row>
    <row r="8997" spans="45:45">
      <c r="AS8997" s="47"/>
    </row>
    <row r="8998" spans="45:45">
      <c r="AS8998" s="47"/>
    </row>
    <row r="8999" spans="45:45">
      <c r="AS8999" s="47"/>
    </row>
    <row r="9000" spans="45:45">
      <c r="AS9000" s="47"/>
    </row>
    <row r="9001" spans="45:45">
      <c r="AS9001" s="47"/>
    </row>
    <row r="9002" spans="45:45">
      <c r="AS9002" s="47"/>
    </row>
    <row r="9003" spans="45:45">
      <c r="AS9003" s="47"/>
    </row>
    <row r="9004" spans="45:45">
      <c r="AS9004" s="47"/>
    </row>
    <row r="9005" spans="45:45">
      <c r="AS9005" s="47"/>
    </row>
    <row r="9006" spans="45:45">
      <c r="AS9006" s="47"/>
    </row>
    <row r="9007" spans="45:45">
      <c r="AS9007" s="47"/>
    </row>
    <row r="9008" spans="45:45">
      <c r="AS9008" s="47"/>
    </row>
    <row r="9009" spans="45:45">
      <c r="AS9009" s="47"/>
    </row>
    <row r="9010" spans="45:45">
      <c r="AS9010" s="47"/>
    </row>
    <row r="9011" spans="45:45">
      <c r="AS9011" s="47"/>
    </row>
    <row r="9012" spans="45:45">
      <c r="AS9012" s="47"/>
    </row>
    <row r="9013" spans="45:45">
      <c r="AS9013" s="47"/>
    </row>
    <row r="9014" spans="45:45">
      <c r="AS9014" s="47"/>
    </row>
    <row r="9015" spans="45:45">
      <c r="AS9015" s="47"/>
    </row>
    <row r="9016" spans="45:45">
      <c r="AS9016" s="47"/>
    </row>
    <row r="9017" spans="45:45">
      <c r="AS9017" s="47"/>
    </row>
    <row r="9018" spans="45:45">
      <c r="AS9018" s="47"/>
    </row>
    <row r="9019" spans="45:45">
      <c r="AS9019" s="47"/>
    </row>
    <row r="9020" spans="45:45">
      <c r="AS9020" s="47"/>
    </row>
    <row r="9021" spans="45:45">
      <c r="AS9021" s="47"/>
    </row>
    <row r="9022" spans="45:45">
      <c r="AS9022" s="47"/>
    </row>
    <row r="9023" spans="45:45">
      <c r="AS9023" s="47"/>
    </row>
    <row r="9024" spans="45:45">
      <c r="AS9024" s="47"/>
    </row>
    <row r="9025" spans="45:45">
      <c r="AS9025" s="47"/>
    </row>
    <row r="9026" spans="45:45">
      <c r="AS9026" s="47"/>
    </row>
    <row r="9027" spans="45:45">
      <c r="AS9027" s="47"/>
    </row>
    <row r="9028" spans="45:45">
      <c r="AS9028" s="47"/>
    </row>
    <row r="9029" spans="45:45">
      <c r="AS9029" s="47"/>
    </row>
    <row r="9030" spans="45:45">
      <c r="AS9030" s="47"/>
    </row>
    <row r="9031" spans="45:45">
      <c r="AS9031" s="47"/>
    </row>
    <row r="9032" spans="45:45">
      <c r="AS9032" s="47"/>
    </row>
    <row r="9033" spans="45:45">
      <c r="AS9033" s="47"/>
    </row>
    <row r="9034" spans="45:45">
      <c r="AS9034" s="47"/>
    </row>
    <row r="9035" spans="45:45">
      <c r="AS9035" s="47"/>
    </row>
    <row r="9036" spans="45:45">
      <c r="AS9036" s="47"/>
    </row>
    <row r="9037" spans="45:45">
      <c r="AS9037" s="47"/>
    </row>
    <row r="9038" spans="45:45">
      <c r="AS9038" s="47"/>
    </row>
    <row r="9039" spans="45:45">
      <c r="AS9039" s="47"/>
    </row>
    <row r="9040" spans="45:45">
      <c r="AS9040" s="47"/>
    </row>
    <row r="9041" spans="45:45">
      <c r="AS9041" s="47"/>
    </row>
    <row r="9042" spans="45:45">
      <c r="AS9042" s="47"/>
    </row>
    <row r="9043" spans="45:45">
      <c r="AS9043" s="47"/>
    </row>
    <row r="9044" spans="45:45">
      <c r="AS9044" s="47"/>
    </row>
    <row r="9045" spans="45:45">
      <c r="AS9045" s="47"/>
    </row>
    <row r="9046" spans="45:45">
      <c r="AS9046" s="47"/>
    </row>
    <row r="9047" spans="45:45">
      <c r="AS9047" s="47"/>
    </row>
    <row r="9048" spans="45:45">
      <c r="AS9048" s="47"/>
    </row>
    <row r="9049" spans="45:45">
      <c r="AS9049" s="47"/>
    </row>
    <row r="9050" spans="45:45">
      <c r="AS9050" s="47"/>
    </row>
    <row r="9051" spans="45:45">
      <c r="AS9051" s="47"/>
    </row>
    <row r="9052" spans="45:45">
      <c r="AS9052" s="47"/>
    </row>
    <row r="9053" spans="45:45">
      <c r="AS9053" s="47"/>
    </row>
    <row r="9054" spans="45:45">
      <c r="AS9054" s="47"/>
    </row>
    <row r="9055" spans="45:45">
      <c r="AS9055" s="47"/>
    </row>
    <row r="9056" spans="45:45">
      <c r="AS9056" s="47"/>
    </row>
    <row r="9057" spans="45:45">
      <c r="AS9057" s="47"/>
    </row>
    <row r="9058" spans="45:45">
      <c r="AS9058" s="47"/>
    </row>
    <row r="9059" spans="45:45">
      <c r="AS9059" s="47"/>
    </row>
    <row r="9060" spans="45:45">
      <c r="AS9060" s="47"/>
    </row>
    <row r="9061" spans="45:45">
      <c r="AS9061" s="47"/>
    </row>
    <row r="9062" spans="45:45">
      <c r="AS9062" s="47"/>
    </row>
    <row r="9063" spans="45:45">
      <c r="AS9063" s="47"/>
    </row>
    <row r="9064" spans="45:45">
      <c r="AS9064" s="47"/>
    </row>
    <row r="9065" spans="45:45">
      <c r="AS9065" s="47"/>
    </row>
    <row r="9066" spans="45:45">
      <c r="AS9066" s="47"/>
    </row>
    <row r="9067" spans="45:45">
      <c r="AS9067" s="47"/>
    </row>
    <row r="9068" spans="45:45">
      <c r="AS9068" s="47"/>
    </row>
    <row r="9069" spans="45:45">
      <c r="AS9069" s="47"/>
    </row>
    <row r="9070" spans="45:45">
      <c r="AS9070" s="47"/>
    </row>
    <row r="9071" spans="45:45">
      <c r="AS9071" s="47"/>
    </row>
    <row r="9072" spans="45:45">
      <c r="AS9072" s="47"/>
    </row>
    <row r="9073" spans="45:45">
      <c r="AS9073" s="47"/>
    </row>
    <row r="9074" spans="45:45">
      <c r="AS9074" s="47"/>
    </row>
    <row r="9075" spans="45:45">
      <c r="AS9075" s="47"/>
    </row>
    <row r="9076" spans="45:45">
      <c r="AS9076" s="47"/>
    </row>
    <row r="9077" spans="45:45">
      <c r="AS9077" s="47"/>
    </row>
    <row r="9078" spans="45:45">
      <c r="AS9078" s="47"/>
    </row>
    <row r="9079" spans="45:45">
      <c r="AS9079" s="47"/>
    </row>
    <row r="9080" spans="45:45">
      <c r="AS9080" s="47"/>
    </row>
    <row r="9081" spans="45:45">
      <c r="AS9081" s="47"/>
    </row>
    <row r="9082" spans="45:45">
      <c r="AS9082" s="47"/>
    </row>
    <row r="9083" spans="45:45">
      <c r="AS9083" s="47"/>
    </row>
    <row r="9084" spans="45:45">
      <c r="AS9084" s="47"/>
    </row>
    <row r="9085" spans="45:45">
      <c r="AS9085" s="47"/>
    </row>
    <row r="9086" spans="45:45">
      <c r="AS9086" s="47"/>
    </row>
    <row r="9087" spans="45:45">
      <c r="AS9087" s="47"/>
    </row>
    <row r="9088" spans="45:45">
      <c r="AS9088" s="47"/>
    </row>
    <row r="9089" spans="45:45">
      <c r="AS9089" s="47"/>
    </row>
    <row r="9090" spans="45:45">
      <c r="AS9090" s="47"/>
    </row>
    <row r="9091" spans="45:45">
      <c r="AS9091" s="47"/>
    </row>
    <row r="9092" spans="45:45">
      <c r="AS9092" s="47"/>
    </row>
    <row r="9093" spans="45:45">
      <c r="AS9093" s="47"/>
    </row>
    <row r="9094" spans="45:45">
      <c r="AS9094" s="47"/>
    </row>
    <row r="9095" spans="45:45">
      <c r="AS9095" s="47"/>
    </row>
    <row r="9096" spans="45:45">
      <c r="AS9096" s="47"/>
    </row>
    <row r="9097" spans="45:45">
      <c r="AS9097" s="47"/>
    </row>
    <row r="9098" spans="45:45">
      <c r="AS9098" s="47"/>
    </row>
    <row r="9099" spans="45:45">
      <c r="AS9099" s="47"/>
    </row>
    <row r="9100" spans="45:45">
      <c r="AS9100" s="47"/>
    </row>
    <row r="9101" spans="45:45">
      <c r="AS9101" s="47"/>
    </row>
    <row r="9102" spans="45:45">
      <c r="AS9102" s="47"/>
    </row>
    <row r="9103" spans="45:45">
      <c r="AS9103" s="47"/>
    </row>
    <row r="9104" spans="45:45">
      <c r="AS9104" s="47"/>
    </row>
    <row r="9105" spans="45:45">
      <c r="AS9105" s="47"/>
    </row>
    <row r="9106" spans="45:45">
      <c r="AS9106" s="47"/>
    </row>
    <row r="9107" spans="45:45">
      <c r="AS9107" s="47"/>
    </row>
    <row r="9108" spans="45:45">
      <c r="AS9108" s="47"/>
    </row>
    <row r="9109" spans="45:45">
      <c r="AS9109" s="47"/>
    </row>
    <row r="9110" spans="45:45">
      <c r="AS9110" s="47"/>
    </row>
    <row r="9111" spans="45:45">
      <c r="AS9111" s="47"/>
    </row>
    <row r="9112" spans="45:45">
      <c r="AS9112" s="47"/>
    </row>
    <row r="9113" spans="45:45">
      <c r="AS9113" s="47"/>
    </row>
    <row r="9114" spans="45:45">
      <c r="AS9114" s="47"/>
    </row>
    <row r="9115" spans="45:45">
      <c r="AS9115" s="47"/>
    </row>
    <row r="9116" spans="45:45">
      <c r="AS9116" s="47"/>
    </row>
    <row r="9117" spans="45:45">
      <c r="AS9117" s="47"/>
    </row>
    <row r="9118" spans="45:45">
      <c r="AS9118" s="47"/>
    </row>
    <row r="9119" spans="45:45">
      <c r="AS9119" s="47"/>
    </row>
    <row r="9120" spans="45:45">
      <c r="AS9120" s="47"/>
    </row>
    <row r="9121" spans="45:45">
      <c r="AS9121" s="47"/>
    </row>
    <row r="9122" spans="45:45">
      <c r="AS9122" s="47"/>
    </row>
    <row r="9123" spans="45:45">
      <c r="AS9123" s="47"/>
    </row>
    <row r="9124" spans="45:45">
      <c r="AS9124" s="47"/>
    </row>
    <row r="9125" spans="45:45">
      <c r="AS9125" s="47"/>
    </row>
    <row r="9126" spans="45:45">
      <c r="AS9126" s="47"/>
    </row>
    <row r="9127" spans="45:45">
      <c r="AS9127" s="47"/>
    </row>
    <row r="9128" spans="45:45">
      <c r="AS9128" s="47"/>
    </row>
    <row r="9129" spans="45:45">
      <c r="AS9129" s="47"/>
    </row>
    <row r="9130" spans="45:45">
      <c r="AS9130" s="47"/>
    </row>
    <row r="9131" spans="45:45">
      <c r="AS9131" s="47"/>
    </row>
    <row r="9132" spans="45:45">
      <c r="AS9132" s="47"/>
    </row>
    <row r="9133" spans="45:45">
      <c r="AS9133" s="47"/>
    </row>
    <row r="9134" spans="45:45">
      <c r="AS9134" s="47"/>
    </row>
    <row r="9135" spans="45:45">
      <c r="AS9135" s="47"/>
    </row>
    <row r="9136" spans="45:45">
      <c r="AS9136" s="47"/>
    </row>
    <row r="9137" spans="45:45">
      <c r="AS9137" s="47"/>
    </row>
    <row r="9138" spans="45:45">
      <c r="AS9138" s="47"/>
    </row>
    <row r="9139" spans="45:45">
      <c r="AS9139" s="47"/>
    </row>
    <row r="9140" spans="45:45">
      <c r="AS9140" s="47"/>
    </row>
    <row r="9141" spans="45:45">
      <c r="AS9141" s="47"/>
    </row>
    <row r="9142" spans="45:45">
      <c r="AS9142" s="47"/>
    </row>
    <row r="9143" spans="45:45">
      <c r="AS9143" s="47"/>
    </row>
    <row r="9144" spans="45:45">
      <c r="AS9144" s="47"/>
    </row>
    <row r="9145" spans="45:45">
      <c r="AS9145" s="47"/>
    </row>
    <row r="9146" spans="45:45">
      <c r="AS9146" s="47"/>
    </row>
    <row r="9147" spans="45:45">
      <c r="AS9147" s="47"/>
    </row>
    <row r="9148" spans="45:45">
      <c r="AS9148" s="47"/>
    </row>
    <row r="9149" spans="45:45">
      <c r="AS9149" s="47"/>
    </row>
    <row r="9150" spans="45:45">
      <c r="AS9150" s="47"/>
    </row>
    <row r="9151" spans="45:45">
      <c r="AS9151" s="47"/>
    </row>
    <row r="9152" spans="45:45">
      <c r="AS9152" s="47"/>
    </row>
    <row r="9153" spans="45:45">
      <c r="AS9153" s="47"/>
    </row>
    <row r="9154" spans="45:45">
      <c r="AS9154" s="47"/>
    </row>
    <row r="9155" spans="45:45">
      <c r="AS9155" s="47"/>
    </row>
    <row r="9156" spans="45:45">
      <c r="AS9156" s="47"/>
    </row>
    <row r="9157" spans="45:45">
      <c r="AS9157" s="47"/>
    </row>
    <row r="9158" spans="45:45">
      <c r="AS9158" s="47"/>
    </row>
    <row r="9159" spans="45:45">
      <c r="AS9159" s="47"/>
    </row>
    <row r="9160" spans="45:45">
      <c r="AS9160" s="47"/>
    </row>
    <row r="9161" spans="45:45">
      <c r="AS9161" s="47"/>
    </row>
    <row r="9162" spans="45:45">
      <c r="AS9162" s="47"/>
    </row>
    <row r="9163" spans="45:45">
      <c r="AS9163" s="47"/>
    </row>
    <row r="9164" spans="45:45">
      <c r="AS9164" s="47"/>
    </row>
    <row r="9165" spans="45:45">
      <c r="AS9165" s="47"/>
    </row>
    <row r="9166" spans="45:45">
      <c r="AS9166" s="47"/>
    </row>
    <row r="9167" spans="45:45">
      <c r="AS9167" s="47"/>
    </row>
    <row r="9168" spans="45:45">
      <c r="AS9168" s="47"/>
    </row>
    <row r="9169" spans="45:45">
      <c r="AS9169" s="47"/>
    </row>
    <row r="9170" spans="45:45">
      <c r="AS9170" s="47"/>
    </row>
    <row r="9171" spans="45:45">
      <c r="AS9171" s="47"/>
    </row>
    <row r="9172" spans="45:45">
      <c r="AS9172" s="47"/>
    </row>
    <row r="9173" spans="45:45">
      <c r="AS9173" s="47"/>
    </row>
    <row r="9174" spans="45:45">
      <c r="AS9174" s="47"/>
    </row>
    <row r="9175" spans="45:45">
      <c r="AS9175" s="47"/>
    </row>
    <row r="9176" spans="45:45">
      <c r="AS9176" s="47"/>
    </row>
    <row r="9177" spans="45:45">
      <c r="AS9177" s="47"/>
    </row>
    <row r="9178" spans="45:45">
      <c r="AS9178" s="47"/>
    </row>
    <row r="9179" spans="45:45">
      <c r="AS9179" s="47"/>
    </row>
    <row r="9180" spans="45:45">
      <c r="AS9180" s="47"/>
    </row>
    <row r="9181" spans="45:45">
      <c r="AS9181" s="47"/>
    </row>
    <row r="9182" spans="45:45">
      <c r="AS9182" s="47"/>
    </row>
    <row r="9183" spans="45:45">
      <c r="AS9183" s="47"/>
    </row>
    <row r="9184" spans="45:45">
      <c r="AS9184" s="47"/>
    </row>
    <row r="9185" spans="45:45">
      <c r="AS9185" s="47"/>
    </row>
    <row r="9186" spans="45:45">
      <c r="AS9186" s="47"/>
    </row>
    <row r="9187" spans="45:45">
      <c r="AS9187" s="47"/>
    </row>
    <row r="9188" spans="45:45">
      <c r="AS9188" s="47"/>
    </row>
    <row r="9189" spans="45:45">
      <c r="AS9189" s="47"/>
    </row>
    <row r="9190" spans="45:45">
      <c r="AS9190" s="47"/>
    </row>
    <row r="9191" spans="45:45">
      <c r="AS9191" s="47"/>
    </row>
    <row r="9192" spans="45:45">
      <c r="AS9192" s="47"/>
    </row>
    <row r="9193" spans="45:45">
      <c r="AS9193" s="47"/>
    </row>
    <row r="9194" spans="45:45">
      <c r="AS9194" s="47"/>
    </row>
    <row r="9195" spans="45:45">
      <c r="AS9195" s="47"/>
    </row>
    <row r="9196" spans="45:45">
      <c r="AS9196" s="47"/>
    </row>
    <row r="9197" spans="45:45">
      <c r="AS9197" s="47"/>
    </row>
    <row r="9198" spans="45:45">
      <c r="AS9198" s="47"/>
    </row>
    <row r="9199" spans="45:45">
      <c r="AS9199" s="47"/>
    </row>
    <row r="9200" spans="45:45">
      <c r="AS9200" s="47"/>
    </row>
    <row r="9201" spans="45:45">
      <c r="AS9201" s="47"/>
    </row>
    <row r="9202" spans="45:45">
      <c r="AS9202" s="47"/>
    </row>
    <row r="9203" spans="45:45">
      <c r="AS9203" s="47"/>
    </row>
    <row r="9204" spans="45:45">
      <c r="AS9204" s="47"/>
    </row>
    <row r="9205" spans="45:45">
      <c r="AS9205" s="47"/>
    </row>
    <row r="9206" spans="45:45">
      <c r="AS9206" s="47"/>
    </row>
    <row r="9207" spans="45:45">
      <c r="AS9207" s="47"/>
    </row>
    <row r="9208" spans="45:45">
      <c r="AS9208" s="47"/>
    </row>
    <row r="9209" spans="45:45">
      <c r="AS9209" s="47"/>
    </row>
    <row r="9210" spans="45:45">
      <c r="AS9210" s="47"/>
    </row>
    <row r="9211" spans="45:45">
      <c r="AS9211" s="47"/>
    </row>
    <row r="9212" spans="45:45">
      <c r="AS9212" s="47"/>
    </row>
    <row r="9213" spans="45:45">
      <c r="AS9213" s="47"/>
    </row>
    <row r="9214" spans="45:45">
      <c r="AS9214" s="47"/>
    </row>
    <row r="9215" spans="45:45">
      <c r="AS9215" s="47"/>
    </row>
    <row r="9216" spans="45:45">
      <c r="AS9216" s="47"/>
    </row>
    <row r="9217" spans="45:45">
      <c r="AS9217" s="47"/>
    </row>
    <row r="9218" spans="45:45">
      <c r="AS9218" s="47"/>
    </row>
    <row r="9219" spans="45:45">
      <c r="AS9219" s="47"/>
    </row>
    <row r="9220" spans="45:45">
      <c r="AS9220" s="47"/>
    </row>
    <row r="9221" spans="45:45">
      <c r="AS9221" s="47"/>
    </row>
    <row r="9222" spans="45:45">
      <c r="AS9222" s="47"/>
    </row>
    <row r="9223" spans="45:45">
      <c r="AS9223" s="47"/>
    </row>
    <row r="9224" spans="45:45">
      <c r="AS9224" s="47"/>
    </row>
    <row r="9225" spans="45:45">
      <c r="AS9225" s="47"/>
    </row>
    <row r="9226" spans="45:45">
      <c r="AS9226" s="47"/>
    </row>
    <row r="9227" spans="45:45">
      <c r="AS9227" s="47"/>
    </row>
    <row r="9228" spans="45:45">
      <c r="AS9228" s="47"/>
    </row>
    <row r="9229" spans="45:45">
      <c r="AS9229" s="47"/>
    </row>
    <row r="9230" spans="45:45">
      <c r="AS9230" s="47"/>
    </row>
    <row r="9231" spans="45:45">
      <c r="AS9231" s="47"/>
    </row>
    <row r="9232" spans="45:45">
      <c r="AS9232" s="47"/>
    </row>
    <row r="9233" spans="45:45">
      <c r="AS9233" s="47"/>
    </row>
    <row r="9234" spans="45:45">
      <c r="AS9234" s="47"/>
    </row>
    <row r="9235" spans="45:45">
      <c r="AS9235" s="47"/>
    </row>
    <row r="9236" spans="45:45">
      <c r="AS9236" s="47"/>
    </row>
    <row r="9237" spans="45:45">
      <c r="AS9237" s="47"/>
    </row>
    <row r="9238" spans="45:45">
      <c r="AS9238" s="47"/>
    </row>
    <row r="9239" spans="45:45">
      <c r="AS9239" s="47"/>
    </row>
    <row r="9240" spans="45:45">
      <c r="AS9240" s="47"/>
    </row>
    <row r="9241" spans="45:45">
      <c r="AS9241" s="47"/>
    </row>
    <row r="9242" spans="45:45">
      <c r="AS9242" s="47"/>
    </row>
    <row r="9243" spans="45:45">
      <c r="AS9243" s="47"/>
    </row>
    <row r="9244" spans="45:45">
      <c r="AS9244" s="47"/>
    </row>
    <row r="9245" spans="45:45">
      <c r="AS9245" s="47"/>
    </row>
    <row r="9246" spans="45:45">
      <c r="AS9246" s="47"/>
    </row>
    <row r="9247" spans="45:45">
      <c r="AS9247" s="47"/>
    </row>
    <row r="9248" spans="45:45">
      <c r="AS9248" s="47"/>
    </row>
    <row r="9249" spans="45:45">
      <c r="AS9249" s="47"/>
    </row>
    <row r="9250" spans="45:45">
      <c r="AS9250" s="47"/>
    </row>
    <row r="9251" spans="45:45">
      <c r="AS9251" s="47"/>
    </row>
    <row r="9252" spans="45:45">
      <c r="AS9252" s="47"/>
    </row>
    <row r="9253" spans="45:45">
      <c r="AS9253" s="47"/>
    </row>
    <row r="9254" spans="45:45">
      <c r="AS9254" s="47"/>
    </row>
    <row r="9255" spans="45:45">
      <c r="AS9255" s="47"/>
    </row>
    <row r="9256" spans="45:45">
      <c r="AS9256" s="47"/>
    </row>
    <row r="9257" spans="45:45">
      <c r="AS9257" s="47"/>
    </row>
    <row r="9258" spans="45:45">
      <c r="AS9258" s="47"/>
    </row>
    <row r="9259" spans="45:45">
      <c r="AS9259" s="47"/>
    </row>
    <row r="9260" spans="45:45">
      <c r="AS9260" s="47"/>
    </row>
    <row r="9261" spans="45:45">
      <c r="AS9261" s="47"/>
    </row>
    <row r="9262" spans="45:45">
      <c r="AS9262" s="47"/>
    </row>
    <row r="9263" spans="45:45">
      <c r="AS9263" s="47"/>
    </row>
    <row r="9264" spans="45:45">
      <c r="AS9264" s="47"/>
    </row>
    <row r="9265" spans="45:45">
      <c r="AS9265" s="47"/>
    </row>
    <row r="9266" spans="45:45">
      <c r="AS9266" s="47"/>
    </row>
    <row r="9267" spans="45:45">
      <c r="AS9267" s="47"/>
    </row>
    <row r="9268" spans="45:45">
      <c r="AS9268" s="47"/>
    </row>
    <row r="9269" spans="45:45">
      <c r="AS9269" s="47"/>
    </row>
    <row r="9270" spans="45:45">
      <c r="AS9270" s="47"/>
    </row>
    <row r="9271" spans="45:45">
      <c r="AS9271" s="47"/>
    </row>
    <row r="9272" spans="45:45">
      <c r="AS9272" s="47"/>
    </row>
    <row r="9273" spans="45:45">
      <c r="AS9273" s="47"/>
    </row>
    <row r="9274" spans="45:45">
      <c r="AS9274" s="47"/>
    </row>
    <row r="9275" spans="45:45">
      <c r="AS9275" s="47"/>
    </row>
    <row r="9276" spans="45:45">
      <c r="AS9276" s="47"/>
    </row>
    <row r="9277" spans="45:45">
      <c r="AS9277" s="47"/>
    </row>
    <row r="9278" spans="45:45">
      <c r="AS9278" s="47"/>
    </row>
    <row r="9279" spans="45:45">
      <c r="AS9279" s="47"/>
    </row>
    <row r="9280" spans="45:45">
      <c r="AS9280" s="47"/>
    </row>
    <row r="9281" spans="45:45">
      <c r="AS9281" s="47"/>
    </row>
    <row r="9282" spans="45:45">
      <c r="AS9282" s="47"/>
    </row>
    <row r="9283" spans="45:45">
      <c r="AS9283" s="47"/>
    </row>
    <row r="9284" spans="45:45">
      <c r="AS9284" s="47"/>
    </row>
    <row r="9285" spans="45:45">
      <c r="AS9285" s="47"/>
    </row>
    <row r="9286" spans="45:45">
      <c r="AS9286" s="47"/>
    </row>
    <row r="9287" spans="45:45">
      <c r="AS9287" s="47"/>
    </row>
    <row r="9288" spans="45:45">
      <c r="AS9288" s="47"/>
    </row>
    <row r="9289" spans="45:45">
      <c r="AS9289" s="47"/>
    </row>
    <row r="9290" spans="45:45">
      <c r="AS9290" s="47"/>
    </row>
    <row r="9291" spans="45:45">
      <c r="AS9291" s="47"/>
    </row>
    <row r="9292" spans="45:45">
      <c r="AS9292" s="47"/>
    </row>
    <row r="9293" spans="45:45">
      <c r="AS9293" s="47"/>
    </row>
    <row r="9294" spans="45:45">
      <c r="AS9294" s="47"/>
    </row>
    <row r="9295" spans="45:45">
      <c r="AS9295" s="47"/>
    </row>
    <row r="9296" spans="45:45">
      <c r="AS9296" s="47"/>
    </row>
    <row r="9297" spans="45:45">
      <c r="AS9297" s="47"/>
    </row>
    <row r="9298" spans="45:45">
      <c r="AS9298" s="47"/>
    </row>
    <row r="9299" spans="45:45">
      <c r="AS9299" s="47"/>
    </row>
    <row r="9300" spans="45:45">
      <c r="AS9300" s="47"/>
    </row>
    <row r="9301" spans="45:45">
      <c r="AS9301" s="47"/>
    </row>
    <row r="9302" spans="45:45">
      <c r="AS9302" s="47"/>
    </row>
    <row r="9303" spans="45:45">
      <c r="AS9303" s="47"/>
    </row>
    <row r="9304" spans="45:45">
      <c r="AS9304" s="47"/>
    </row>
    <row r="9305" spans="45:45">
      <c r="AS9305" s="47"/>
    </row>
    <row r="9306" spans="45:45">
      <c r="AS9306" s="47"/>
    </row>
    <row r="9307" spans="45:45">
      <c r="AS9307" s="47"/>
    </row>
    <row r="9308" spans="45:45">
      <c r="AS9308" s="47"/>
    </row>
    <row r="9309" spans="45:45">
      <c r="AS9309" s="47"/>
    </row>
    <row r="9310" spans="45:45">
      <c r="AS9310" s="47"/>
    </row>
    <row r="9311" spans="45:45">
      <c r="AS9311" s="47"/>
    </row>
    <row r="9312" spans="45:45">
      <c r="AS9312" s="47"/>
    </row>
    <row r="9313" spans="45:45">
      <c r="AS9313" s="47"/>
    </row>
    <row r="9314" spans="45:45">
      <c r="AS9314" s="47"/>
    </row>
    <row r="9315" spans="45:45">
      <c r="AS9315" s="47"/>
    </row>
    <row r="9316" spans="45:45">
      <c r="AS9316" s="47"/>
    </row>
    <row r="9317" spans="45:45">
      <c r="AS9317" s="47"/>
    </row>
    <row r="9318" spans="45:45">
      <c r="AS9318" s="47"/>
    </row>
    <row r="9319" spans="45:45">
      <c r="AS9319" s="47"/>
    </row>
    <row r="9320" spans="45:45">
      <c r="AS9320" s="47"/>
    </row>
    <row r="9321" spans="45:45">
      <c r="AS9321" s="47"/>
    </row>
    <row r="9322" spans="45:45">
      <c r="AS9322" s="47"/>
    </row>
    <row r="9323" spans="45:45">
      <c r="AS9323" s="47"/>
    </row>
    <row r="9324" spans="45:45">
      <c r="AS9324" s="47"/>
    </row>
    <row r="9325" spans="45:45">
      <c r="AS9325" s="47"/>
    </row>
    <row r="9326" spans="45:45">
      <c r="AS9326" s="47"/>
    </row>
    <row r="9327" spans="45:45">
      <c r="AS9327" s="47"/>
    </row>
    <row r="9328" spans="45:45">
      <c r="AS9328" s="47"/>
    </row>
    <row r="9329" spans="45:45">
      <c r="AS9329" s="47"/>
    </row>
    <row r="9330" spans="45:45">
      <c r="AS9330" s="47"/>
    </row>
    <row r="9331" spans="45:45">
      <c r="AS9331" s="47"/>
    </row>
    <row r="9332" spans="45:45">
      <c r="AS9332" s="47"/>
    </row>
    <row r="9333" spans="45:45">
      <c r="AS9333" s="47"/>
    </row>
    <row r="9334" spans="45:45">
      <c r="AS9334" s="47"/>
    </row>
    <row r="9335" spans="45:45">
      <c r="AS9335" s="47"/>
    </row>
    <row r="9336" spans="45:45">
      <c r="AS9336" s="47"/>
    </row>
    <row r="9337" spans="45:45">
      <c r="AS9337" s="47"/>
    </row>
    <row r="9338" spans="45:45">
      <c r="AS9338" s="47"/>
    </row>
    <row r="9339" spans="45:45">
      <c r="AS9339" s="47"/>
    </row>
    <row r="9340" spans="45:45">
      <c r="AS9340" s="47"/>
    </row>
    <row r="9341" spans="45:45">
      <c r="AS9341" s="47"/>
    </row>
    <row r="9342" spans="45:45">
      <c r="AS9342" s="47"/>
    </row>
    <row r="9343" spans="45:45">
      <c r="AS9343" s="47"/>
    </row>
    <row r="9344" spans="45:45">
      <c r="AS9344" s="47"/>
    </row>
    <row r="9345" spans="45:45">
      <c r="AS9345" s="47"/>
    </row>
    <row r="9346" spans="45:45">
      <c r="AS9346" s="47"/>
    </row>
    <row r="9347" spans="45:45">
      <c r="AS9347" s="47"/>
    </row>
    <row r="9348" spans="45:45">
      <c r="AS9348" s="47"/>
    </row>
    <row r="9349" spans="45:45">
      <c r="AS9349" s="47"/>
    </row>
    <row r="9350" spans="45:45">
      <c r="AS9350" s="47"/>
    </row>
    <row r="9351" spans="45:45">
      <c r="AS9351" s="47"/>
    </row>
    <row r="9352" spans="45:45">
      <c r="AS9352" s="47"/>
    </row>
    <row r="9353" spans="45:45">
      <c r="AS9353" s="47"/>
    </row>
    <row r="9354" spans="45:45">
      <c r="AS9354" s="47"/>
    </row>
    <row r="9355" spans="45:45">
      <c r="AS9355" s="47"/>
    </row>
    <row r="9356" spans="45:45">
      <c r="AS9356" s="47"/>
    </row>
    <row r="9357" spans="45:45">
      <c r="AS9357" s="47"/>
    </row>
    <row r="9358" spans="45:45">
      <c r="AS9358" s="47"/>
    </row>
    <row r="9359" spans="45:45">
      <c r="AS9359" s="47"/>
    </row>
    <row r="9360" spans="45:45">
      <c r="AS9360" s="47"/>
    </row>
    <row r="9361" spans="45:45">
      <c r="AS9361" s="47"/>
    </row>
    <row r="9362" spans="45:45">
      <c r="AS9362" s="47"/>
    </row>
    <row r="9363" spans="45:45">
      <c r="AS9363" s="47"/>
    </row>
    <row r="9364" spans="45:45">
      <c r="AS9364" s="47"/>
    </row>
    <row r="9365" spans="45:45">
      <c r="AS9365" s="47"/>
    </row>
    <row r="9366" spans="45:45">
      <c r="AS9366" s="47"/>
    </row>
    <row r="9367" spans="45:45">
      <c r="AS9367" s="47"/>
    </row>
    <row r="9368" spans="45:45">
      <c r="AS9368" s="47"/>
    </row>
    <row r="9369" spans="45:45">
      <c r="AS9369" s="47"/>
    </row>
    <row r="9370" spans="45:45">
      <c r="AS9370" s="47"/>
    </row>
    <row r="9371" spans="45:45">
      <c r="AS9371" s="47"/>
    </row>
    <row r="9372" spans="45:45">
      <c r="AS9372" s="47"/>
    </row>
    <row r="9373" spans="45:45">
      <c r="AS9373" s="47"/>
    </row>
    <row r="9374" spans="45:45">
      <c r="AS9374" s="47"/>
    </row>
    <row r="9375" spans="45:45">
      <c r="AS9375" s="47"/>
    </row>
    <row r="9376" spans="45:45">
      <c r="AS9376" s="47"/>
    </row>
    <row r="9377" spans="45:45">
      <c r="AS9377" s="47"/>
    </row>
    <row r="9378" spans="45:45">
      <c r="AS9378" s="47"/>
    </row>
    <row r="9379" spans="45:45">
      <c r="AS9379" s="47"/>
    </row>
    <row r="9380" spans="45:45">
      <c r="AS9380" s="47"/>
    </row>
    <row r="9381" spans="45:45">
      <c r="AS9381" s="47"/>
    </row>
    <row r="9382" spans="45:45">
      <c r="AS9382" s="47"/>
    </row>
    <row r="9383" spans="45:45">
      <c r="AS9383" s="47"/>
    </row>
    <row r="9384" spans="45:45">
      <c r="AS9384" s="47"/>
    </row>
    <row r="9385" spans="45:45">
      <c r="AS9385" s="47"/>
    </row>
    <row r="9386" spans="45:45">
      <c r="AS9386" s="47"/>
    </row>
    <row r="9387" spans="45:45">
      <c r="AS9387" s="47"/>
    </row>
    <row r="9388" spans="45:45">
      <c r="AS9388" s="47"/>
    </row>
    <row r="9389" spans="45:45">
      <c r="AS9389" s="47"/>
    </row>
    <row r="9390" spans="45:45">
      <c r="AS9390" s="47"/>
    </row>
    <row r="9391" spans="45:45">
      <c r="AS9391" s="47"/>
    </row>
    <row r="9392" spans="45:45">
      <c r="AS9392" s="47"/>
    </row>
    <row r="9393" spans="45:45">
      <c r="AS9393" s="47"/>
    </row>
    <row r="9394" spans="45:45">
      <c r="AS9394" s="47"/>
    </row>
    <row r="9395" spans="45:45">
      <c r="AS9395" s="47"/>
    </row>
    <row r="9396" spans="45:45">
      <c r="AS9396" s="47"/>
    </row>
    <row r="9397" spans="45:45">
      <c r="AS9397" s="47"/>
    </row>
    <row r="9398" spans="45:45">
      <c r="AS9398" s="47"/>
    </row>
    <row r="9399" spans="45:45">
      <c r="AS9399" s="47"/>
    </row>
    <row r="9400" spans="45:45">
      <c r="AS9400" s="47"/>
    </row>
    <row r="9401" spans="45:45">
      <c r="AS9401" s="47"/>
    </row>
    <row r="9402" spans="45:45">
      <c r="AS9402" s="47"/>
    </row>
    <row r="9403" spans="45:45">
      <c r="AS9403" s="47"/>
    </row>
    <row r="9404" spans="45:45">
      <c r="AS9404" s="47"/>
    </row>
    <row r="9405" spans="45:45">
      <c r="AS9405" s="47"/>
    </row>
    <row r="9406" spans="45:45">
      <c r="AS9406" s="47"/>
    </row>
    <row r="9407" spans="45:45">
      <c r="AS9407" s="47"/>
    </row>
    <row r="9408" spans="45:45">
      <c r="AS9408" s="47"/>
    </row>
    <row r="9409" spans="45:45">
      <c r="AS9409" s="47"/>
    </row>
    <row r="9410" spans="45:45">
      <c r="AS9410" s="47"/>
    </row>
    <row r="9411" spans="45:45">
      <c r="AS9411" s="47"/>
    </row>
    <row r="9412" spans="45:45">
      <c r="AS9412" s="47"/>
    </row>
    <row r="9413" spans="45:45">
      <c r="AS9413" s="47"/>
    </row>
    <row r="9414" spans="45:45">
      <c r="AS9414" s="47"/>
    </row>
    <row r="9415" spans="45:45">
      <c r="AS9415" s="47"/>
    </row>
    <row r="9416" spans="45:45">
      <c r="AS9416" s="47"/>
    </row>
    <row r="9417" spans="45:45">
      <c r="AS9417" s="47"/>
    </row>
    <row r="9418" spans="45:45">
      <c r="AS9418" s="47"/>
    </row>
    <row r="9419" spans="45:45">
      <c r="AS9419" s="47"/>
    </row>
    <row r="9420" spans="45:45">
      <c r="AS9420" s="47"/>
    </row>
    <row r="9421" spans="45:45">
      <c r="AS9421" s="47"/>
    </row>
    <row r="9422" spans="45:45">
      <c r="AS9422" s="47"/>
    </row>
    <row r="9423" spans="45:45">
      <c r="AS9423" s="47"/>
    </row>
    <row r="9424" spans="45:45">
      <c r="AS9424" s="47"/>
    </row>
    <row r="9425" spans="45:45">
      <c r="AS9425" s="47"/>
    </row>
    <row r="9426" spans="45:45">
      <c r="AS9426" s="47"/>
    </row>
    <row r="9427" spans="45:45">
      <c r="AS9427" s="47"/>
    </row>
    <row r="9428" spans="45:45">
      <c r="AS9428" s="47"/>
    </row>
    <row r="9429" spans="45:45">
      <c r="AS9429" s="47"/>
    </row>
    <row r="9430" spans="45:45">
      <c r="AS9430" s="47"/>
    </row>
    <row r="9431" spans="45:45">
      <c r="AS9431" s="47"/>
    </row>
    <row r="9432" spans="45:45">
      <c r="AS9432" s="47"/>
    </row>
    <row r="9433" spans="45:45">
      <c r="AS9433" s="47"/>
    </row>
    <row r="9434" spans="45:45">
      <c r="AS9434" s="47"/>
    </row>
    <row r="9435" spans="45:45">
      <c r="AS9435" s="47"/>
    </row>
    <row r="9436" spans="45:45">
      <c r="AS9436" s="47"/>
    </row>
    <row r="9437" spans="45:45">
      <c r="AS9437" s="47"/>
    </row>
    <row r="9438" spans="45:45">
      <c r="AS9438" s="47"/>
    </row>
    <row r="9439" spans="45:45">
      <c r="AS9439" s="47"/>
    </row>
    <row r="9440" spans="45:45">
      <c r="AS9440" s="47"/>
    </row>
    <row r="9441" spans="45:45">
      <c r="AS9441" s="47"/>
    </row>
    <row r="9442" spans="45:45">
      <c r="AS9442" s="47"/>
    </row>
    <row r="9443" spans="45:45">
      <c r="AS9443" s="47"/>
    </row>
    <row r="9444" spans="45:45">
      <c r="AS9444" s="47"/>
    </row>
    <row r="9445" spans="45:45">
      <c r="AS9445" s="47"/>
    </row>
    <row r="9446" spans="45:45">
      <c r="AS9446" s="47"/>
    </row>
    <row r="9447" spans="45:45">
      <c r="AS9447" s="47"/>
    </row>
    <row r="9448" spans="45:45">
      <c r="AS9448" s="47"/>
    </row>
    <row r="9449" spans="45:45">
      <c r="AS9449" s="47"/>
    </row>
    <row r="9450" spans="45:45">
      <c r="AS9450" s="47"/>
    </row>
    <row r="9451" spans="45:45">
      <c r="AS9451" s="47"/>
    </row>
    <row r="9452" spans="45:45">
      <c r="AS9452" s="47"/>
    </row>
    <row r="9453" spans="45:45">
      <c r="AS9453" s="47"/>
    </row>
    <row r="9454" spans="45:45">
      <c r="AS9454" s="47"/>
    </row>
    <row r="9455" spans="45:45">
      <c r="AS9455" s="47"/>
    </row>
    <row r="9456" spans="45:45">
      <c r="AS9456" s="47"/>
    </row>
    <row r="9457" spans="45:45">
      <c r="AS9457" s="47"/>
    </row>
    <row r="9458" spans="45:45">
      <c r="AS9458" s="47"/>
    </row>
    <row r="9459" spans="45:45">
      <c r="AS9459" s="47"/>
    </row>
    <row r="9460" spans="45:45">
      <c r="AS9460" s="47"/>
    </row>
    <row r="9461" spans="45:45">
      <c r="AS9461" s="47"/>
    </row>
    <row r="9462" spans="45:45">
      <c r="AS9462" s="47"/>
    </row>
    <row r="9463" spans="45:45">
      <c r="AS9463" s="47"/>
    </row>
    <row r="9464" spans="45:45">
      <c r="AS9464" s="47"/>
    </row>
    <row r="9465" spans="45:45">
      <c r="AS9465" s="47"/>
    </row>
    <row r="9466" spans="45:45">
      <c r="AS9466" s="47"/>
    </row>
    <row r="9467" spans="45:45">
      <c r="AS9467" s="47"/>
    </row>
    <row r="9468" spans="45:45">
      <c r="AS9468" s="47"/>
    </row>
    <row r="9469" spans="45:45">
      <c r="AS9469" s="47"/>
    </row>
    <row r="9470" spans="45:45">
      <c r="AS9470" s="47"/>
    </row>
    <row r="9471" spans="45:45">
      <c r="AS9471" s="47"/>
    </row>
    <row r="9472" spans="45:45">
      <c r="AS9472" s="47"/>
    </row>
    <row r="9473" spans="45:45">
      <c r="AS9473" s="47"/>
    </row>
    <row r="9474" spans="45:45">
      <c r="AS9474" s="47"/>
    </row>
    <row r="9475" spans="45:45">
      <c r="AS9475" s="47"/>
    </row>
    <row r="9476" spans="45:45">
      <c r="AS9476" s="47"/>
    </row>
    <row r="9477" spans="45:45">
      <c r="AS9477" s="47"/>
    </row>
    <row r="9478" spans="45:45">
      <c r="AS9478" s="47"/>
    </row>
    <row r="9479" spans="45:45">
      <c r="AS9479" s="47"/>
    </row>
    <row r="9480" spans="45:45">
      <c r="AS9480" s="47"/>
    </row>
    <row r="9481" spans="45:45">
      <c r="AS9481" s="47"/>
    </row>
    <row r="9482" spans="45:45">
      <c r="AS9482" s="47"/>
    </row>
    <row r="9483" spans="45:45">
      <c r="AS9483" s="47"/>
    </row>
    <row r="9484" spans="45:45">
      <c r="AS9484" s="47"/>
    </row>
    <row r="9485" spans="45:45">
      <c r="AS9485" s="47"/>
    </row>
    <row r="9486" spans="45:45">
      <c r="AS9486" s="47"/>
    </row>
    <row r="9487" spans="45:45">
      <c r="AS9487" s="47"/>
    </row>
    <row r="9488" spans="45:45">
      <c r="AS9488" s="47"/>
    </row>
    <row r="9489" spans="45:45">
      <c r="AS9489" s="47"/>
    </row>
    <row r="9490" spans="45:45">
      <c r="AS9490" s="47"/>
    </row>
    <row r="9491" spans="45:45">
      <c r="AS9491" s="47"/>
    </row>
    <row r="9492" spans="45:45">
      <c r="AS9492" s="47"/>
    </row>
    <row r="9493" spans="45:45">
      <c r="AS9493" s="47"/>
    </row>
    <row r="9494" spans="45:45">
      <c r="AS9494" s="47"/>
    </row>
    <row r="9495" spans="45:45">
      <c r="AS9495" s="47"/>
    </row>
    <row r="9496" spans="45:45">
      <c r="AS9496" s="47"/>
    </row>
    <row r="9497" spans="45:45">
      <c r="AS9497" s="47"/>
    </row>
    <row r="9498" spans="45:45">
      <c r="AS9498" s="47"/>
    </row>
    <row r="9499" spans="45:45">
      <c r="AS9499" s="47"/>
    </row>
    <row r="9500" spans="45:45">
      <c r="AS9500" s="47"/>
    </row>
    <row r="9501" spans="45:45">
      <c r="AS9501" s="47"/>
    </row>
    <row r="9502" spans="45:45">
      <c r="AS9502" s="47"/>
    </row>
    <row r="9503" spans="45:45">
      <c r="AS9503" s="47"/>
    </row>
    <row r="9504" spans="45:45">
      <c r="AS9504" s="47"/>
    </row>
    <row r="9505" spans="45:45">
      <c r="AS9505" s="47"/>
    </row>
    <row r="9506" spans="45:45">
      <c r="AS9506" s="47"/>
    </row>
    <row r="9507" spans="45:45">
      <c r="AS9507" s="47"/>
    </row>
    <row r="9508" spans="45:45">
      <c r="AS9508" s="47"/>
    </row>
    <row r="9509" spans="45:45">
      <c r="AS9509" s="47"/>
    </row>
    <row r="9510" spans="45:45">
      <c r="AS9510" s="47"/>
    </row>
    <row r="9511" spans="45:45">
      <c r="AS9511" s="47"/>
    </row>
    <row r="9512" spans="45:45">
      <c r="AS9512" s="47"/>
    </row>
    <row r="9513" spans="45:45">
      <c r="AS9513" s="47"/>
    </row>
    <row r="9514" spans="45:45">
      <c r="AS9514" s="47"/>
    </row>
    <row r="9515" spans="45:45">
      <c r="AS9515" s="47"/>
    </row>
    <row r="9516" spans="45:45">
      <c r="AS9516" s="47"/>
    </row>
    <row r="9517" spans="45:45">
      <c r="AS9517" s="47"/>
    </row>
    <row r="9518" spans="45:45">
      <c r="AS9518" s="47"/>
    </row>
    <row r="9519" spans="45:45">
      <c r="AS9519" s="47"/>
    </row>
    <row r="9520" spans="45:45">
      <c r="AS9520" s="47"/>
    </row>
    <row r="9521" spans="45:45">
      <c r="AS9521" s="47"/>
    </row>
    <row r="9522" spans="45:45">
      <c r="AS9522" s="47"/>
    </row>
    <row r="9523" spans="45:45">
      <c r="AS9523" s="47"/>
    </row>
    <row r="9524" spans="45:45">
      <c r="AS9524" s="47"/>
    </row>
    <row r="9525" spans="45:45">
      <c r="AS9525" s="47"/>
    </row>
    <row r="9526" spans="45:45">
      <c r="AS9526" s="47"/>
    </row>
    <row r="9527" spans="45:45">
      <c r="AS9527" s="47"/>
    </row>
    <row r="9528" spans="45:45">
      <c r="AS9528" s="47"/>
    </row>
    <row r="9529" spans="45:45">
      <c r="AS9529" s="47"/>
    </row>
    <row r="9530" spans="45:45">
      <c r="AS9530" s="47"/>
    </row>
    <row r="9531" spans="45:45">
      <c r="AS9531" s="47"/>
    </row>
    <row r="9532" spans="45:45">
      <c r="AS9532" s="47"/>
    </row>
    <row r="9533" spans="45:45">
      <c r="AS9533" s="47"/>
    </row>
    <row r="9534" spans="45:45">
      <c r="AS9534" s="47"/>
    </row>
    <row r="9535" spans="45:45">
      <c r="AS9535" s="47"/>
    </row>
    <row r="9536" spans="45:45">
      <c r="AS9536" s="47"/>
    </row>
    <row r="9537" spans="45:45">
      <c r="AS9537" s="47"/>
    </row>
    <row r="9538" spans="45:45">
      <c r="AS9538" s="47"/>
    </row>
    <row r="9539" spans="45:45">
      <c r="AS9539" s="47"/>
    </row>
    <row r="9540" spans="45:45">
      <c r="AS9540" s="47"/>
    </row>
    <row r="9541" spans="45:45">
      <c r="AS9541" s="47"/>
    </row>
    <row r="9542" spans="45:45">
      <c r="AS9542" s="47"/>
    </row>
    <row r="9543" spans="45:45">
      <c r="AS9543" s="47"/>
    </row>
    <row r="9544" spans="45:45">
      <c r="AS9544" s="47"/>
    </row>
    <row r="9545" spans="45:45">
      <c r="AS9545" s="47"/>
    </row>
    <row r="9546" spans="45:45">
      <c r="AS9546" s="47"/>
    </row>
    <row r="9547" spans="45:45">
      <c r="AS9547" s="47"/>
    </row>
    <row r="9548" spans="45:45">
      <c r="AS9548" s="47"/>
    </row>
    <row r="9549" spans="45:45">
      <c r="AS9549" s="47"/>
    </row>
    <row r="9550" spans="45:45">
      <c r="AS9550" s="47"/>
    </row>
    <row r="9551" spans="45:45">
      <c r="AS9551" s="47"/>
    </row>
    <row r="9552" spans="45:45">
      <c r="AS9552" s="47"/>
    </row>
    <row r="9553" spans="45:45">
      <c r="AS9553" s="47"/>
    </row>
    <row r="9554" spans="45:45">
      <c r="AS9554" s="47"/>
    </row>
    <row r="9555" spans="45:45">
      <c r="AS9555" s="47"/>
    </row>
    <row r="9556" spans="45:45">
      <c r="AS9556" s="47"/>
    </row>
    <row r="9557" spans="45:45">
      <c r="AS9557" s="47"/>
    </row>
    <row r="9558" spans="45:45">
      <c r="AS9558" s="47"/>
    </row>
    <row r="9559" spans="45:45">
      <c r="AS9559" s="47"/>
    </row>
    <row r="9560" spans="45:45">
      <c r="AS9560" s="47"/>
    </row>
    <row r="9561" spans="45:45">
      <c r="AS9561" s="47"/>
    </row>
    <row r="9562" spans="45:45">
      <c r="AS9562" s="47"/>
    </row>
    <row r="9563" spans="45:45">
      <c r="AS9563" s="47"/>
    </row>
    <row r="9564" spans="45:45">
      <c r="AS9564" s="47"/>
    </row>
    <row r="9565" spans="45:45">
      <c r="AS9565" s="47"/>
    </row>
    <row r="9566" spans="45:45">
      <c r="AS9566" s="47"/>
    </row>
    <row r="9567" spans="45:45">
      <c r="AS9567" s="47"/>
    </row>
    <row r="9568" spans="45:45">
      <c r="AS9568" s="47"/>
    </row>
    <row r="9569" spans="45:45">
      <c r="AS9569" s="47"/>
    </row>
    <row r="9570" spans="45:45">
      <c r="AS9570" s="47"/>
    </row>
    <row r="9571" spans="45:45">
      <c r="AS9571" s="47"/>
    </row>
    <row r="9572" spans="45:45">
      <c r="AS9572" s="47"/>
    </row>
    <row r="9573" spans="45:45">
      <c r="AS9573" s="47"/>
    </row>
    <row r="9574" spans="45:45">
      <c r="AS9574" s="47"/>
    </row>
    <row r="9575" spans="45:45">
      <c r="AS9575" s="47"/>
    </row>
    <row r="9576" spans="45:45">
      <c r="AS9576" s="47"/>
    </row>
    <row r="9577" spans="45:45">
      <c r="AS9577" s="47"/>
    </row>
    <row r="9578" spans="45:45">
      <c r="AS9578" s="47"/>
    </row>
    <row r="9579" spans="45:45">
      <c r="AS9579" s="47"/>
    </row>
    <row r="9580" spans="45:45">
      <c r="AS9580" s="47"/>
    </row>
    <row r="9581" spans="45:45">
      <c r="AS9581" s="47"/>
    </row>
    <row r="9582" spans="45:45">
      <c r="AS9582" s="47"/>
    </row>
    <row r="9583" spans="45:45">
      <c r="AS9583" s="47"/>
    </row>
    <row r="9584" spans="45:45">
      <c r="AS9584" s="47"/>
    </row>
    <row r="9585" spans="45:45">
      <c r="AS9585" s="47"/>
    </row>
    <row r="9586" spans="45:45">
      <c r="AS9586" s="47"/>
    </row>
    <row r="9587" spans="45:45">
      <c r="AS9587" s="47"/>
    </row>
    <row r="9588" spans="45:45">
      <c r="AS9588" s="47"/>
    </row>
    <row r="9589" spans="45:45">
      <c r="AS9589" s="47"/>
    </row>
    <row r="9590" spans="45:45">
      <c r="AS9590" s="47"/>
    </row>
    <row r="9591" spans="45:45">
      <c r="AS9591" s="47"/>
    </row>
    <row r="9592" spans="45:45">
      <c r="AS9592" s="47"/>
    </row>
    <row r="9593" spans="45:45">
      <c r="AS9593" s="47"/>
    </row>
    <row r="9594" spans="45:45">
      <c r="AS9594" s="47"/>
    </row>
    <row r="9595" spans="45:45">
      <c r="AS9595" s="47"/>
    </row>
    <row r="9596" spans="45:45">
      <c r="AS9596" s="47"/>
    </row>
    <row r="9597" spans="45:45">
      <c r="AS9597" s="47"/>
    </row>
    <row r="9598" spans="45:45">
      <c r="AS9598" s="47"/>
    </row>
    <row r="9599" spans="45:45">
      <c r="AS9599" s="47"/>
    </row>
    <row r="9600" spans="45:45">
      <c r="AS9600" s="47"/>
    </row>
    <row r="9601" spans="45:45">
      <c r="AS9601" s="47"/>
    </row>
    <row r="9602" spans="45:45">
      <c r="AS9602" s="47"/>
    </row>
    <row r="9603" spans="45:45">
      <c r="AS9603" s="47"/>
    </row>
    <row r="9604" spans="45:45">
      <c r="AS9604" s="47"/>
    </row>
    <row r="9605" spans="45:45">
      <c r="AS9605" s="47"/>
    </row>
    <row r="9606" spans="45:45">
      <c r="AS9606" s="47"/>
    </row>
    <row r="9607" spans="45:45">
      <c r="AS9607" s="47"/>
    </row>
    <row r="9608" spans="45:45">
      <c r="AS9608" s="47"/>
    </row>
    <row r="9609" spans="45:45">
      <c r="AS9609" s="47"/>
    </row>
    <row r="9610" spans="45:45">
      <c r="AS9610" s="47"/>
    </row>
    <row r="9611" spans="45:45">
      <c r="AS9611" s="47"/>
    </row>
    <row r="9612" spans="45:45">
      <c r="AS9612" s="47"/>
    </row>
    <row r="9613" spans="45:45">
      <c r="AS9613" s="47"/>
    </row>
    <row r="9614" spans="45:45">
      <c r="AS9614" s="47"/>
    </row>
    <row r="9615" spans="45:45">
      <c r="AS9615" s="47"/>
    </row>
    <row r="9616" spans="45:45">
      <c r="AS9616" s="47"/>
    </row>
    <row r="9617" spans="45:45">
      <c r="AS9617" s="47"/>
    </row>
    <row r="9618" spans="45:45">
      <c r="AS9618" s="47"/>
    </row>
    <row r="9619" spans="45:45">
      <c r="AS9619" s="47"/>
    </row>
    <row r="9620" spans="45:45">
      <c r="AS9620" s="47"/>
    </row>
    <row r="9621" spans="45:45">
      <c r="AS9621" s="47"/>
    </row>
    <row r="9622" spans="45:45">
      <c r="AS9622" s="47"/>
    </row>
    <row r="9623" spans="45:45">
      <c r="AS9623" s="47"/>
    </row>
    <row r="9624" spans="45:45">
      <c r="AS9624" s="47"/>
    </row>
    <row r="9625" spans="45:45">
      <c r="AS9625" s="47"/>
    </row>
    <row r="9626" spans="45:45">
      <c r="AS9626" s="47"/>
    </row>
    <row r="9627" spans="45:45">
      <c r="AS9627" s="47"/>
    </row>
    <row r="9628" spans="45:45">
      <c r="AS9628" s="47"/>
    </row>
    <row r="9629" spans="45:45">
      <c r="AS9629" s="47"/>
    </row>
    <row r="9630" spans="45:45">
      <c r="AS9630" s="47"/>
    </row>
    <row r="9631" spans="45:45">
      <c r="AS9631" s="47"/>
    </row>
    <row r="9632" spans="45:45">
      <c r="AS9632" s="47"/>
    </row>
    <row r="9633" spans="45:45">
      <c r="AS9633" s="47"/>
    </row>
    <row r="9634" spans="45:45">
      <c r="AS9634" s="47"/>
    </row>
    <row r="9635" spans="45:45">
      <c r="AS9635" s="47"/>
    </row>
    <row r="9636" spans="45:45">
      <c r="AS9636" s="47"/>
    </row>
    <row r="9637" spans="45:45">
      <c r="AS9637" s="47"/>
    </row>
    <row r="9638" spans="45:45">
      <c r="AS9638" s="47"/>
    </row>
    <row r="9639" spans="45:45">
      <c r="AS9639" s="47"/>
    </row>
    <row r="9640" spans="45:45">
      <c r="AS9640" s="47"/>
    </row>
    <row r="9641" spans="45:45">
      <c r="AS9641" s="47"/>
    </row>
    <row r="9642" spans="45:45">
      <c r="AS9642" s="47"/>
    </row>
    <row r="9643" spans="45:45">
      <c r="AS9643" s="47"/>
    </row>
    <row r="9644" spans="45:45">
      <c r="AS9644" s="47"/>
    </row>
    <row r="9645" spans="45:45">
      <c r="AS9645" s="47"/>
    </row>
    <row r="9646" spans="45:45">
      <c r="AS9646" s="47"/>
    </row>
    <row r="9647" spans="45:45">
      <c r="AS9647" s="47"/>
    </row>
    <row r="9648" spans="45:45">
      <c r="AS9648" s="47"/>
    </row>
    <row r="9649" spans="45:45">
      <c r="AS9649" s="47"/>
    </row>
    <row r="9650" spans="45:45">
      <c r="AS9650" s="47"/>
    </row>
    <row r="9651" spans="45:45">
      <c r="AS9651" s="47"/>
    </row>
    <row r="9652" spans="45:45">
      <c r="AS9652" s="47"/>
    </row>
    <row r="9653" spans="45:45">
      <c r="AS9653" s="47"/>
    </row>
    <row r="9654" spans="45:45">
      <c r="AS9654" s="47"/>
    </row>
    <row r="9655" spans="45:45">
      <c r="AS9655" s="47"/>
    </row>
    <row r="9656" spans="45:45">
      <c r="AS9656" s="47"/>
    </row>
    <row r="9657" spans="45:45">
      <c r="AS9657" s="47"/>
    </row>
    <row r="9658" spans="45:45">
      <c r="AS9658" s="47"/>
    </row>
    <row r="9659" spans="45:45">
      <c r="AS9659" s="47"/>
    </row>
    <row r="9660" spans="45:45">
      <c r="AS9660" s="47"/>
    </row>
    <row r="9661" spans="45:45">
      <c r="AS9661" s="47"/>
    </row>
    <row r="9662" spans="45:45">
      <c r="AS9662" s="47"/>
    </row>
    <row r="9663" spans="45:45">
      <c r="AS9663" s="47"/>
    </row>
    <row r="9664" spans="45:45">
      <c r="AS9664" s="47"/>
    </row>
    <row r="9665" spans="45:45">
      <c r="AS9665" s="47"/>
    </row>
    <row r="9666" spans="45:45">
      <c r="AS9666" s="47"/>
    </row>
    <row r="9667" spans="45:45">
      <c r="AS9667" s="47"/>
    </row>
    <row r="9668" spans="45:45">
      <c r="AS9668" s="47"/>
    </row>
    <row r="9669" spans="45:45">
      <c r="AS9669" s="47"/>
    </row>
    <row r="9670" spans="45:45">
      <c r="AS9670" s="47"/>
    </row>
    <row r="9671" spans="45:45">
      <c r="AS9671" s="47"/>
    </row>
    <row r="9672" spans="45:45">
      <c r="AS9672" s="47"/>
    </row>
    <row r="9673" spans="45:45">
      <c r="AS9673" s="47"/>
    </row>
    <row r="9674" spans="45:45">
      <c r="AS9674" s="47"/>
    </row>
    <row r="9675" spans="45:45">
      <c r="AS9675" s="47"/>
    </row>
    <row r="9676" spans="45:45">
      <c r="AS9676" s="47"/>
    </row>
    <row r="9677" spans="45:45">
      <c r="AS9677" s="47"/>
    </row>
    <row r="9678" spans="45:45">
      <c r="AS9678" s="47"/>
    </row>
    <row r="9679" spans="45:45">
      <c r="AS9679" s="47"/>
    </row>
    <row r="9680" spans="45:45">
      <c r="AS9680" s="47"/>
    </row>
    <row r="9681" spans="45:45">
      <c r="AS9681" s="47"/>
    </row>
    <row r="9682" spans="45:45">
      <c r="AS9682" s="47"/>
    </row>
    <row r="9683" spans="45:45">
      <c r="AS9683" s="47"/>
    </row>
    <row r="9684" spans="45:45">
      <c r="AS9684" s="47"/>
    </row>
    <row r="9685" spans="45:45">
      <c r="AS9685" s="47"/>
    </row>
    <row r="9686" spans="45:45">
      <c r="AS9686" s="47"/>
    </row>
    <row r="9687" spans="45:45">
      <c r="AS9687" s="47"/>
    </row>
    <row r="9688" spans="45:45">
      <c r="AS9688" s="47"/>
    </row>
    <row r="9689" spans="45:45">
      <c r="AS9689" s="47"/>
    </row>
    <row r="9690" spans="45:45">
      <c r="AS9690" s="47"/>
    </row>
    <row r="9691" spans="45:45">
      <c r="AS9691" s="47"/>
    </row>
    <row r="9692" spans="45:45">
      <c r="AS9692" s="47"/>
    </row>
    <row r="9693" spans="45:45">
      <c r="AS9693" s="47"/>
    </row>
    <row r="9694" spans="45:45">
      <c r="AS9694" s="47"/>
    </row>
    <row r="9695" spans="45:45">
      <c r="AS9695" s="47"/>
    </row>
    <row r="9696" spans="45:45">
      <c r="AS9696" s="47"/>
    </row>
    <row r="9697" spans="45:45">
      <c r="AS9697" s="47"/>
    </row>
    <row r="9698" spans="45:45">
      <c r="AS9698" s="47"/>
    </row>
    <row r="9699" spans="45:45">
      <c r="AS9699" s="47"/>
    </row>
    <row r="9700" spans="45:45">
      <c r="AS9700" s="47"/>
    </row>
    <row r="9701" spans="45:45">
      <c r="AS9701" s="47"/>
    </row>
    <row r="9702" spans="45:45">
      <c r="AS9702" s="47"/>
    </row>
    <row r="9703" spans="45:45">
      <c r="AS9703" s="47"/>
    </row>
    <row r="9704" spans="45:45">
      <c r="AS9704" s="47"/>
    </row>
    <row r="9705" spans="45:45">
      <c r="AS9705" s="47"/>
    </row>
    <row r="9706" spans="45:45">
      <c r="AS9706" s="47"/>
    </row>
    <row r="9707" spans="45:45">
      <c r="AS9707" s="47"/>
    </row>
    <row r="9708" spans="45:45">
      <c r="AS9708" s="47"/>
    </row>
    <row r="9709" spans="45:45">
      <c r="AS9709" s="47"/>
    </row>
    <row r="9710" spans="45:45">
      <c r="AS9710" s="47"/>
    </row>
    <row r="9711" spans="45:45">
      <c r="AS9711" s="47"/>
    </row>
    <row r="9712" spans="45:45">
      <c r="AS9712" s="47"/>
    </row>
    <row r="9713" spans="45:45">
      <c r="AS9713" s="47"/>
    </row>
    <row r="9714" spans="45:45">
      <c r="AS9714" s="47"/>
    </row>
    <row r="9715" spans="45:45">
      <c r="AS9715" s="47"/>
    </row>
    <row r="9716" spans="45:45">
      <c r="AS9716" s="47"/>
    </row>
    <row r="9717" spans="45:45">
      <c r="AS9717" s="47"/>
    </row>
    <row r="9718" spans="45:45">
      <c r="AS9718" s="47"/>
    </row>
    <row r="9719" spans="45:45">
      <c r="AS9719" s="47"/>
    </row>
    <row r="9720" spans="45:45">
      <c r="AS9720" s="47"/>
    </row>
    <row r="9721" spans="45:45">
      <c r="AS9721" s="47"/>
    </row>
    <row r="9722" spans="45:45">
      <c r="AS9722" s="47"/>
    </row>
    <row r="9723" spans="45:45">
      <c r="AS9723" s="47"/>
    </row>
    <row r="9724" spans="45:45">
      <c r="AS9724" s="47"/>
    </row>
    <row r="9725" spans="45:45">
      <c r="AS9725" s="47"/>
    </row>
    <row r="9726" spans="45:45">
      <c r="AS9726" s="47"/>
    </row>
    <row r="9727" spans="45:45">
      <c r="AS9727" s="47"/>
    </row>
    <row r="9728" spans="45:45">
      <c r="AS9728" s="47"/>
    </row>
    <row r="9729" spans="45:45">
      <c r="AS9729" s="47"/>
    </row>
    <row r="9730" spans="45:45">
      <c r="AS9730" s="47"/>
    </row>
    <row r="9731" spans="45:45">
      <c r="AS9731" s="47"/>
    </row>
    <row r="9732" spans="45:45">
      <c r="AS9732" s="47"/>
    </row>
    <row r="9733" spans="45:45">
      <c r="AS9733" s="47"/>
    </row>
    <row r="9734" spans="45:45">
      <c r="AS9734" s="47"/>
    </row>
    <row r="9735" spans="45:45">
      <c r="AS9735" s="47"/>
    </row>
    <row r="9736" spans="45:45">
      <c r="AS9736" s="47"/>
    </row>
    <row r="9737" spans="45:45">
      <c r="AS9737" s="47"/>
    </row>
    <row r="9738" spans="45:45">
      <c r="AS9738" s="47"/>
    </row>
    <row r="9739" spans="45:45">
      <c r="AS9739" s="47"/>
    </row>
    <row r="9740" spans="45:45">
      <c r="AS9740" s="47"/>
    </row>
    <row r="9741" spans="45:45">
      <c r="AS9741" s="47"/>
    </row>
    <row r="9742" spans="45:45">
      <c r="AS9742" s="47"/>
    </row>
    <row r="9743" spans="45:45">
      <c r="AS9743" s="47"/>
    </row>
    <row r="9744" spans="45:45">
      <c r="AS9744" s="47"/>
    </row>
    <row r="9745" spans="45:45">
      <c r="AS9745" s="47"/>
    </row>
    <row r="9746" spans="45:45">
      <c r="AS9746" s="47"/>
    </row>
    <row r="9747" spans="45:45">
      <c r="AS9747" s="47"/>
    </row>
    <row r="9748" spans="45:45">
      <c r="AS9748" s="47"/>
    </row>
    <row r="9749" spans="45:45">
      <c r="AS9749" s="47"/>
    </row>
    <row r="9750" spans="45:45">
      <c r="AS9750" s="47"/>
    </row>
    <row r="9751" spans="45:45">
      <c r="AS9751" s="47"/>
    </row>
    <row r="9752" spans="45:45">
      <c r="AS9752" s="47"/>
    </row>
    <row r="9753" spans="45:45">
      <c r="AS9753" s="47"/>
    </row>
    <row r="9754" spans="45:45">
      <c r="AS9754" s="47"/>
    </row>
    <row r="9755" spans="45:45">
      <c r="AS9755" s="47"/>
    </row>
    <row r="9756" spans="45:45">
      <c r="AS9756" s="47"/>
    </row>
    <row r="9757" spans="45:45">
      <c r="AS9757" s="47"/>
    </row>
    <row r="9758" spans="45:45">
      <c r="AS9758" s="47"/>
    </row>
    <row r="9759" spans="45:45">
      <c r="AS9759" s="47"/>
    </row>
    <row r="9760" spans="45:45">
      <c r="AS9760" s="47"/>
    </row>
    <row r="9761" spans="45:45">
      <c r="AS9761" s="47"/>
    </row>
    <row r="9762" spans="45:45">
      <c r="AS9762" s="47"/>
    </row>
    <row r="9763" spans="45:45">
      <c r="AS9763" s="47"/>
    </row>
    <row r="9764" spans="45:45">
      <c r="AS9764" s="47"/>
    </row>
    <row r="9765" spans="45:45">
      <c r="AS9765" s="47"/>
    </row>
    <row r="9766" spans="45:45">
      <c r="AS9766" s="47"/>
    </row>
    <row r="9767" spans="45:45">
      <c r="AS9767" s="47"/>
    </row>
    <row r="9768" spans="45:45">
      <c r="AS9768" s="47"/>
    </row>
    <row r="9769" spans="45:45">
      <c r="AS9769" s="47"/>
    </row>
    <row r="9770" spans="45:45">
      <c r="AS9770" s="47"/>
    </row>
    <row r="9771" spans="45:45">
      <c r="AS9771" s="47"/>
    </row>
    <row r="9772" spans="45:45">
      <c r="AS9772" s="47"/>
    </row>
    <row r="9773" spans="45:45">
      <c r="AS9773" s="47"/>
    </row>
    <row r="9774" spans="45:45">
      <c r="AS9774" s="47"/>
    </row>
    <row r="9775" spans="45:45">
      <c r="AS9775" s="47"/>
    </row>
    <row r="9776" spans="45:45">
      <c r="AS9776" s="47"/>
    </row>
    <row r="9777" spans="45:45">
      <c r="AS9777" s="47"/>
    </row>
    <row r="9778" spans="45:45">
      <c r="AS9778" s="47"/>
    </row>
    <row r="9779" spans="45:45">
      <c r="AS9779" s="47"/>
    </row>
    <row r="9780" spans="45:45">
      <c r="AS9780" s="47"/>
    </row>
    <row r="9781" spans="45:45">
      <c r="AS9781" s="47"/>
    </row>
    <row r="9782" spans="45:45">
      <c r="AS9782" s="47"/>
    </row>
    <row r="9783" spans="45:45">
      <c r="AS9783" s="47"/>
    </row>
    <row r="9784" spans="45:45">
      <c r="AS9784" s="47"/>
    </row>
    <row r="9785" spans="45:45">
      <c r="AS9785" s="47"/>
    </row>
    <row r="9786" spans="45:45">
      <c r="AS9786" s="47"/>
    </row>
    <row r="9787" spans="45:45">
      <c r="AS9787" s="47"/>
    </row>
    <row r="9788" spans="45:45">
      <c r="AS9788" s="47"/>
    </row>
    <row r="9789" spans="45:45">
      <c r="AS9789" s="47"/>
    </row>
    <row r="9790" spans="45:45">
      <c r="AS9790" s="47"/>
    </row>
    <row r="9791" spans="45:45">
      <c r="AS9791" s="47"/>
    </row>
    <row r="9792" spans="45:45">
      <c r="AS9792" s="47"/>
    </row>
    <row r="9793" spans="45:45">
      <c r="AS9793" s="47"/>
    </row>
    <row r="9794" spans="45:45">
      <c r="AS9794" s="47"/>
    </row>
    <row r="9795" spans="45:45">
      <c r="AS9795" s="47"/>
    </row>
    <row r="9796" spans="45:45">
      <c r="AS9796" s="47"/>
    </row>
    <row r="9797" spans="45:45">
      <c r="AS9797" s="47"/>
    </row>
    <row r="9798" spans="45:45">
      <c r="AS9798" s="47"/>
    </row>
    <row r="9799" spans="45:45">
      <c r="AS9799" s="47"/>
    </row>
    <row r="9800" spans="45:45">
      <c r="AS9800" s="47"/>
    </row>
    <row r="9801" spans="45:45">
      <c r="AS9801" s="47"/>
    </row>
    <row r="9802" spans="45:45">
      <c r="AS9802" s="47"/>
    </row>
    <row r="9803" spans="45:45">
      <c r="AS9803" s="47"/>
    </row>
    <row r="9804" spans="45:45">
      <c r="AS9804" s="47"/>
    </row>
    <row r="9805" spans="45:45">
      <c r="AS9805" s="47"/>
    </row>
    <row r="9806" spans="45:45">
      <c r="AS9806" s="47"/>
    </row>
    <row r="9807" spans="45:45">
      <c r="AS9807" s="47"/>
    </row>
    <row r="9808" spans="45:45">
      <c r="AS9808" s="47"/>
    </row>
    <row r="9809" spans="45:45">
      <c r="AS9809" s="47"/>
    </row>
    <row r="9810" spans="45:45">
      <c r="AS9810" s="47"/>
    </row>
    <row r="9811" spans="45:45">
      <c r="AS9811" s="47"/>
    </row>
    <row r="9812" spans="45:45">
      <c r="AS9812" s="47"/>
    </row>
    <row r="9813" spans="45:45">
      <c r="AS9813" s="47"/>
    </row>
    <row r="9814" spans="45:45">
      <c r="AS9814" s="47"/>
    </row>
    <row r="9815" spans="45:45">
      <c r="AS9815" s="47"/>
    </row>
    <row r="9816" spans="45:45">
      <c r="AS9816" s="47"/>
    </row>
    <row r="9817" spans="45:45">
      <c r="AS9817" s="47"/>
    </row>
    <row r="9818" spans="45:45">
      <c r="AS9818" s="47"/>
    </row>
    <row r="9819" spans="45:45">
      <c r="AS9819" s="47"/>
    </row>
    <row r="9820" spans="45:45">
      <c r="AS9820" s="47"/>
    </row>
    <row r="9821" spans="45:45">
      <c r="AS9821" s="47"/>
    </row>
    <row r="9822" spans="45:45">
      <c r="AS9822" s="47"/>
    </row>
    <row r="9823" spans="45:45">
      <c r="AS9823" s="47"/>
    </row>
    <row r="9824" spans="45:45">
      <c r="AS9824" s="47"/>
    </row>
    <row r="9825" spans="45:45">
      <c r="AS9825" s="47"/>
    </row>
    <row r="9826" spans="45:45">
      <c r="AS9826" s="47"/>
    </row>
    <row r="9827" spans="45:45">
      <c r="AS9827" s="47"/>
    </row>
    <row r="9828" spans="45:45">
      <c r="AS9828" s="47"/>
    </row>
    <row r="9829" spans="45:45">
      <c r="AS9829" s="47"/>
    </row>
    <row r="9830" spans="45:45">
      <c r="AS9830" s="47"/>
    </row>
    <row r="9831" spans="45:45">
      <c r="AS9831" s="47"/>
    </row>
    <row r="9832" spans="45:45">
      <c r="AS9832" s="47"/>
    </row>
    <row r="9833" spans="45:45">
      <c r="AS9833" s="47"/>
    </row>
    <row r="9834" spans="45:45">
      <c r="AS9834" s="47"/>
    </row>
    <row r="9835" spans="45:45">
      <c r="AS9835" s="47"/>
    </row>
    <row r="9836" spans="45:45">
      <c r="AS9836" s="47"/>
    </row>
    <row r="9837" spans="45:45">
      <c r="AS9837" s="47"/>
    </row>
    <row r="9838" spans="45:45">
      <c r="AS9838" s="47"/>
    </row>
    <row r="9839" spans="45:45">
      <c r="AS9839" s="47"/>
    </row>
    <row r="9840" spans="45:45">
      <c r="AS9840" s="47"/>
    </row>
    <row r="9841" spans="45:45">
      <c r="AS9841" s="47"/>
    </row>
    <row r="9842" spans="45:45">
      <c r="AS9842" s="47"/>
    </row>
    <row r="9843" spans="45:45">
      <c r="AS9843" s="47"/>
    </row>
    <row r="9844" spans="45:45">
      <c r="AS9844" s="47"/>
    </row>
    <row r="9845" spans="45:45">
      <c r="AS9845" s="47"/>
    </row>
    <row r="9846" spans="45:45">
      <c r="AS9846" s="47"/>
    </row>
    <row r="9847" spans="45:45">
      <c r="AS9847" s="47"/>
    </row>
    <row r="9848" spans="45:45">
      <c r="AS9848" s="47"/>
    </row>
    <row r="9849" spans="45:45">
      <c r="AS9849" s="47"/>
    </row>
    <row r="9850" spans="45:45">
      <c r="AS9850" s="47"/>
    </row>
    <row r="9851" spans="45:45">
      <c r="AS9851" s="47"/>
    </row>
    <row r="9852" spans="45:45">
      <c r="AS9852" s="47"/>
    </row>
    <row r="9853" spans="45:45">
      <c r="AS9853" s="47"/>
    </row>
    <row r="9854" spans="45:45">
      <c r="AS9854" s="47"/>
    </row>
    <row r="9855" spans="45:45">
      <c r="AS9855" s="47"/>
    </row>
    <row r="9856" spans="45:45">
      <c r="AS9856" s="47"/>
    </row>
    <row r="9857" spans="45:45">
      <c r="AS9857" s="47"/>
    </row>
    <row r="9858" spans="45:45">
      <c r="AS9858" s="47"/>
    </row>
    <row r="9859" spans="45:45">
      <c r="AS9859" s="47"/>
    </row>
    <row r="9860" spans="45:45">
      <c r="AS9860" s="47"/>
    </row>
    <row r="9861" spans="45:45">
      <c r="AS9861" s="47"/>
    </row>
    <row r="9862" spans="45:45">
      <c r="AS9862" s="47"/>
    </row>
    <row r="9863" spans="45:45">
      <c r="AS9863" s="47"/>
    </row>
    <row r="9864" spans="45:45">
      <c r="AS9864" s="47"/>
    </row>
    <row r="9865" spans="45:45">
      <c r="AS9865" s="47"/>
    </row>
    <row r="9866" spans="45:45">
      <c r="AS9866" s="47"/>
    </row>
    <row r="9867" spans="45:45">
      <c r="AS9867" s="47"/>
    </row>
    <row r="9868" spans="45:45">
      <c r="AS9868" s="47"/>
    </row>
    <row r="9869" spans="45:45">
      <c r="AS9869" s="47"/>
    </row>
    <row r="9870" spans="45:45">
      <c r="AS9870" s="47"/>
    </row>
    <row r="9871" spans="45:45">
      <c r="AS9871" s="47"/>
    </row>
    <row r="9872" spans="45:45">
      <c r="AS9872" s="47"/>
    </row>
    <row r="9873" spans="45:45">
      <c r="AS9873" s="47"/>
    </row>
    <row r="9874" spans="45:45">
      <c r="AS9874" s="47"/>
    </row>
    <row r="9875" spans="45:45">
      <c r="AS9875" s="47"/>
    </row>
    <row r="9876" spans="45:45">
      <c r="AS9876" s="47"/>
    </row>
    <row r="9877" spans="45:45">
      <c r="AS9877" s="47"/>
    </row>
    <row r="9878" spans="45:45">
      <c r="AS9878" s="47"/>
    </row>
    <row r="9879" spans="45:45">
      <c r="AS9879" s="47"/>
    </row>
    <row r="9880" spans="45:45">
      <c r="AS9880" s="47"/>
    </row>
    <row r="9881" spans="45:45">
      <c r="AS9881" s="47"/>
    </row>
    <row r="9882" spans="45:45">
      <c r="AS9882" s="47"/>
    </row>
    <row r="9883" spans="45:45">
      <c r="AS9883" s="47"/>
    </row>
    <row r="9884" spans="45:45">
      <c r="AS9884" s="47"/>
    </row>
    <row r="9885" spans="45:45">
      <c r="AS9885" s="47"/>
    </row>
    <row r="9886" spans="45:45">
      <c r="AS9886" s="47"/>
    </row>
    <row r="9887" spans="45:45">
      <c r="AS9887" s="47"/>
    </row>
    <row r="9888" spans="45:45">
      <c r="AS9888" s="47"/>
    </row>
    <row r="9889" spans="45:45">
      <c r="AS9889" s="47"/>
    </row>
    <row r="9890" spans="45:45">
      <c r="AS9890" s="47"/>
    </row>
    <row r="9891" spans="45:45">
      <c r="AS9891" s="47"/>
    </row>
    <row r="9892" spans="45:45">
      <c r="AS9892" s="47"/>
    </row>
    <row r="9893" spans="45:45">
      <c r="AS9893" s="47"/>
    </row>
    <row r="9894" spans="45:45">
      <c r="AS9894" s="47"/>
    </row>
    <row r="9895" spans="45:45">
      <c r="AS9895" s="47"/>
    </row>
    <row r="9896" spans="45:45">
      <c r="AS9896" s="47"/>
    </row>
    <row r="9897" spans="45:45">
      <c r="AS9897" s="47"/>
    </row>
    <row r="9898" spans="45:45">
      <c r="AS9898" s="47"/>
    </row>
    <row r="9899" spans="45:45">
      <c r="AS9899" s="47"/>
    </row>
    <row r="9900" spans="45:45">
      <c r="AS9900" s="47"/>
    </row>
    <row r="9901" spans="45:45">
      <c r="AS9901" s="47"/>
    </row>
    <row r="9902" spans="45:45">
      <c r="AS9902" s="47"/>
    </row>
    <row r="9903" spans="45:45">
      <c r="AS9903" s="47"/>
    </row>
    <row r="9904" spans="45:45">
      <c r="AS9904" s="47"/>
    </row>
    <row r="9905" spans="45:45">
      <c r="AS9905" s="47"/>
    </row>
    <row r="9906" spans="45:45">
      <c r="AS9906" s="47"/>
    </row>
    <row r="9907" spans="45:45">
      <c r="AS9907" s="47"/>
    </row>
    <row r="9908" spans="45:45">
      <c r="AS9908" s="47"/>
    </row>
    <row r="9909" spans="45:45">
      <c r="AS9909" s="47"/>
    </row>
    <row r="9910" spans="45:45">
      <c r="AS9910" s="47"/>
    </row>
    <row r="9911" spans="45:45">
      <c r="AS9911" s="47"/>
    </row>
    <row r="9912" spans="45:45">
      <c r="AS9912" s="47"/>
    </row>
    <row r="9913" spans="45:45">
      <c r="AS9913" s="47"/>
    </row>
    <row r="9914" spans="45:45">
      <c r="AS9914" s="47"/>
    </row>
    <row r="9915" spans="45:45">
      <c r="AS9915" s="47"/>
    </row>
    <row r="9916" spans="45:45">
      <c r="AS9916" s="47"/>
    </row>
    <row r="9917" spans="45:45">
      <c r="AS9917" s="47"/>
    </row>
    <row r="9918" spans="45:45">
      <c r="AS9918" s="47"/>
    </row>
    <row r="9919" spans="45:45">
      <c r="AS9919" s="47"/>
    </row>
    <row r="9920" spans="45:45">
      <c r="AS9920" s="47"/>
    </row>
    <row r="9921" spans="45:45">
      <c r="AS9921" s="47"/>
    </row>
    <row r="9922" spans="45:45">
      <c r="AS9922" s="47"/>
    </row>
    <row r="9923" spans="45:45">
      <c r="AS9923" s="47"/>
    </row>
    <row r="9924" spans="45:45">
      <c r="AS9924" s="47"/>
    </row>
    <row r="9925" spans="45:45">
      <c r="AS9925" s="47"/>
    </row>
    <row r="9926" spans="45:45">
      <c r="AS9926" s="47"/>
    </row>
    <row r="9927" spans="45:45">
      <c r="AS9927" s="47"/>
    </row>
    <row r="9928" spans="45:45">
      <c r="AS9928" s="47"/>
    </row>
    <row r="9929" spans="45:45">
      <c r="AS9929" s="47"/>
    </row>
    <row r="9930" spans="45:45">
      <c r="AS9930" s="47"/>
    </row>
    <row r="9931" spans="45:45">
      <c r="AS9931" s="47"/>
    </row>
    <row r="9932" spans="45:45">
      <c r="AS9932" s="47"/>
    </row>
    <row r="9933" spans="45:45">
      <c r="AS9933" s="47"/>
    </row>
    <row r="9934" spans="45:45">
      <c r="AS9934" s="47"/>
    </row>
    <row r="9935" spans="45:45">
      <c r="AS9935" s="47"/>
    </row>
    <row r="9936" spans="45:45">
      <c r="AS9936" s="47"/>
    </row>
    <row r="9937" spans="45:45">
      <c r="AS9937" s="47"/>
    </row>
    <row r="9938" spans="45:45">
      <c r="AS9938" s="47"/>
    </row>
    <row r="9939" spans="45:45">
      <c r="AS9939" s="47"/>
    </row>
    <row r="9940" spans="45:45">
      <c r="AS9940" s="47"/>
    </row>
    <row r="9941" spans="45:45">
      <c r="AS9941" s="47"/>
    </row>
    <row r="9942" spans="45:45">
      <c r="AS9942" s="47"/>
    </row>
    <row r="9943" spans="45:45">
      <c r="AS9943" s="47"/>
    </row>
    <row r="9944" spans="45:45">
      <c r="AS9944" s="47"/>
    </row>
    <row r="9945" spans="45:45">
      <c r="AS9945" s="47"/>
    </row>
    <row r="9946" spans="45:45">
      <c r="AS9946" s="47"/>
    </row>
    <row r="9947" spans="45:45">
      <c r="AS9947" s="47"/>
    </row>
    <row r="9948" spans="45:45">
      <c r="AS9948" s="47"/>
    </row>
    <row r="9949" spans="45:45">
      <c r="AS9949" s="47"/>
    </row>
    <row r="9950" spans="45:45">
      <c r="AS9950" s="47"/>
    </row>
    <row r="9951" spans="45:45">
      <c r="AS9951" s="47"/>
    </row>
    <row r="9952" spans="45:45">
      <c r="AS9952" s="47"/>
    </row>
    <row r="9953" spans="45:45">
      <c r="AS9953" s="47"/>
    </row>
    <row r="9954" spans="45:45">
      <c r="AS9954" s="47"/>
    </row>
    <row r="9955" spans="45:45">
      <c r="AS9955" s="47"/>
    </row>
    <row r="9956" spans="45:45">
      <c r="AS9956" s="47"/>
    </row>
    <row r="9957" spans="45:45">
      <c r="AS9957" s="47"/>
    </row>
    <row r="9958" spans="45:45">
      <c r="AS9958" s="47"/>
    </row>
    <row r="9959" spans="45:45">
      <c r="AS9959" s="47"/>
    </row>
    <row r="9960" spans="45:45">
      <c r="AS9960" s="47"/>
    </row>
    <row r="9961" spans="45:45">
      <c r="AS9961" s="47"/>
    </row>
    <row r="9962" spans="45:45">
      <c r="AS9962" s="47"/>
    </row>
    <row r="9963" spans="45:45">
      <c r="AS9963" s="47"/>
    </row>
    <row r="9964" spans="45:45">
      <c r="AS9964" s="47"/>
    </row>
    <row r="9965" spans="45:45">
      <c r="AS9965" s="47"/>
    </row>
    <row r="9966" spans="45:45">
      <c r="AS9966" s="47"/>
    </row>
    <row r="9967" spans="45:45">
      <c r="AS9967" s="47"/>
    </row>
    <row r="9968" spans="45:45">
      <c r="AS9968" s="47"/>
    </row>
    <row r="9969" spans="45:45">
      <c r="AS9969" s="47"/>
    </row>
    <row r="9970" spans="45:45">
      <c r="AS9970" s="47"/>
    </row>
    <row r="9971" spans="45:45">
      <c r="AS9971" s="47"/>
    </row>
    <row r="9972" spans="45:45">
      <c r="AS9972" s="47"/>
    </row>
    <row r="9973" spans="45:45">
      <c r="AS9973" s="47"/>
    </row>
    <row r="9974" spans="45:45">
      <c r="AS9974" s="47"/>
    </row>
    <row r="9975" spans="45:45">
      <c r="AS9975" s="47"/>
    </row>
    <row r="9976" spans="45:45">
      <c r="AS9976" s="47"/>
    </row>
    <row r="9977" spans="45:45">
      <c r="AS9977" s="47"/>
    </row>
    <row r="9978" spans="45:45">
      <c r="AS9978" s="47"/>
    </row>
    <row r="9979" spans="45:45">
      <c r="AS9979" s="47"/>
    </row>
    <row r="9980" spans="45:45">
      <c r="AS9980" s="47"/>
    </row>
    <row r="9981" spans="45:45">
      <c r="AS9981" s="47"/>
    </row>
    <row r="9982" spans="45:45">
      <c r="AS9982" s="47"/>
    </row>
    <row r="9983" spans="45:45">
      <c r="AS9983" s="47"/>
    </row>
    <row r="9984" spans="45:45">
      <c r="AS9984" s="47"/>
    </row>
    <row r="9985" spans="45:45">
      <c r="AS9985" s="47"/>
    </row>
    <row r="9986" spans="45:45">
      <c r="AS9986" s="47"/>
    </row>
    <row r="9987" spans="45:45">
      <c r="AS9987" s="47"/>
    </row>
    <row r="9988" spans="45:45">
      <c r="AS9988" s="47"/>
    </row>
    <row r="9989" spans="45:45">
      <c r="AS9989" s="47"/>
    </row>
    <row r="9990" spans="45:45">
      <c r="AS9990" s="47"/>
    </row>
    <row r="9991" spans="45:45">
      <c r="AS9991" s="47"/>
    </row>
    <row r="9992" spans="45:45">
      <c r="AS9992" s="47"/>
    </row>
    <row r="9993" spans="45:45">
      <c r="AS9993" s="47"/>
    </row>
    <row r="9994" spans="45:45">
      <c r="AS9994" s="47"/>
    </row>
    <row r="9995" spans="45:45">
      <c r="AS9995" s="47"/>
    </row>
    <row r="9996" spans="45:45">
      <c r="AS9996" s="47"/>
    </row>
    <row r="9997" spans="45:45">
      <c r="AS9997" s="47"/>
    </row>
    <row r="9998" spans="45:45">
      <c r="AS9998" s="47"/>
    </row>
    <row r="9999" spans="45:45">
      <c r="AS9999" s="47"/>
    </row>
    <row r="10000" spans="45:45">
      <c r="AS10000" s="47"/>
    </row>
    <row r="10001" spans="45:45">
      <c r="AS10001" s="47"/>
    </row>
    <row r="10002" spans="45:45">
      <c r="AS10002" s="47"/>
    </row>
    <row r="10003" spans="45:45">
      <c r="AS10003" s="47"/>
    </row>
    <row r="10004" spans="45:45">
      <c r="AS10004" s="47"/>
    </row>
    <row r="10005" spans="45:45">
      <c r="AS10005" s="47"/>
    </row>
    <row r="10006" spans="45:45">
      <c r="AS10006" s="47"/>
    </row>
    <row r="10007" spans="45:45">
      <c r="AS10007" s="47"/>
    </row>
    <row r="10008" spans="45:45">
      <c r="AS10008" s="47"/>
    </row>
    <row r="10009" spans="45:45">
      <c r="AS10009" s="47"/>
    </row>
    <row r="10010" spans="45:45">
      <c r="AS10010" s="47"/>
    </row>
    <row r="10011" spans="45:45">
      <c r="AS10011" s="47"/>
    </row>
    <row r="10012" spans="45:45">
      <c r="AS10012" s="47"/>
    </row>
    <row r="10013" spans="45:45">
      <c r="AS10013" s="47"/>
    </row>
    <row r="10014" spans="45:45">
      <c r="AS10014" s="47"/>
    </row>
    <row r="10015" spans="45:45">
      <c r="AS10015" s="47"/>
    </row>
    <row r="10016" spans="45:45">
      <c r="AS10016" s="47"/>
    </row>
    <row r="10017" spans="45:45">
      <c r="AS10017" s="47"/>
    </row>
    <row r="10018" spans="45:45">
      <c r="AS10018" s="47"/>
    </row>
    <row r="10019" spans="45:45">
      <c r="AS10019" s="47"/>
    </row>
    <row r="10020" spans="45:45">
      <c r="AS10020" s="47"/>
    </row>
    <row r="10021" spans="45:45">
      <c r="AS10021" s="47"/>
    </row>
    <row r="10022" spans="45:45">
      <c r="AS10022" s="47"/>
    </row>
    <row r="10023" spans="45:45">
      <c r="AS10023" s="47"/>
    </row>
    <row r="10024" spans="45:45">
      <c r="AS10024" s="47"/>
    </row>
    <row r="10025" spans="45:45">
      <c r="AS10025" s="47"/>
    </row>
    <row r="10026" spans="45:45">
      <c r="AS10026" s="47"/>
    </row>
    <row r="10027" spans="45:45">
      <c r="AS10027" s="47"/>
    </row>
    <row r="10028" spans="45:45">
      <c r="AS10028" s="47"/>
    </row>
    <row r="10029" spans="45:45">
      <c r="AS10029" s="47"/>
    </row>
    <row r="10030" spans="45:45">
      <c r="AS10030" s="47"/>
    </row>
    <row r="10031" spans="45:45">
      <c r="AS10031" s="47"/>
    </row>
    <row r="10032" spans="45:45">
      <c r="AS10032" s="47"/>
    </row>
    <row r="10033" spans="45:45">
      <c r="AS10033" s="47"/>
    </row>
    <row r="10034" spans="45:45">
      <c r="AS10034" s="47"/>
    </row>
    <row r="10035" spans="45:45">
      <c r="AS10035" s="47"/>
    </row>
    <row r="10036" spans="45:45">
      <c r="AS10036" s="47"/>
    </row>
    <row r="10037" spans="45:45">
      <c r="AS10037" s="47"/>
    </row>
    <row r="10038" spans="45:45">
      <c r="AS10038" s="47"/>
    </row>
    <row r="10039" spans="45:45">
      <c r="AS10039" s="47"/>
    </row>
    <row r="10040" spans="45:45">
      <c r="AS10040" s="47"/>
    </row>
    <row r="10041" spans="45:45">
      <c r="AS10041" s="47"/>
    </row>
    <row r="10042" spans="45:45">
      <c r="AS10042" s="47"/>
    </row>
    <row r="10043" spans="45:45">
      <c r="AS10043" s="47"/>
    </row>
    <row r="10044" spans="45:45">
      <c r="AS10044" s="47"/>
    </row>
    <row r="10045" spans="45:45">
      <c r="AS10045" s="47"/>
    </row>
    <row r="10046" spans="45:45">
      <c r="AS10046" s="47"/>
    </row>
    <row r="10047" spans="45:45">
      <c r="AS10047" s="47"/>
    </row>
    <row r="10048" spans="45:45">
      <c r="AS10048" s="47"/>
    </row>
    <row r="10049" spans="45:45">
      <c r="AS10049" s="47"/>
    </row>
    <row r="10050" spans="45:45">
      <c r="AS10050" s="47"/>
    </row>
    <row r="10051" spans="45:45">
      <c r="AS10051" s="47"/>
    </row>
    <row r="10052" spans="45:45">
      <c r="AS10052" s="47"/>
    </row>
    <row r="10053" spans="45:45">
      <c r="AS10053" s="47"/>
    </row>
    <row r="10054" spans="45:45">
      <c r="AS10054" s="47"/>
    </row>
    <row r="10055" spans="45:45">
      <c r="AS10055" s="47"/>
    </row>
    <row r="10056" spans="45:45">
      <c r="AS10056" s="47"/>
    </row>
    <row r="10057" spans="45:45">
      <c r="AS10057" s="47"/>
    </row>
    <row r="10058" spans="45:45">
      <c r="AS10058" s="47"/>
    </row>
    <row r="10059" spans="45:45">
      <c r="AS10059" s="47"/>
    </row>
    <row r="10060" spans="45:45">
      <c r="AS10060" s="47"/>
    </row>
    <row r="10061" spans="45:45">
      <c r="AS10061" s="47"/>
    </row>
    <row r="10062" spans="45:45">
      <c r="AS10062" s="47"/>
    </row>
    <row r="10063" spans="45:45">
      <c r="AS10063" s="47"/>
    </row>
    <row r="10064" spans="45:45">
      <c r="AS10064" s="47"/>
    </row>
    <row r="10065" spans="45:45">
      <c r="AS10065" s="47"/>
    </row>
    <row r="10066" spans="45:45">
      <c r="AS10066" s="47"/>
    </row>
    <row r="10067" spans="45:45">
      <c r="AS10067" s="47"/>
    </row>
    <row r="10068" spans="45:45">
      <c r="AS10068" s="47"/>
    </row>
    <row r="10069" spans="45:45">
      <c r="AS10069" s="47"/>
    </row>
    <row r="10070" spans="45:45">
      <c r="AS10070" s="47"/>
    </row>
    <row r="10071" spans="45:45">
      <c r="AS10071" s="47"/>
    </row>
    <row r="10072" spans="45:45">
      <c r="AS10072" s="47"/>
    </row>
    <row r="10073" spans="45:45">
      <c r="AS10073" s="47"/>
    </row>
    <row r="10074" spans="45:45">
      <c r="AS10074" s="47"/>
    </row>
    <row r="10075" spans="45:45">
      <c r="AS10075" s="47"/>
    </row>
    <row r="10076" spans="45:45">
      <c r="AS10076" s="47"/>
    </row>
    <row r="10077" spans="45:45">
      <c r="AS10077" s="47"/>
    </row>
    <row r="10078" spans="45:45">
      <c r="AS10078" s="47"/>
    </row>
    <row r="10079" spans="45:45">
      <c r="AS10079" s="47"/>
    </row>
    <row r="10080" spans="45:45">
      <c r="AS10080" s="47"/>
    </row>
    <row r="10081" spans="45:45">
      <c r="AS10081" s="47"/>
    </row>
    <row r="10082" spans="45:45">
      <c r="AS10082" s="47"/>
    </row>
    <row r="10083" spans="45:45">
      <c r="AS10083" s="47"/>
    </row>
    <row r="10084" spans="45:45">
      <c r="AS10084" s="47"/>
    </row>
    <row r="10085" spans="45:45">
      <c r="AS10085" s="47"/>
    </row>
    <row r="10086" spans="45:45">
      <c r="AS10086" s="47"/>
    </row>
    <row r="10087" spans="45:45">
      <c r="AS10087" s="47"/>
    </row>
    <row r="10088" spans="45:45">
      <c r="AS10088" s="47"/>
    </row>
    <row r="10089" spans="45:45">
      <c r="AS10089" s="47"/>
    </row>
    <row r="10090" spans="45:45">
      <c r="AS10090" s="47"/>
    </row>
    <row r="10091" spans="45:45">
      <c r="AS10091" s="47"/>
    </row>
    <row r="10092" spans="45:45">
      <c r="AS10092" s="47"/>
    </row>
    <row r="10093" spans="45:45">
      <c r="AS10093" s="47"/>
    </row>
    <row r="10094" spans="45:45">
      <c r="AS10094" s="47"/>
    </row>
    <row r="10095" spans="45:45">
      <c r="AS10095" s="47"/>
    </row>
    <row r="10096" spans="45:45">
      <c r="AS10096" s="47"/>
    </row>
    <row r="10097" spans="45:45">
      <c r="AS10097" s="47"/>
    </row>
    <row r="10098" spans="45:45">
      <c r="AS10098" s="47"/>
    </row>
    <row r="10099" spans="45:45">
      <c r="AS10099" s="47"/>
    </row>
    <row r="10100" spans="45:45">
      <c r="AS10100" s="47"/>
    </row>
    <row r="10101" spans="45:45">
      <c r="AS10101" s="47"/>
    </row>
    <row r="10102" spans="45:45">
      <c r="AS10102" s="47"/>
    </row>
    <row r="10103" spans="45:45">
      <c r="AS10103" s="47"/>
    </row>
    <row r="10104" spans="45:45">
      <c r="AS10104" s="47"/>
    </row>
    <row r="10105" spans="45:45">
      <c r="AS10105" s="47"/>
    </row>
    <row r="10106" spans="45:45">
      <c r="AS10106" s="47"/>
    </row>
    <row r="10107" spans="45:45">
      <c r="AS10107" s="47"/>
    </row>
    <row r="10108" spans="45:45">
      <c r="AS10108" s="47"/>
    </row>
    <row r="10109" spans="45:45">
      <c r="AS10109" s="47"/>
    </row>
    <row r="10110" spans="45:45">
      <c r="AS10110" s="47"/>
    </row>
    <row r="10111" spans="45:45">
      <c r="AS10111" s="47"/>
    </row>
    <row r="10112" spans="45:45">
      <c r="AS10112" s="47"/>
    </row>
    <row r="10113" spans="45:45">
      <c r="AS10113" s="47"/>
    </row>
    <row r="10114" spans="45:45">
      <c r="AS10114" s="47"/>
    </row>
    <row r="10115" spans="45:45">
      <c r="AS10115" s="47"/>
    </row>
    <row r="10116" spans="45:45">
      <c r="AS10116" s="47"/>
    </row>
    <row r="10117" spans="45:45">
      <c r="AS10117" s="47"/>
    </row>
    <row r="10118" spans="45:45">
      <c r="AS10118" s="47"/>
    </row>
    <row r="10119" spans="45:45">
      <c r="AS10119" s="47"/>
    </row>
    <row r="10120" spans="45:45">
      <c r="AS10120" s="47"/>
    </row>
    <row r="10121" spans="45:45">
      <c r="AS10121" s="47"/>
    </row>
    <row r="10122" spans="45:45">
      <c r="AS10122" s="47"/>
    </row>
    <row r="10123" spans="45:45">
      <c r="AS10123" s="47"/>
    </row>
    <row r="10124" spans="45:45">
      <c r="AS10124" s="47"/>
    </row>
    <row r="10125" spans="45:45">
      <c r="AS10125" s="47"/>
    </row>
    <row r="10126" spans="45:45">
      <c r="AS10126" s="47"/>
    </row>
    <row r="10127" spans="45:45">
      <c r="AS10127" s="47"/>
    </row>
    <row r="10128" spans="45:45">
      <c r="AS10128" s="47"/>
    </row>
    <row r="10129" spans="45:45">
      <c r="AS10129" s="47"/>
    </row>
    <row r="10130" spans="45:45">
      <c r="AS10130" s="47"/>
    </row>
    <row r="10131" spans="45:45">
      <c r="AS10131" s="47"/>
    </row>
    <row r="10132" spans="45:45">
      <c r="AS10132" s="47"/>
    </row>
    <row r="10133" spans="45:45">
      <c r="AS10133" s="47"/>
    </row>
    <row r="10134" spans="45:45">
      <c r="AS10134" s="47"/>
    </row>
    <row r="10135" spans="45:45">
      <c r="AS10135" s="47"/>
    </row>
    <row r="10136" spans="45:45">
      <c r="AS10136" s="47"/>
    </row>
    <row r="10137" spans="45:45">
      <c r="AS10137" s="47"/>
    </row>
    <row r="10138" spans="45:45">
      <c r="AS10138" s="47"/>
    </row>
    <row r="10139" spans="45:45">
      <c r="AS10139" s="47"/>
    </row>
    <row r="10140" spans="45:45">
      <c r="AS10140" s="47"/>
    </row>
    <row r="10141" spans="45:45">
      <c r="AS10141" s="47"/>
    </row>
    <row r="10142" spans="45:45">
      <c r="AS10142" s="47"/>
    </row>
    <row r="10143" spans="45:45">
      <c r="AS10143" s="47"/>
    </row>
    <row r="10144" spans="45:45">
      <c r="AS10144" s="47"/>
    </row>
    <row r="10145" spans="45:45">
      <c r="AS10145" s="47"/>
    </row>
    <row r="10146" spans="45:45">
      <c r="AS10146" s="47"/>
    </row>
    <row r="10147" spans="45:45">
      <c r="AS10147" s="47"/>
    </row>
    <row r="10148" spans="45:45">
      <c r="AS10148" s="47"/>
    </row>
    <row r="10149" spans="45:45">
      <c r="AS10149" s="47"/>
    </row>
    <row r="10150" spans="45:45">
      <c r="AS10150" s="47"/>
    </row>
    <row r="10151" spans="45:45">
      <c r="AS10151" s="47"/>
    </row>
    <row r="10152" spans="45:45">
      <c r="AS10152" s="47"/>
    </row>
    <row r="10153" spans="45:45">
      <c r="AS10153" s="47"/>
    </row>
    <row r="10154" spans="45:45">
      <c r="AS10154" s="47"/>
    </row>
    <row r="10155" spans="45:45">
      <c r="AS10155" s="47"/>
    </row>
    <row r="10156" spans="45:45">
      <c r="AS10156" s="47"/>
    </row>
    <row r="10157" spans="45:45">
      <c r="AS10157" s="47"/>
    </row>
    <row r="10158" spans="45:45">
      <c r="AS10158" s="47"/>
    </row>
    <row r="10159" spans="45:45">
      <c r="AS10159" s="47"/>
    </row>
    <row r="10160" spans="45:45">
      <c r="AS10160" s="47"/>
    </row>
    <row r="10161" spans="45:45">
      <c r="AS10161" s="47"/>
    </row>
    <row r="10162" spans="45:45">
      <c r="AS10162" s="47"/>
    </row>
    <row r="10163" spans="45:45">
      <c r="AS10163" s="47"/>
    </row>
    <row r="10164" spans="45:45">
      <c r="AS10164" s="47"/>
    </row>
    <row r="10165" spans="45:45">
      <c r="AS10165" s="47"/>
    </row>
    <row r="10166" spans="45:45">
      <c r="AS10166" s="47"/>
    </row>
    <row r="10167" spans="45:45">
      <c r="AS10167" s="47"/>
    </row>
    <row r="10168" spans="45:45">
      <c r="AS10168" s="47"/>
    </row>
    <row r="10169" spans="45:45">
      <c r="AS10169" s="47"/>
    </row>
    <row r="10170" spans="45:45">
      <c r="AS10170" s="47"/>
    </row>
    <row r="10171" spans="45:45">
      <c r="AS10171" s="47"/>
    </row>
    <row r="10172" spans="45:45">
      <c r="AS10172" s="47"/>
    </row>
    <row r="10173" spans="45:45">
      <c r="AS10173" s="47"/>
    </row>
    <row r="10174" spans="45:45">
      <c r="AS10174" s="47"/>
    </row>
    <row r="10175" spans="45:45">
      <c r="AS10175" s="47"/>
    </row>
    <row r="10176" spans="45:45">
      <c r="AS10176" s="47"/>
    </row>
    <row r="10177" spans="45:45">
      <c r="AS10177" s="47"/>
    </row>
    <row r="10178" spans="45:45">
      <c r="AS10178" s="47"/>
    </row>
    <row r="10179" spans="45:45">
      <c r="AS10179" s="47"/>
    </row>
    <row r="10180" spans="45:45">
      <c r="AS10180" s="47"/>
    </row>
    <row r="10181" spans="45:45">
      <c r="AS10181" s="47"/>
    </row>
    <row r="10182" spans="45:45">
      <c r="AS10182" s="47"/>
    </row>
    <row r="10183" spans="45:45">
      <c r="AS10183" s="47"/>
    </row>
    <row r="10184" spans="45:45">
      <c r="AS10184" s="47"/>
    </row>
    <row r="10185" spans="45:45">
      <c r="AS10185" s="47"/>
    </row>
    <row r="10186" spans="45:45">
      <c r="AS10186" s="47"/>
    </row>
    <row r="10187" spans="45:45">
      <c r="AS10187" s="47"/>
    </row>
    <row r="10188" spans="45:45">
      <c r="AS10188" s="47"/>
    </row>
    <row r="10189" spans="45:45">
      <c r="AS10189" s="47"/>
    </row>
    <row r="10190" spans="45:45">
      <c r="AS10190" s="47"/>
    </row>
    <row r="10191" spans="45:45">
      <c r="AS10191" s="47"/>
    </row>
    <row r="10192" spans="45:45">
      <c r="AS10192" s="47"/>
    </row>
    <row r="10193" spans="45:45">
      <c r="AS10193" s="47"/>
    </row>
    <row r="10194" spans="45:45">
      <c r="AS10194" s="47"/>
    </row>
    <row r="10195" spans="45:45">
      <c r="AS10195" s="47"/>
    </row>
    <row r="10196" spans="45:45">
      <c r="AS10196" s="47"/>
    </row>
    <row r="10197" spans="45:45">
      <c r="AS10197" s="47"/>
    </row>
    <row r="10198" spans="45:45">
      <c r="AS10198" s="47"/>
    </row>
    <row r="10199" spans="45:45">
      <c r="AS10199" s="47"/>
    </row>
    <row r="10200" spans="45:45">
      <c r="AS10200" s="47"/>
    </row>
    <row r="10201" spans="45:45">
      <c r="AS10201" s="47"/>
    </row>
    <row r="10202" spans="45:45">
      <c r="AS10202" s="47"/>
    </row>
    <row r="10203" spans="45:45">
      <c r="AS10203" s="47"/>
    </row>
    <row r="10204" spans="45:45">
      <c r="AS10204" s="47"/>
    </row>
    <row r="10205" spans="45:45">
      <c r="AS10205" s="47"/>
    </row>
    <row r="10206" spans="45:45">
      <c r="AS10206" s="47"/>
    </row>
    <row r="10207" spans="45:45">
      <c r="AS10207" s="47"/>
    </row>
    <row r="10208" spans="45:45">
      <c r="AS10208" s="47"/>
    </row>
    <row r="10209" spans="45:45">
      <c r="AS10209" s="47"/>
    </row>
    <row r="10210" spans="45:45">
      <c r="AS10210" s="47"/>
    </row>
    <row r="10211" spans="45:45">
      <c r="AS10211" s="47"/>
    </row>
    <row r="10212" spans="45:45">
      <c r="AS10212" s="47"/>
    </row>
    <row r="10213" spans="45:45">
      <c r="AS10213" s="47"/>
    </row>
    <row r="10214" spans="45:45">
      <c r="AS10214" s="47"/>
    </row>
    <row r="10215" spans="45:45">
      <c r="AS10215" s="47"/>
    </row>
    <row r="10216" spans="45:45">
      <c r="AS10216" s="47"/>
    </row>
    <row r="10217" spans="45:45">
      <c r="AS10217" s="47"/>
    </row>
    <row r="10218" spans="45:45">
      <c r="AS10218" s="47"/>
    </row>
    <row r="10219" spans="45:45">
      <c r="AS10219" s="47"/>
    </row>
    <row r="10220" spans="45:45">
      <c r="AS10220" s="47"/>
    </row>
    <row r="10221" spans="45:45">
      <c r="AS10221" s="47"/>
    </row>
    <row r="10222" spans="45:45">
      <c r="AS10222" s="47"/>
    </row>
    <row r="10223" spans="45:45">
      <c r="AS10223" s="47"/>
    </row>
    <row r="10224" spans="45:45">
      <c r="AS10224" s="47"/>
    </row>
    <row r="10225" spans="45:45">
      <c r="AS10225" s="47"/>
    </row>
    <row r="10226" spans="45:45">
      <c r="AS10226" s="47"/>
    </row>
    <row r="10227" spans="45:45">
      <c r="AS10227" s="47"/>
    </row>
    <row r="10228" spans="45:45">
      <c r="AS10228" s="47"/>
    </row>
    <row r="10229" spans="45:45">
      <c r="AS10229" s="47"/>
    </row>
    <row r="10230" spans="45:45">
      <c r="AS10230" s="47"/>
    </row>
    <row r="10231" spans="45:45">
      <c r="AS10231" s="47"/>
    </row>
    <row r="10232" spans="45:45">
      <c r="AS10232" s="47"/>
    </row>
    <row r="10233" spans="45:45">
      <c r="AS10233" s="47"/>
    </row>
    <row r="10234" spans="45:45">
      <c r="AS10234" s="47"/>
    </row>
    <row r="10235" spans="45:45">
      <c r="AS10235" s="47"/>
    </row>
    <row r="10236" spans="45:45">
      <c r="AS10236" s="47"/>
    </row>
    <row r="10237" spans="45:45">
      <c r="AS10237" s="47"/>
    </row>
    <row r="10238" spans="45:45">
      <c r="AS10238" s="47"/>
    </row>
    <row r="10239" spans="45:45">
      <c r="AS10239" s="47"/>
    </row>
    <row r="10240" spans="45:45">
      <c r="AS10240" s="47"/>
    </row>
    <row r="10241" spans="45:45">
      <c r="AS10241" s="47"/>
    </row>
    <row r="10242" spans="45:45">
      <c r="AS10242" s="47"/>
    </row>
    <row r="10243" spans="45:45">
      <c r="AS10243" s="47"/>
    </row>
    <row r="10244" spans="45:45">
      <c r="AS10244" s="47"/>
    </row>
    <row r="10245" spans="45:45">
      <c r="AS10245" s="47"/>
    </row>
    <row r="10246" spans="45:45">
      <c r="AS10246" s="47"/>
    </row>
    <row r="10247" spans="45:45">
      <c r="AS10247" s="47"/>
    </row>
    <row r="10248" spans="45:45">
      <c r="AS10248" s="47"/>
    </row>
    <row r="10249" spans="45:45">
      <c r="AS10249" s="47"/>
    </row>
    <row r="10250" spans="45:45">
      <c r="AS10250" s="47"/>
    </row>
    <row r="10251" spans="45:45">
      <c r="AS10251" s="47"/>
    </row>
    <row r="10252" spans="45:45">
      <c r="AS10252" s="47"/>
    </row>
    <row r="10253" spans="45:45">
      <c r="AS10253" s="47"/>
    </row>
    <row r="10254" spans="45:45">
      <c r="AS10254" s="47"/>
    </row>
    <row r="10255" spans="45:45">
      <c r="AS10255" s="47"/>
    </row>
    <row r="10256" spans="45:45">
      <c r="AS10256" s="47"/>
    </row>
    <row r="10257" spans="45:45">
      <c r="AS10257" s="47"/>
    </row>
    <row r="10258" spans="45:45">
      <c r="AS10258" s="47"/>
    </row>
    <row r="10259" spans="45:45">
      <c r="AS10259" s="47"/>
    </row>
    <row r="10260" spans="45:45">
      <c r="AS10260" s="47"/>
    </row>
    <row r="10261" spans="45:45">
      <c r="AS10261" s="47"/>
    </row>
    <row r="10262" spans="45:45">
      <c r="AS10262" s="47"/>
    </row>
    <row r="10263" spans="45:45">
      <c r="AS10263" s="47"/>
    </row>
    <row r="10264" spans="45:45">
      <c r="AS10264" s="47"/>
    </row>
    <row r="10265" spans="45:45">
      <c r="AS10265" s="47"/>
    </row>
    <row r="10266" spans="45:45">
      <c r="AS10266" s="47"/>
    </row>
    <row r="10267" spans="45:45">
      <c r="AS10267" s="47"/>
    </row>
    <row r="10268" spans="45:45">
      <c r="AS10268" s="47"/>
    </row>
    <row r="10269" spans="45:45">
      <c r="AS10269" s="47"/>
    </row>
    <row r="10270" spans="45:45">
      <c r="AS10270" s="47"/>
    </row>
    <row r="10271" spans="45:45">
      <c r="AS10271" s="47"/>
    </row>
    <row r="10272" spans="45:45">
      <c r="AS10272" s="47"/>
    </row>
    <row r="10273" spans="45:45">
      <c r="AS10273" s="47"/>
    </row>
    <row r="10274" spans="45:45">
      <c r="AS10274" s="47"/>
    </row>
    <row r="10275" spans="45:45">
      <c r="AS10275" s="47"/>
    </row>
    <row r="10276" spans="45:45">
      <c r="AS10276" s="47"/>
    </row>
    <row r="10277" spans="45:45">
      <c r="AS10277" s="47"/>
    </row>
    <row r="10278" spans="45:45">
      <c r="AS10278" s="47"/>
    </row>
    <row r="10279" spans="45:45">
      <c r="AS10279" s="47"/>
    </row>
    <row r="10280" spans="45:45">
      <c r="AS10280" s="47"/>
    </row>
    <row r="10281" spans="45:45">
      <c r="AS10281" s="47"/>
    </row>
    <row r="10282" spans="45:45">
      <c r="AS10282" s="47"/>
    </row>
    <row r="10283" spans="45:45">
      <c r="AS10283" s="47"/>
    </row>
    <row r="10284" spans="45:45">
      <c r="AS10284" s="47"/>
    </row>
    <row r="10285" spans="45:45">
      <c r="AS10285" s="47"/>
    </row>
    <row r="10286" spans="45:45">
      <c r="AS10286" s="47"/>
    </row>
    <row r="10287" spans="45:45">
      <c r="AS10287" s="47"/>
    </row>
    <row r="10288" spans="45:45">
      <c r="AS10288" s="47"/>
    </row>
    <row r="10289" spans="45:45">
      <c r="AS10289" s="47"/>
    </row>
    <row r="10290" spans="45:45">
      <c r="AS10290" s="47"/>
    </row>
    <row r="10291" spans="45:45">
      <c r="AS10291" s="47"/>
    </row>
    <row r="10292" spans="45:45">
      <c r="AS10292" s="47"/>
    </row>
    <row r="10293" spans="45:45">
      <c r="AS10293" s="47"/>
    </row>
    <row r="10294" spans="45:45">
      <c r="AS10294" s="47"/>
    </row>
    <row r="10295" spans="45:45">
      <c r="AS10295" s="47"/>
    </row>
    <row r="10296" spans="45:45">
      <c r="AS10296" s="47"/>
    </row>
    <row r="10297" spans="45:45">
      <c r="AS10297" s="47"/>
    </row>
    <row r="10298" spans="45:45">
      <c r="AS10298" s="47"/>
    </row>
    <row r="10299" spans="45:45">
      <c r="AS10299" s="47"/>
    </row>
    <row r="10300" spans="45:45">
      <c r="AS10300" s="47"/>
    </row>
    <row r="10301" spans="45:45">
      <c r="AS10301" s="47"/>
    </row>
    <row r="10302" spans="45:45">
      <c r="AS10302" s="47"/>
    </row>
    <row r="10303" spans="45:45">
      <c r="AS10303" s="47"/>
    </row>
    <row r="10304" spans="45:45">
      <c r="AS10304" s="47"/>
    </row>
    <row r="10305" spans="45:45">
      <c r="AS10305" s="47"/>
    </row>
    <row r="10306" spans="45:45">
      <c r="AS10306" s="47"/>
    </row>
    <row r="10307" spans="45:45">
      <c r="AS10307" s="47"/>
    </row>
    <row r="10308" spans="45:45">
      <c r="AS10308" s="47"/>
    </row>
    <row r="10309" spans="45:45">
      <c r="AS10309" s="47"/>
    </row>
    <row r="10310" spans="45:45">
      <c r="AS10310" s="47"/>
    </row>
    <row r="10311" spans="45:45">
      <c r="AS10311" s="47"/>
    </row>
    <row r="10312" spans="45:45">
      <c r="AS10312" s="47"/>
    </row>
    <row r="10313" spans="45:45">
      <c r="AS10313" s="47"/>
    </row>
    <row r="10314" spans="45:45">
      <c r="AS10314" s="47"/>
    </row>
    <row r="10315" spans="45:45">
      <c r="AS10315" s="47"/>
    </row>
    <row r="10316" spans="45:45">
      <c r="AS10316" s="47"/>
    </row>
    <row r="10317" spans="45:45">
      <c r="AS10317" s="47"/>
    </row>
    <row r="10318" spans="45:45">
      <c r="AS10318" s="47"/>
    </row>
    <row r="10319" spans="45:45">
      <c r="AS10319" s="47"/>
    </row>
    <row r="10320" spans="45:45">
      <c r="AS10320" s="47"/>
    </row>
    <row r="10321" spans="45:45">
      <c r="AS10321" s="47"/>
    </row>
    <row r="10322" spans="45:45">
      <c r="AS10322" s="47"/>
    </row>
    <row r="10323" spans="45:45">
      <c r="AS10323" s="47"/>
    </row>
    <row r="10324" spans="45:45">
      <c r="AS10324" s="47"/>
    </row>
    <row r="10325" spans="45:45">
      <c r="AS10325" s="47"/>
    </row>
    <row r="10326" spans="45:45">
      <c r="AS10326" s="47"/>
    </row>
    <row r="10327" spans="45:45">
      <c r="AS10327" s="47"/>
    </row>
    <row r="10328" spans="45:45">
      <c r="AS10328" s="47"/>
    </row>
    <row r="10329" spans="45:45">
      <c r="AS10329" s="47"/>
    </row>
    <row r="10330" spans="45:45">
      <c r="AS10330" s="47"/>
    </row>
    <row r="10331" spans="45:45">
      <c r="AS10331" s="47"/>
    </row>
    <row r="10332" spans="45:45">
      <c r="AS10332" s="47"/>
    </row>
    <row r="10333" spans="45:45">
      <c r="AS10333" s="47"/>
    </row>
    <row r="10334" spans="45:45">
      <c r="AS10334" s="47"/>
    </row>
    <row r="10335" spans="45:45">
      <c r="AS10335" s="47"/>
    </row>
    <row r="10336" spans="45:45">
      <c r="AS10336" s="47"/>
    </row>
    <row r="10337" spans="45:45">
      <c r="AS10337" s="47"/>
    </row>
    <row r="10338" spans="45:45">
      <c r="AS10338" s="47"/>
    </row>
    <row r="10339" spans="45:45">
      <c r="AS10339" s="47"/>
    </row>
    <row r="10340" spans="45:45">
      <c r="AS10340" s="47"/>
    </row>
    <row r="10341" spans="45:45">
      <c r="AS10341" s="47"/>
    </row>
    <row r="10342" spans="45:45">
      <c r="AS10342" s="47"/>
    </row>
    <row r="10343" spans="45:45">
      <c r="AS10343" s="47"/>
    </row>
    <row r="10344" spans="45:45">
      <c r="AS10344" s="47"/>
    </row>
    <row r="10345" spans="45:45">
      <c r="AS10345" s="47"/>
    </row>
    <row r="10346" spans="45:45">
      <c r="AS10346" s="47"/>
    </row>
    <row r="10347" spans="45:45">
      <c r="AS10347" s="47"/>
    </row>
    <row r="10348" spans="45:45">
      <c r="AS10348" s="47"/>
    </row>
    <row r="10349" spans="45:45">
      <c r="AS10349" s="47"/>
    </row>
    <row r="10350" spans="45:45">
      <c r="AS10350" s="47"/>
    </row>
    <row r="10351" spans="45:45">
      <c r="AS10351" s="47"/>
    </row>
    <row r="10352" spans="45:45">
      <c r="AS10352" s="47"/>
    </row>
    <row r="10353" spans="45:45">
      <c r="AS10353" s="47"/>
    </row>
    <row r="10354" spans="45:45">
      <c r="AS10354" s="47"/>
    </row>
    <row r="10355" spans="45:45">
      <c r="AS10355" s="47"/>
    </row>
    <row r="10356" spans="45:45">
      <c r="AS10356" s="47"/>
    </row>
    <row r="10357" spans="45:45">
      <c r="AS10357" s="47"/>
    </row>
    <row r="10358" spans="45:45">
      <c r="AS10358" s="47"/>
    </row>
    <row r="10359" spans="45:45">
      <c r="AS10359" s="47"/>
    </row>
    <row r="10360" spans="45:45">
      <c r="AS10360" s="47"/>
    </row>
    <row r="10361" spans="45:45">
      <c r="AS10361" s="47"/>
    </row>
    <row r="10362" spans="45:45">
      <c r="AS10362" s="47"/>
    </row>
    <row r="10363" spans="45:45">
      <c r="AS10363" s="47"/>
    </row>
    <row r="10364" spans="45:45">
      <c r="AS10364" s="47"/>
    </row>
    <row r="10365" spans="45:45">
      <c r="AS10365" s="47"/>
    </row>
    <row r="10366" spans="45:45">
      <c r="AS10366" s="47"/>
    </row>
    <row r="10367" spans="45:45">
      <c r="AS10367" s="47"/>
    </row>
    <row r="10368" spans="45:45">
      <c r="AS10368" s="47"/>
    </row>
    <row r="10369" spans="45:45">
      <c r="AS10369" s="47"/>
    </row>
    <row r="10370" spans="45:45">
      <c r="AS10370" s="47"/>
    </row>
    <row r="10371" spans="45:45">
      <c r="AS10371" s="47"/>
    </row>
    <row r="10372" spans="45:45">
      <c r="AS10372" s="47"/>
    </row>
    <row r="10373" spans="45:45">
      <c r="AS10373" s="47"/>
    </row>
    <row r="10374" spans="45:45">
      <c r="AS10374" s="47"/>
    </row>
    <row r="10375" spans="45:45">
      <c r="AS10375" s="47"/>
    </row>
    <row r="10376" spans="45:45">
      <c r="AS10376" s="47"/>
    </row>
    <row r="10377" spans="45:45">
      <c r="AS10377" s="47"/>
    </row>
    <row r="10378" spans="45:45">
      <c r="AS10378" s="47"/>
    </row>
    <row r="10379" spans="45:45">
      <c r="AS10379" s="47"/>
    </row>
    <row r="10380" spans="45:45">
      <c r="AS10380" s="47"/>
    </row>
    <row r="10381" spans="45:45">
      <c r="AS10381" s="47"/>
    </row>
    <row r="10382" spans="45:45">
      <c r="AS10382" s="47"/>
    </row>
    <row r="10383" spans="45:45">
      <c r="AS10383" s="47"/>
    </row>
    <row r="10384" spans="45:45">
      <c r="AS10384" s="47"/>
    </row>
    <row r="10385" spans="45:45">
      <c r="AS10385" s="47"/>
    </row>
    <row r="10386" spans="45:45">
      <c r="AS10386" s="47"/>
    </row>
    <row r="10387" spans="45:45">
      <c r="AS10387" s="47"/>
    </row>
    <row r="10388" spans="45:45">
      <c r="AS10388" s="47"/>
    </row>
    <row r="10389" spans="45:45">
      <c r="AS10389" s="47"/>
    </row>
    <row r="10390" spans="45:45">
      <c r="AS10390" s="47"/>
    </row>
    <row r="10391" spans="45:45">
      <c r="AS10391" s="47"/>
    </row>
    <row r="10392" spans="45:45">
      <c r="AS10392" s="47"/>
    </row>
    <row r="10393" spans="45:45">
      <c r="AS10393" s="47"/>
    </row>
    <row r="10394" spans="45:45">
      <c r="AS10394" s="47"/>
    </row>
    <row r="10395" spans="45:45">
      <c r="AS10395" s="47"/>
    </row>
    <row r="10396" spans="45:45">
      <c r="AS10396" s="47"/>
    </row>
    <row r="10397" spans="45:45">
      <c r="AS10397" s="47"/>
    </row>
    <row r="10398" spans="45:45">
      <c r="AS10398" s="47"/>
    </row>
    <row r="10399" spans="45:45">
      <c r="AS10399" s="47"/>
    </row>
    <row r="10400" spans="45:45">
      <c r="AS10400" s="47"/>
    </row>
    <row r="10401" spans="45:45">
      <c r="AS10401" s="47"/>
    </row>
    <row r="10402" spans="45:45">
      <c r="AS10402" s="47"/>
    </row>
    <row r="10403" spans="45:45">
      <c r="AS10403" s="47"/>
    </row>
    <row r="10404" spans="45:45">
      <c r="AS10404" s="47"/>
    </row>
    <row r="10405" spans="45:45">
      <c r="AS10405" s="47"/>
    </row>
    <row r="10406" spans="45:45">
      <c r="AS10406" s="47"/>
    </row>
    <row r="10407" spans="45:45">
      <c r="AS10407" s="47"/>
    </row>
    <row r="10408" spans="45:45">
      <c r="AS10408" s="47"/>
    </row>
    <row r="10409" spans="45:45">
      <c r="AS10409" s="47"/>
    </row>
    <row r="10410" spans="45:45">
      <c r="AS10410" s="47"/>
    </row>
    <row r="10411" spans="45:45">
      <c r="AS10411" s="47"/>
    </row>
    <row r="10412" spans="45:45">
      <c r="AS10412" s="47"/>
    </row>
    <row r="10413" spans="45:45">
      <c r="AS10413" s="47"/>
    </row>
    <row r="10414" spans="45:45">
      <c r="AS10414" s="47"/>
    </row>
    <row r="10415" spans="45:45">
      <c r="AS10415" s="47"/>
    </row>
    <row r="10416" spans="45:45">
      <c r="AS10416" s="47"/>
    </row>
    <row r="10417" spans="45:45">
      <c r="AS10417" s="47"/>
    </row>
    <row r="10418" spans="45:45">
      <c r="AS10418" s="47"/>
    </row>
    <row r="10419" spans="45:45">
      <c r="AS10419" s="47"/>
    </row>
    <row r="10420" spans="45:45">
      <c r="AS10420" s="47"/>
    </row>
    <row r="10421" spans="45:45">
      <c r="AS10421" s="47"/>
    </row>
    <row r="10422" spans="45:45">
      <c r="AS10422" s="47"/>
    </row>
    <row r="10423" spans="45:45">
      <c r="AS10423" s="47"/>
    </row>
    <row r="10424" spans="45:45">
      <c r="AS10424" s="47"/>
    </row>
    <row r="10425" spans="45:45">
      <c r="AS10425" s="47"/>
    </row>
    <row r="10426" spans="45:45">
      <c r="AS10426" s="47"/>
    </row>
    <row r="10427" spans="45:45">
      <c r="AS10427" s="47"/>
    </row>
    <row r="10428" spans="45:45">
      <c r="AS10428" s="47"/>
    </row>
    <row r="10429" spans="45:45">
      <c r="AS10429" s="47"/>
    </row>
    <row r="10430" spans="45:45">
      <c r="AS10430" s="47"/>
    </row>
    <row r="10431" spans="45:45">
      <c r="AS10431" s="47"/>
    </row>
    <row r="10432" spans="45:45">
      <c r="AS10432" s="47"/>
    </row>
    <row r="10433" spans="45:45">
      <c r="AS10433" s="47"/>
    </row>
    <row r="10434" spans="45:45">
      <c r="AS10434" s="47"/>
    </row>
    <row r="10435" spans="45:45">
      <c r="AS10435" s="47"/>
    </row>
    <row r="10436" spans="45:45">
      <c r="AS10436" s="47"/>
    </row>
    <row r="10437" spans="45:45">
      <c r="AS10437" s="47"/>
    </row>
    <row r="10438" spans="45:45">
      <c r="AS10438" s="47"/>
    </row>
    <row r="10439" spans="45:45">
      <c r="AS10439" s="47"/>
    </row>
    <row r="10440" spans="45:45">
      <c r="AS10440" s="47"/>
    </row>
    <row r="10441" spans="45:45">
      <c r="AS10441" s="47"/>
    </row>
    <row r="10442" spans="45:45">
      <c r="AS10442" s="47"/>
    </row>
    <row r="10443" spans="45:45">
      <c r="AS10443" s="47"/>
    </row>
    <row r="10444" spans="45:45">
      <c r="AS10444" s="47"/>
    </row>
    <row r="10445" spans="45:45">
      <c r="AS10445" s="47"/>
    </row>
    <row r="10446" spans="45:45">
      <c r="AS10446" s="47"/>
    </row>
    <row r="10447" spans="45:45">
      <c r="AS10447" s="47"/>
    </row>
    <row r="10448" spans="45:45">
      <c r="AS10448" s="47"/>
    </row>
    <row r="10449" spans="45:45">
      <c r="AS10449" s="47"/>
    </row>
    <row r="10450" spans="45:45">
      <c r="AS10450" s="47"/>
    </row>
    <row r="10451" spans="45:45">
      <c r="AS10451" s="47"/>
    </row>
    <row r="10452" spans="45:45">
      <c r="AS10452" s="47"/>
    </row>
    <row r="10453" spans="45:45">
      <c r="AS10453" s="47"/>
    </row>
    <row r="10454" spans="45:45">
      <c r="AS10454" s="47"/>
    </row>
    <row r="10455" spans="45:45">
      <c r="AS10455" s="47"/>
    </row>
    <row r="10456" spans="45:45">
      <c r="AS10456" s="47"/>
    </row>
    <row r="10457" spans="45:45">
      <c r="AS10457" s="47"/>
    </row>
    <row r="10458" spans="45:45">
      <c r="AS10458" s="47"/>
    </row>
    <row r="10459" spans="45:45">
      <c r="AS10459" s="47"/>
    </row>
    <row r="10460" spans="45:45">
      <c r="AS10460" s="47"/>
    </row>
    <row r="10461" spans="45:45">
      <c r="AS10461" s="47"/>
    </row>
    <row r="10462" spans="45:45">
      <c r="AS10462" s="47"/>
    </row>
    <row r="10463" spans="45:45">
      <c r="AS10463" s="47"/>
    </row>
    <row r="10464" spans="45:45">
      <c r="AS10464" s="47"/>
    </row>
    <row r="10465" spans="45:45">
      <c r="AS10465" s="47"/>
    </row>
    <row r="10466" spans="45:45">
      <c r="AS10466" s="47"/>
    </row>
    <row r="10467" spans="45:45">
      <c r="AS10467" s="47"/>
    </row>
    <row r="10468" spans="45:45">
      <c r="AS10468" s="47"/>
    </row>
    <row r="10469" spans="45:45">
      <c r="AS10469" s="47"/>
    </row>
    <row r="10470" spans="45:45">
      <c r="AS10470" s="47"/>
    </row>
    <row r="10471" spans="45:45">
      <c r="AS10471" s="47"/>
    </row>
    <row r="10472" spans="45:45">
      <c r="AS10472" s="47"/>
    </row>
    <row r="10473" spans="45:45">
      <c r="AS10473" s="47"/>
    </row>
    <row r="10474" spans="45:45">
      <c r="AS10474" s="47"/>
    </row>
    <row r="10475" spans="45:45">
      <c r="AS10475" s="47"/>
    </row>
    <row r="10476" spans="45:45">
      <c r="AS10476" s="47"/>
    </row>
    <row r="10477" spans="45:45">
      <c r="AS10477" s="47"/>
    </row>
    <row r="10478" spans="45:45">
      <c r="AS10478" s="47"/>
    </row>
    <row r="10479" spans="45:45">
      <c r="AS10479" s="47"/>
    </row>
    <row r="10480" spans="45:45">
      <c r="AS10480" s="47"/>
    </row>
    <row r="10481" spans="45:45">
      <c r="AS10481" s="47"/>
    </row>
    <row r="10482" spans="45:45">
      <c r="AS10482" s="47"/>
    </row>
    <row r="10483" spans="45:45">
      <c r="AS10483" s="47"/>
    </row>
    <row r="10484" spans="45:45">
      <c r="AS10484" s="47"/>
    </row>
    <row r="10485" spans="45:45">
      <c r="AS10485" s="47"/>
    </row>
    <row r="10486" spans="45:45">
      <c r="AS10486" s="47"/>
    </row>
    <row r="10487" spans="45:45">
      <c r="AS10487" s="47"/>
    </row>
    <row r="10488" spans="45:45">
      <c r="AS10488" s="47"/>
    </row>
    <row r="10489" spans="45:45">
      <c r="AS10489" s="47"/>
    </row>
    <row r="10490" spans="45:45">
      <c r="AS10490" s="47"/>
    </row>
    <row r="10491" spans="45:45">
      <c r="AS10491" s="47"/>
    </row>
    <row r="10492" spans="45:45">
      <c r="AS10492" s="47"/>
    </row>
    <row r="10493" spans="45:45">
      <c r="AS10493" s="47"/>
    </row>
    <row r="10494" spans="45:45">
      <c r="AS10494" s="47"/>
    </row>
    <row r="10495" spans="45:45">
      <c r="AS10495" s="47"/>
    </row>
    <row r="10496" spans="45:45">
      <c r="AS10496" s="47"/>
    </row>
    <row r="10497" spans="45:45">
      <c r="AS10497" s="47"/>
    </row>
    <row r="10498" spans="45:45">
      <c r="AS10498" s="47"/>
    </row>
    <row r="10499" spans="45:45">
      <c r="AS10499" s="47"/>
    </row>
    <row r="10500" spans="45:45">
      <c r="AS10500" s="47"/>
    </row>
    <row r="10501" spans="45:45">
      <c r="AS10501" s="47"/>
    </row>
    <row r="10502" spans="45:45">
      <c r="AS10502" s="47"/>
    </row>
    <row r="10503" spans="45:45">
      <c r="AS10503" s="47"/>
    </row>
    <row r="10504" spans="45:45">
      <c r="AS10504" s="47"/>
    </row>
    <row r="10505" spans="45:45">
      <c r="AS10505" s="47"/>
    </row>
    <row r="10506" spans="45:45">
      <c r="AS10506" s="47"/>
    </row>
    <row r="10507" spans="45:45">
      <c r="AS10507" s="47"/>
    </row>
    <row r="10508" spans="45:45">
      <c r="AS10508" s="47"/>
    </row>
    <row r="10509" spans="45:45">
      <c r="AS10509" s="47"/>
    </row>
    <row r="10510" spans="45:45">
      <c r="AS10510" s="47"/>
    </row>
    <row r="10511" spans="45:45">
      <c r="AS10511" s="47"/>
    </row>
    <row r="10512" spans="45:45">
      <c r="AS10512" s="47"/>
    </row>
    <row r="10513" spans="45:45">
      <c r="AS10513" s="47"/>
    </row>
    <row r="10514" spans="45:45">
      <c r="AS10514" s="47"/>
    </row>
    <row r="10515" spans="45:45">
      <c r="AS10515" s="47"/>
    </row>
    <row r="10516" spans="45:45">
      <c r="AS10516" s="47"/>
    </row>
    <row r="10517" spans="45:45">
      <c r="AS10517" s="47"/>
    </row>
    <row r="10518" spans="45:45">
      <c r="AS10518" s="47"/>
    </row>
    <row r="10519" spans="45:45">
      <c r="AS10519" s="47"/>
    </row>
    <row r="10520" spans="45:45">
      <c r="AS10520" s="47"/>
    </row>
    <row r="10521" spans="45:45">
      <c r="AS10521" s="47"/>
    </row>
    <row r="10522" spans="45:45">
      <c r="AS10522" s="47"/>
    </row>
    <row r="10523" spans="45:45">
      <c r="AS10523" s="47"/>
    </row>
    <row r="10524" spans="45:45">
      <c r="AS10524" s="47"/>
    </row>
    <row r="10525" spans="45:45">
      <c r="AS10525" s="47"/>
    </row>
    <row r="10526" spans="45:45">
      <c r="AS10526" s="47"/>
    </row>
    <row r="10527" spans="45:45">
      <c r="AS10527" s="47"/>
    </row>
    <row r="10528" spans="45:45">
      <c r="AS10528" s="47"/>
    </row>
    <row r="10529" spans="45:45">
      <c r="AS10529" s="47"/>
    </row>
    <row r="10530" spans="45:45">
      <c r="AS10530" s="47"/>
    </row>
    <row r="10531" spans="45:45">
      <c r="AS10531" s="47"/>
    </row>
    <row r="10532" spans="45:45">
      <c r="AS10532" s="47"/>
    </row>
    <row r="10533" spans="45:45">
      <c r="AS10533" s="47"/>
    </row>
    <row r="10534" spans="45:45">
      <c r="AS10534" s="47"/>
    </row>
    <row r="10535" spans="45:45">
      <c r="AS10535" s="47"/>
    </row>
    <row r="10536" spans="45:45">
      <c r="AS10536" s="47"/>
    </row>
    <row r="10537" spans="45:45">
      <c r="AS10537" s="47"/>
    </row>
    <row r="10538" spans="45:45">
      <c r="AS10538" s="47"/>
    </row>
    <row r="10539" spans="45:45">
      <c r="AS10539" s="47"/>
    </row>
    <row r="10540" spans="45:45">
      <c r="AS10540" s="47"/>
    </row>
    <row r="10541" spans="45:45">
      <c r="AS10541" s="47"/>
    </row>
    <row r="10542" spans="45:45">
      <c r="AS10542" s="47"/>
    </row>
    <row r="10543" spans="45:45">
      <c r="AS10543" s="47"/>
    </row>
    <row r="10544" spans="45:45">
      <c r="AS10544" s="47"/>
    </row>
    <row r="10545" spans="45:45">
      <c r="AS10545" s="47"/>
    </row>
    <row r="10546" spans="45:45">
      <c r="AS10546" s="47"/>
    </row>
    <row r="10547" spans="45:45">
      <c r="AS10547" s="47"/>
    </row>
    <row r="10548" spans="45:45">
      <c r="AS10548" s="47"/>
    </row>
    <row r="10549" spans="45:45">
      <c r="AS10549" s="47"/>
    </row>
    <row r="10550" spans="45:45">
      <c r="AS10550" s="47"/>
    </row>
    <row r="10551" spans="45:45">
      <c r="AS10551" s="47"/>
    </row>
    <row r="10552" spans="45:45">
      <c r="AS10552" s="47"/>
    </row>
    <row r="10553" spans="45:45">
      <c r="AS10553" s="47"/>
    </row>
    <row r="10554" spans="45:45">
      <c r="AS10554" s="47"/>
    </row>
    <row r="10555" spans="45:45">
      <c r="AS10555" s="47"/>
    </row>
    <row r="10556" spans="45:45">
      <c r="AS10556" s="47"/>
    </row>
    <row r="10557" spans="45:45">
      <c r="AS10557" s="47"/>
    </row>
    <row r="10558" spans="45:45">
      <c r="AS10558" s="47"/>
    </row>
    <row r="10559" spans="45:45">
      <c r="AS10559" s="47"/>
    </row>
    <row r="10560" spans="45:45">
      <c r="AS10560" s="47"/>
    </row>
    <row r="10561" spans="45:45">
      <c r="AS10561" s="47"/>
    </row>
    <row r="10562" spans="45:45">
      <c r="AS10562" s="47"/>
    </row>
    <row r="10563" spans="45:45">
      <c r="AS10563" s="47"/>
    </row>
    <row r="10564" spans="45:45">
      <c r="AS10564" s="47"/>
    </row>
    <row r="10565" spans="45:45">
      <c r="AS10565" s="47"/>
    </row>
    <row r="10566" spans="45:45">
      <c r="AS10566" s="47"/>
    </row>
    <row r="10567" spans="45:45">
      <c r="AS10567" s="47"/>
    </row>
    <row r="10568" spans="45:45">
      <c r="AS10568" s="47"/>
    </row>
    <row r="10569" spans="45:45">
      <c r="AS10569" s="47"/>
    </row>
    <row r="10570" spans="45:45">
      <c r="AS10570" s="47"/>
    </row>
    <row r="10571" spans="45:45">
      <c r="AS10571" s="47"/>
    </row>
    <row r="10572" spans="45:45">
      <c r="AS10572" s="47"/>
    </row>
    <row r="10573" spans="45:45">
      <c r="AS10573" s="47"/>
    </row>
    <row r="10574" spans="45:45">
      <c r="AS10574" s="47"/>
    </row>
    <row r="10575" spans="45:45">
      <c r="AS10575" s="47"/>
    </row>
    <row r="10576" spans="45:45">
      <c r="AS10576" s="47"/>
    </row>
    <row r="10577" spans="45:45">
      <c r="AS10577" s="47"/>
    </row>
    <row r="10578" spans="45:45">
      <c r="AS10578" s="47"/>
    </row>
    <row r="10579" spans="45:45">
      <c r="AS10579" s="47"/>
    </row>
    <row r="10580" spans="45:45">
      <c r="AS10580" s="47"/>
    </row>
    <row r="10581" spans="45:45">
      <c r="AS10581" s="47"/>
    </row>
    <row r="10582" spans="45:45">
      <c r="AS10582" s="47"/>
    </row>
    <row r="10583" spans="45:45">
      <c r="AS10583" s="47"/>
    </row>
    <row r="10584" spans="45:45">
      <c r="AS10584" s="47"/>
    </row>
    <row r="10585" spans="45:45">
      <c r="AS10585" s="47"/>
    </row>
    <row r="10586" spans="45:45">
      <c r="AS10586" s="47"/>
    </row>
    <row r="10587" spans="45:45">
      <c r="AS10587" s="47"/>
    </row>
    <row r="10588" spans="45:45">
      <c r="AS10588" s="47"/>
    </row>
    <row r="10589" spans="45:45">
      <c r="AS10589" s="47"/>
    </row>
    <row r="10590" spans="45:45">
      <c r="AS10590" s="47"/>
    </row>
    <row r="10591" spans="45:45">
      <c r="AS10591" s="47"/>
    </row>
    <row r="10592" spans="45:45">
      <c r="AS10592" s="47"/>
    </row>
    <row r="10593" spans="45:45">
      <c r="AS10593" s="47"/>
    </row>
    <row r="10594" spans="45:45">
      <c r="AS10594" s="47"/>
    </row>
    <row r="10595" spans="45:45">
      <c r="AS10595" s="47"/>
    </row>
    <row r="10596" spans="45:45">
      <c r="AS10596" s="47"/>
    </row>
    <row r="10597" spans="45:45">
      <c r="AS10597" s="47"/>
    </row>
    <row r="10598" spans="45:45">
      <c r="AS10598" s="47"/>
    </row>
    <row r="10599" spans="45:45">
      <c r="AS10599" s="47"/>
    </row>
    <row r="10600" spans="45:45">
      <c r="AS10600" s="47"/>
    </row>
    <row r="10601" spans="45:45">
      <c r="AS10601" s="47"/>
    </row>
    <row r="10602" spans="45:45">
      <c r="AS10602" s="47"/>
    </row>
    <row r="10603" spans="45:45">
      <c r="AS10603" s="47"/>
    </row>
    <row r="10604" spans="45:45">
      <c r="AS10604" s="47"/>
    </row>
    <row r="10605" spans="45:45">
      <c r="AS10605" s="47"/>
    </row>
    <row r="10606" spans="45:45">
      <c r="AS10606" s="47"/>
    </row>
    <row r="10607" spans="45:45">
      <c r="AS10607" s="47"/>
    </row>
    <row r="10608" spans="45:45">
      <c r="AS10608" s="47"/>
    </row>
    <row r="10609" spans="45:45">
      <c r="AS10609" s="47"/>
    </row>
    <row r="10610" spans="45:45">
      <c r="AS10610" s="47"/>
    </row>
    <row r="10611" spans="45:45">
      <c r="AS10611" s="47"/>
    </row>
    <row r="10612" spans="45:45">
      <c r="AS10612" s="47"/>
    </row>
    <row r="10613" spans="45:45">
      <c r="AS10613" s="47"/>
    </row>
    <row r="10614" spans="45:45">
      <c r="AS10614" s="47"/>
    </row>
    <row r="10615" spans="45:45">
      <c r="AS10615" s="47"/>
    </row>
    <row r="10616" spans="45:45">
      <c r="AS10616" s="47"/>
    </row>
    <row r="10617" spans="45:45">
      <c r="AS10617" s="47"/>
    </row>
    <row r="10618" spans="45:45">
      <c r="AS10618" s="47"/>
    </row>
    <row r="10619" spans="45:45">
      <c r="AS10619" s="47"/>
    </row>
    <row r="10620" spans="45:45">
      <c r="AS10620" s="47"/>
    </row>
    <row r="10621" spans="45:45">
      <c r="AS10621" s="47"/>
    </row>
    <row r="10622" spans="45:45">
      <c r="AS10622" s="47"/>
    </row>
    <row r="10623" spans="45:45">
      <c r="AS10623" s="47"/>
    </row>
    <row r="10624" spans="45:45">
      <c r="AS10624" s="47"/>
    </row>
    <row r="10625" spans="45:45">
      <c r="AS10625" s="47"/>
    </row>
    <row r="10626" spans="45:45">
      <c r="AS10626" s="47"/>
    </row>
    <row r="10627" spans="45:45">
      <c r="AS10627" s="47"/>
    </row>
    <row r="10628" spans="45:45">
      <c r="AS10628" s="47"/>
    </row>
    <row r="10629" spans="45:45">
      <c r="AS10629" s="47"/>
    </row>
    <row r="10630" spans="45:45">
      <c r="AS10630" s="47"/>
    </row>
    <row r="10631" spans="45:45">
      <c r="AS10631" s="47"/>
    </row>
    <row r="10632" spans="45:45">
      <c r="AS10632" s="47"/>
    </row>
    <row r="10633" spans="45:45">
      <c r="AS10633" s="47"/>
    </row>
    <row r="10634" spans="45:45">
      <c r="AS10634" s="47"/>
    </row>
    <row r="10635" spans="45:45">
      <c r="AS10635" s="47"/>
    </row>
    <row r="10636" spans="45:45">
      <c r="AS10636" s="47"/>
    </row>
    <row r="10637" spans="45:45">
      <c r="AS10637" s="47"/>
    </row>
    <row r="10638" spans="45:45">
      <c r="AS10638" s="47"/>
    </row>
    <row r="10639" spans="45:45">
      <c r="AS10639" s="47"/>
    </row>
    <row r="10640" spans="45:45">
      <c r="AS10640" s="47"/>
    </row>
    <row r="10641" spans="45:45">
      <c r="AS10641" s="47"/>
    </row>
    <row r="10642" spans="45:45">
      <c r="AS10642" s="47"/>
    </row>
    <row r="10643" spans="45:45">
      <c r="AS10643" s="47"/>
    </row>
    <row r="10644" spans="45:45">
      <c r="AS10644" s="47"/>
    </row>
    <row r="10645" spans="45:45">
      <c r="AS10645" s="47"/>
    </row>
    <row r="10646" spans="45:45">
      <c r="AS10646" s="47"/>
    </row>
    <row r="10647" spans="45:45">
      <c r="AS10647" s="47"/>
    </row>
    <row r="10648" spans="45:45">
      <c r="AS10648" s="47"/>
    </row>
    <row r="10649" spans="45:45">
      <c r="AS10649" s="47"/>
    </row>
    <row r="10650" spans="45:45">
      <c r="AS10650" s="47"/>
    </row>
    <row r="10651" spans="45:45">
      <c r="AS10651" s="47"/>
    </row>
    <row r="10652" spans="45:45">
      <c r="AS10652" s="47"/>
    </row>
    <row r="10653" spans="45:45">
      <c r="AS10653" s="47"/>
    </row>
    <row r="10654" spans="45:45">
      <c r="AS10654" s="47"/>
    </row>
    <row r="10655" spans="45:45">
      <c r="AS10655" s="47"/>
    </row>
    <row r="10656" spans="45:45">
      <c r="AS10656" s="47"/>
    </row>
    <row r="10657" spans="45:45">
      <c r="AS10657" s="47"/>
    </row>
    <row r="10658" spans="45:45">
      <c r="AS10658" s="47"/>
    </row>
    <row r="10659" spans="45:45">
      <c r="AS10659" s="47"/>
    </row>
    <row r="10660" spans="45:45">
      <c r="AS10660" s="47"/>
    </row>
    <row r="10661" spans="45:45">
      <c r="AS10661" s="47"/>
    </row>
    <row r="10662" spans="45:45">
      <c r="AS10662" s="47"/>
    </row>
    <row r="10663" spans="45:45">
      <c r="AS10663" s="47"/>
    </row>
    <row r="10664" spans="45:45">
      <c r="AS10664" s="47"/>
    </row>
    <row r="10665" spans="45:45">
      <c r="AS10665" s="47"/>
    </row>
    <row r="10666" spans="45:45">
      <c r="AS10666" s="47"/>
    </row>
    <row r="10667" spans="45:45">
      <c r="AS10667" s="47"/>
    </row>
    <row r="10668" spans="45:45">
      <c r="AS10668" s="47"/>
    </row>
    <row r="10669" spans="45:45">
      <c r="AS10669" s="47"/>
    </row>
    <row r="10670" spans="45:45">
      <c r="AS10670" s="47"/>
    </row>
    <row r="10671" spans="45:45">
      <c r="AS10671" s="47"/>
    </row>
    <row r="10672" spans="45:45">
      <c r="AS10672" s="47"/>
    </row>
    <row r="10673" spans="45:45">
      <c r="AS10673" s="47"/>
    </row>
    <row r="10674" spans="45:45">
      <c r="AS10674" s="47"/>
    </row>
    <row r="10675" spans="45:45">
      <c r="AS10675" s="47"/>
    </row>
    <row r="10676" spans="45:45">
      <c r="AS10676" s="47"/>
    </row>
    <row r="10677" spans="45:45">
      <c r="AS10677" s="47"/>
    </row>
    <row r="10678" spans="45:45">
      <c r="AS10678" s="47"/>
    </row>
    <row r="10679" spans="45:45">
      <c r="AS10679" s="47"/>
    </row>
    <row r="10680" spans="45:45">
      <c r="AS10680" s="47"/>
    </row>
    <row r="10681" spans="45:45">
      <c r="AS10681" s="47"/>
    </row>
    <row r="10682" spans="45:45">
      <c r="AS10682" s="47"/>
    </row>
    <row r="10683" spans="45:45">
      <c r="AS10683" s="47"/>
    </row>
    <row r="10684" spans="45:45">
      <c r="AS10684" s="47"/>
    </row>
    <row r="10685" spans="45:45">
      <c r="AS10685" s="47"/>
    </row>
    <row r="10686" spans="45:45">
      <c r="AS10686" s="47"/>
    </row>
    <row r="10687" spans="45:45">
      <c r="AS10687" s="47"/>
    </row>
    <row r="10688" spans="45:45">
      <c r="AS10688" s="47"/>
    </row>
    <row r="10689" spans="45:45">
      <c r="AS10689" s="47"/>
    </row>
    <row r="10690" spans="45:45">
      <c r="AS10690" s="47"/>
    </row>
    <row r="10691" spans="45:45">
      <c r="AS10691" s="47"/>
    </row>
    <row r="10692" spans="45:45">
      <c r="AS10692" s="47"/>
    </row>
    <row r="10693" spans="45:45">
      <c r="AS10693" s="47"/>
    </row>
    <row r="10694" spans="45:45">
      <c r="AS10694" s="47"/>
    </row>
    <row r="10695" spans="45:45">
      <c r="AS10695" s="47"/>
    </row>
    <row r="10696" spans="45:45">
      <c r="AS10696" s="47"/>
    </row>
    <row r="10697" spans="45:45">
      <c r="AS10697" s="47"/>
    </row>
    <row r="10698" spans="45:45">
      <c r="AS10698" s="47"/>
    </row>
    <row r="10699" spans="45:45">
      <c r="AS10699" s="47"/>
    </row>
    <row r="10700" spans="45:45">
      <c r="AS10700" s="47"/>
    </row>
    <row r="10701" spans="45:45">
      <c r="AS10701" s="47"/>
    </row>
    <row r="10702" spans="45:45">
      <c r="AS10702" s="47"/>
    </row>
    <row r="10703" spans="45:45">
      <c r="AS10703" s="47"/>
    </row>
    <row r="10704" spans="45:45">
      <c r="AS10704" s="47"/>
    </row>
    <row r="10705" spans="45:45">
      <c r="AS10705" s="47"/>
    </row>
    <row r="10706" spans="45:45">
      <c r="AS10706" s="47"/>
    </row>
    <row r="10707" spans="45:45">
      <c r="AS10707" s="47"/>
    </row>
    <row r="10708" spans="45:45">
      <c r="AS10708" s="47"/>
    </row>
    <row r="10709" spans="45:45">
      <c r="AS10709" s="47"/>
    </row>
    <row r="10710" spans="45:45">
      <c r="AS10710" s="47"/>
    </row>
    <row r="10711" spans="45:45">
      <c r="AS10711" s="47"/>
    </row>
    <row r="10712" spans="45:45">
      <c r="AS10712" s="47"/>
    </row>
    <row r="10713" spans="45:45">
      <c r="AS10713" s="47"/>
    </row>
    <row r="10714" spans="45:45">
      <c r="AS10714" s="47"/>
    </row>
    <row r="10715" spans="45:45">
      <c r="AS10715" s="47"/>
    </row>
    <row r="10716" spans="45:45">
      <c r="AS10716" s="47"/>
    </row>
    <row r="10717" spans="45:45">
      <c r="AS10717" s="47"/>
    </row>
    <row r="10718" spans="45:45">
      <c r="AS10718" s="47"/>
    </row>
    <row r="10719" spans="45:45">
      <c r="AS10719" s="47"/>
    </row>
    <row r="10720" spans="45:45">
      <c r="AS10720" s="47"/>
    </row>
    <row r="10721" spans="45:45">
      <c r="AS10721" s="47"/>
    </row>
    <row r="10722" spans="45:45">
      <c r="AS10722" s="47"/>
    </row>
    <row r="10723" spans="45:45">
      <c r="AS10723" s="47"/>
    </row>
    <row r="10724" spans="45:45">
      <c r="AS10724" s="47"/>
    </row>
    <row r="10725" spans="45:45">
      <c r="AS10725" s="47"/>
    </row>
    <row r="10726" spans="45:45">
      <c r="AS10726" s="47"/>
    </row>
    <row r="10727" spans="45:45">
      <c r="AS10727" s="47"/>
    </row>
    <row r="10728" spans="45:45">
      <c r="AS10728" s="47"/>
    </row>
    <row r="10729" spans="45:45">
      <c r="AS10729" s="47"/>
    </row>
    <row r="10730" spans="45:45">
      <c r="AS10730" s="47"/>
    </row>
    <row r="10731" spans="45:45">
      <c r="AS10731" s="47"/>
    </row>
    <row r="10732" spans="45:45">
      <c r="AS10732" s="47"/>
    </row>
    <row r="10733" spans="45:45">
      <c r="AS10733" s="47"/>
    </row>
    <row r="10734" spans="45:45">
      <c r="AS10734" s="47"/>
    </row>
    <row r="10735" spans="45:45">
      <c r="AS10735" s="47"/>
    </row>
    <row r="10736" spans="45:45">
      <c r="AS10736" s="47"/>
    </row>
    <row r="10737" spans="45:45">
      <c r="AS10737" s="47"/>
    </row>
    <row r="10738" spans="45:45">
      <c r="AS10738" s="47"/>
    </row>
    <row r="10739" spans="45:45">
      <c r="AS10739" s="47"/>
    </row>
    <row r="10740" spans="45:45">
      <c r="AS10740" s="47"/>
    </row>
    <row r="10741" spans="45:45">
      <c r="AS10741" s="47"/>
    </row>
    <row r="10742" spans="45:45">
      <c r="AS10742" s="47"/>
    </row>
    <row r="10743" spans="45:45">
      <c r="AS10743" s="47"/>
    </row>
    <row r="10744" spans="45:45">
      <c r="AS10744" s="47"/>
    </row>
    <row r="10745" spans="45:45">
      <c r="AS10745" s="47"/>
    </row>
    <row r="10746" spans="45:45">
      <c r="AS10746" s="47"/>
    </row>
    <row r="10747" spans="45:45">
      <c r="AS10747" s="47"/>
    </row>
    <row r="10748" spans="45:45">
      <c r="AS10748" s="47"/>
    </row>
    <row r="10749" spans="45:45">
      <c r="AS10749" s="47"/>
    </row>
    <row r="10750" spans="45:45">
      <c r="AS10750" s="47"/>
    </row>
    <row r="10751" spans="45:45">
      <c r="AS10751" s="47"/>
    </row>
    <row r="10752" spans="45:45">
      <c r="AS10752" s="47"/>
    </row>
    <row r="10753" spans="45:45">
      <c r="AS10753" s="47"/>
    </row>
    <row r="10754" spans="45:45">
      <c r="AS10754" s="47"/>
    </row>
    <row r="10755" spans="45:45">
      <c r="AS10755" s="47"/>
    </row>
    <row r="10756" spans="45:45">
      <c r="AS10756" s="47"/>
    </row>
    <row r="10757" spans="45:45">
      <c r="AS10757" s="47"/>
    </row>
    <row r="10758" spans="45:45">
      <c r="AS10758" s="47"/>
    </row>
    <row r="10759" spans="45:45">
      <c r="AS10759" s="47"/>
    </row>
    <row r="10760" spans="45:45">
      <c r="AS10760" s="47"/>
    </row>
    <row r="10761" spans="45:45">
      <c r="AS10761" s="47"/>
    </row>
    <row r="10762" spans="45:45">
      <c r="AS10762" s="47"/>
    </row>
    <row r="10763" spans="45:45">
      <c r="AS10763" s="47"/>
    </row>
    <row r="10764" spans="45:45">
      <c r="AS10764" s="47"/>
    </row>
    <row r="10765" spans="45:45">
      <c r="AS10765" s="47"/>
    </row>
    <row r="10766" spans="45:45">
      <c r="AS10766" s="47"/>
    </row>
    <row r="10767" spans="45:45">
      <c r="AS10767" s="47"/>
    </row>
    <row r="10768" spans="45:45">
      <c r="AS10768" s="47"/>
    </row>
    <row r="10769" spans="45:45">
      <c r="AS10769" s="47"/>
    </row>
    <row r="10770" spans="45:45">
      <c r="AS10770" s="47"/>
    </row>
    <row r="10771" spans="45:45">
      <c r="AS10771" s="47"/>
    </row>
    <row r="10772" spans="45:45">
      <c r="AS10772" s="47"/>
    </row>
    <row r="10773" spans="45:45">
      <c r="AS10773" s="47"/>
    </row>
    <row r="10774" spans="45:45">
      <c r="AS10774" s="47"/>
    </row>
    <row r="10775" spans="45:45">
      <c r="AS10775" s="47"/>
    </row>
    <row r="10776" spans="45:45">
      <c r="AS10776" s="47"/>
    </row>
    <row r="10777" spans="45:45">
      <c r="AS10777" s="47"/>
    </row>
    <row r="10778" spans="45:45">
      <c r="AS10778" s="47"/>
    </row>
    <row r="10779" spans="45:45">
      <c r="AS10779" s="47"/>
    </row>
    <row r="10780" spans="45:45">
      <c r="AS10780" s="47"/>
    </row>
    <row r="10781" spans="45:45">
      <c r="AS10781" s="47"/>
    </row>
    <row r="10782" spans="45:45">
      <c r="AS10782" s="47"/>
    </row>
    <row r="10783" spans="45:45">
      <c r="AS10783" s="47"/>
    </row>
    <row r="10784" spans="45:45">
      <c r="AS10784" s="47"/>
    </row>
    <row r="10785" spans="45:45">
      <c r="AS10785" s="47"/>
    </row>
    <row r="10786" spans="45:45">
      <c r="AS10786" s="47"/>
    </row>
    <row r="10787" spans="45:45">
      <c r="AS10787" s="47"/>
    </row>
    <row r="10788" spans="45:45">
      <c r="AS10788" s="47"/>
    </row>
    <row r="10789" spans="45:45">
      <c r="AS10789" s="47"/>
    </row>
    <row r="10790" spans="45:45">
      <c r="AS10790" s="47"/>
    </row>
    <row r="10791" spans="45:45">
      <c r="AS10791" s="47"/>
    </row>
    <row r="10792" spans="45:45">
      <c r="AS10792" s="47"/>
    </row>
    <row r="10793" spans="45:45">
      <c r="AS10793" s="47"/>
    </row>
    <row r="10794" spans="45:45">
      <c r="AS10794" s="47"/>
    </row>
    <row r="10795" spans="45:45">
      <c r="AS10795" s="47"/>
    </row>
    <row r="10796" spans="45:45">
      <c r="AS10796" s="47"/>
    </row>
    <row r="10797" spans="45:45">
      <c r="AS10797" s="47"/>
    </row>
    <row r="10798" spans="45:45">
      <c r="AS10798" s="47"/>
    </row>
    <row r="10799" spans="45:45">
      <c r="AS10799" s="47"/>
    </row>
    <row r="10800" spans="45:45">
      <c r="AS10800" s="47"/>
    </row>
    <row r="10801" spans="45:45">
      <c r="AS10801" s="47"/>
    </row>
    <row r="10802" spans="45:45">
      <c r="AS10802" s="47"/>
    </row>
    <row r="10803" spans="45:45">
      <c r="AS10803" s="47"/>
    </row>
    <row r="10804" spans="45:45">
      <c r="AS10804" s="47"/>
    </row>
    <row r="10805" spans="45:45">
      <c r="AS10805" s="47"/>
    </row>
    <row r="10806" spans="45:45">
      <c r="AS10806" s="47"/>
    </row>
    <row r="10807" spans="45:45">
      <c r="AS10807" s="47"/>
    </row>
    <row r="10808" spans="45:45">
      <c r="AS10808" s="47"/>
    </row>
    <row r="10809" spans="45:45">
      <c r="AS10809" s="47"/>
    </row>
    <row r="10810" spans="45:45">
      <c r="AS10810" s="47"/>
    </row>
    <row r="10811" spans="45:45">
      <c r="AS10811" s="47"/>
    </row>
    <row r="10812" spans="45:45">
      <c r="AS10812" s="47"/>
    </row>
    <row r="10813" spans="45:45">
      <c r="AS10813" s="47"/>
    </row>
    <row r="10814" spans="45:45">
      <c r="AS10814" s="47"/>
    </row>
    <row r="10815" spans="45:45">
      <c r="AS10815" s="47"/>
    </row>
    <row r="10816" spans="45:45">
      <c r="AS10816" s="47"/>
    </row>
    <row r="10817" spans="45:45">
      <c r="AS10817" s="47"/>
    </row>
    <row r="10818" spans="45:45">
      <c r="AS10818" s="47"/>
    </row>
    <row r="10819" spans="45:45">
      <c r="AS10819" s="47"/>
    </row>
    <row r="10820" spans="45:45">
      <c r="AS10820" s="47"/>
    </row>
    <row r="10821" spans="45:45">
      <c r="AS10821" s="47"/>
    </row>
    <row r="10822" spans="45:45">
      <c r="AS10822" s="47"/>
    </row>
    <row r="10823" spans="45:45">
      <c r="AS10823" s="47"/>
    </row>
    <row r="10824" spans="45:45">
      <c r="AS10824" s="47"/>
    </row>
    <row r="10825" spans="45:45">
      <c r="AS10825" s="47"/>
    </row>
    <row r="10826" spans="45:45">
      <c r="AS10826" s="47"/>
    </row>
    <row r="10827" spans="45:45">
      <c r="AS10827" s="47"/>
    </row>
    <row r="10828" spans="45:45">
      <c r="AS10828" s="47"/>
    </row>
    <row r="10829" spans="45:45">
      <c r="AS10829" s="47"/>
    </row>
    <row r="10830" spans="45:45">
      <c r="AS10830" s="47"/>
    </row>
    <row r="10831" spans="45:45">
      <c r="AS10831" s="47"/>
    </row>
    <row r="10832" spans="45:45">
      <c r="AS10832" s="47"/>
    </row>
    <row r="10833" spans="45:45">
      <c r="AS10833" s="47"/>
    </row>
    <row r="10834" spans="45:45">
      <c r="AS10834" s="47"/>
    </row>
    <row r="10835" spans="45:45">
      <c r="AS10835" s="47"/>
    </row>
    <row r="10836" spans="45:45">
      <c r="AS10836" s="47"/>
    </row>
    <row r="10837" spans="45:45">
      <c r="AS10837" s="47"/>
    </row>
    <row r="10838" spans="45:45">
      <c r="AS10838" s="47"/>
    </row>
    <row r="10839" spans="45:45">
      <c r="AS10839" s="47"/>
    </row>
    <row r="10840" spans="45:45">
      <c r="AS10840" s="47"/>
    </row>
    <row r="10841" spans="45:45">
      <c r="AS10841" s="47"/>
    </row>
    <row r="10842" spans="45:45">
      <c r="AS10842" s="47"/>
    </row>
    <row r="10843" spans="45:45">
      <c r="AS10843" s="47"/>
    </row>
    <row r="10844" spans="45:45">
      <c r="AS10844" s="47"/>
    </row>
    <row r="10845" spans="45:45">
      <c r="AS10845" s="47"/>
    </row>
    <row r="10846" spans="45:45">
      <c r="AS10846" s="47"/>
    </row>
    <row r="10847" spans="45:45">
      <c r="AS10847" s="47"/>
    </row>
    <row r="10848" spans="45:45">
      <c r="AS10848" s="47"/>
    </row>
    <row r="10849" spans="45:45">
      <c r="AS10849" s="47"/>
    </row>
    <row r="10850" spans="45:45">
      <c r="AS10850" s="47"/>
    </row>
    <row r="10851" spans="45:45">
      <c r="AS10851" s="47"/>
    </row>
    <row r="10852" spans="45:45">
      <c r="AS10852" s="47"/>
    </row>
    <row r="10853" spans="45:45">
      <c r="AS10853" s="47"/>
    </row>
    <row r="10854" spans="45:45">
      <c r="AS10854" s="47"/>
    </row>
    <row r="10855" spans="45:45">
      <c r="AS10855" s="47"/>
    </row>
    <row r="10856" spans="45:45">
      <c r="AS10856" s="47"/>
    </row>
    <row r="10857" spans="45:45">
      <c r="AS10857" s="47"/>
    </row>
    <row r="10858" spans="45:45">
      <c r="AS10858" s="47"/>
    </row>
    <row r="10859" spans="45:45">
      <c r="AS10859" s="47"/>
    </row>
    <row r="10860" spans="45:45">
      <c r="AS10860" s="47"/>
    </row>
    <row r="10861" spans="45:45">
      <c r="AS10861" s="47"/>
    </row>
    <row r="10862" spans="45:45">
      <c r="AS10862" s="47"/>
    </row>
    <row r="10863" spans="45:45">
      <c r="AS10863" s="47"/>
    </row>
    <row r="10864" spans="45:45">
      <c r="AS10864" s="47"/>
    </row>
    <row r="10865" spans="45:45">
      <c r="AS10865" s="47"/>
    </row>
    <row r="10866" spans="45:45">
      <c r="AS10866" s="47"/>
    </row>
    <row r="10867" spans="45:45">
      <c r="AS10867" s="47"/>
    </row>
    <row r="10868" spans="45:45">
      <c r="AS10868" s="47"/>
    </row>
    <row r="10869" spans="45:45">
      <c r="AS10869" s="47"/>
    </row>
    <row r="10870" spans="45:45">
      <c r="AS10870" s="47"/>
    </row>
    <row r="10871" spans="45:45">
      <c r="AS10871" s="47"/>
    </row>
    <row r="10872" spans="45:45">
      <c r="AS10872" s="47"/>
    </row>
    <row r="10873" spans="45:45">
      <c r="AS10873" s="47"/>
    </row>
    <row r="10874" spans="45:45">
      <c r="AS10874" s="47"/>
    </row>
    <row r="10875" spans="45:45">
      <c r="AS10875" s="47"/>
    </row>
    <row r="10876" spans="45:45">
      <c r="AS10876" s="47"/>
    </row>
    <row r="10877" spans="45:45">
      <c r="AS10877" s="47"/>
    </row>
    <row r="10878" spans="45:45">
      <c r="AS10878" s="47"/>
    </row>
    <row r="10879" spans="45:45">
      <c r="AS10879" s="47"/>
    </row>
    <row r="10880" spans="45:45">
      <c r="AS10880" s="47"/>
    </row>
    <row r="10881" spans="45:45">
      <c r="AS10881" s="47"/>
    </row>
    <row r="10882" spans="45:45">
      <c r="AS10882" s="47"/>
    </row>
    <row r="10883" spans="45:45">
      <c r="AS10883" s="47"/>
    </row>
    <row r="10884" spans="45:45">
      <c r="AS10884" s="47"/>
    </row>
    <row r="10885" spans="45:45">
      <c r="AS10885" s="47"/>
    </row>
    <row r="10886" spans="45:45">
      <c r="AS10886" s="47"/>
    </row>
    <row r="10887" spans="45:45">
      <c r="AS10887" s="47"/>
    </row>
    <row r="10888" spans="45:45">
      <c r="AS10888" s="47"/>
    </row>
    <row r="10889" spans="45:45">
      <c r="AS10889" s="47"/>
    </row>
    <row r="10890" spans="45:45">
      <c r="AS10890" s="47"/>
    </row>
    <row r="10891" spans="45:45">
      <c r="AS10891" s="47"/>
    </row>
    <row r="10892" spans="45:45">
      <c r="AS10892" s="47"/>
    </row>
    <row r="10893" spans="45:45">
      <c r="AS10893" s="47"/>
    </row>
    <row r="10894" spans="45:45">
      <c r="AS10894" s="47"/>
    </row>
    <row r="10895" spans="45:45">
      <c r="AS10895" s="47"/>
    </row>
    <row r="10896" spans="45:45">
      <c r="AS10896" s="47"/>
    </row>
    <row r="10897" spans="45:45">
      <c r="AS10897" s="47"/>
    </row>
    <row r="10898" spans="45:45">
      <c r="AS10898" s="47"/>
    </row>
    <row r="10899" spans="45:45">
      <c r="AS10899" s="47"/>
    </row>
    <row r="10900" spans="45:45">
      <c r="AS10900" s="47"/>
    </row>
    <row r="10901" spans="45:45">
      <c r="AS10901" s="47"/>
    </row>
    <row r="10902" spans="45:45">
      <c r="AS10902" s="47"/>
    </row>
    <row r="10903" spans="45:45">
      <c r="AS10903" s="47"/>
    </row>
    <row r="10904" spans="45:45">
      <c r="AS10904" s="47"/>
    </row>
    <row r="10905" spans="45:45">
      <c r="AS10905" s="47"/>
    </row>
    <row r="10906" spans="45:45">
      <c r="AS10906" s="47"/>
    </row>
    <row r="10907" spans="45:45">
      <c r="AS10907" s="47"/>
    </row>
    <row r="10908" spans="45:45">
      <c r="AS10908" s="47"/>
    </row>
    <row r="10909" spans="45:45">
      <c r="AS10909" s="47"/>
    </row>
    <row r="10910" spans="45:45">
      <c r="AS10910" s="47"/>
    </row>
    <row r="10911" spans="45:45">
      <c r="AS10911" s="47"/>
    </row>
    <row r="10912" spans="45:45">
      <c r="AS10912" s="47"/>
    </row>
    <row r="10913" spans="45:45">
      <c r="AS10913" s="47"/>
    </row>
    <row r="10914" spans="45:45">
      <c r="AS10914" s="47"/>
    </row>
    <row r="10915" spans="45:45">
      <c r="AS10915" s="47"/>
    </row>
    <row r="10916" spans="45:45">
      <c r="AS10916" s="47"/>
    </row>
    <row r="10917" spans="45:45">
      <c r="AS10917" s="47"/>
    </row>
    <row r="10918" spans="45:45">
      <c r="AS10918" s="47"/>
    </row>
    <row r="10919" spans="45:45">
      <c r="AS10919" s="47"/>
    </row>
    <row r="10920" spans="45:45">
      <c r="AS10920" s="47"/>
    </row>
    <row r="10921" spans="45:45">
      <c r="AS10921" s="47"/>
    </row>
    <row r="10922" spans="45:45">
      <c r="AS10922" s="47"/>
    </row>
    <row r="10923" spans="45:45">
      <c r="AS10923" s="47"/>
    </row>
    <row r="10924" spans="45:45">
      <c r="AS10924" s="47"/>
    </row>
    <row r="10925" spans="45:45">
      <c r="AS10925" s="47"/>
    </row>
    <row r="10926" spans="45:45">
      <c r="AS10926" s="47"/>
    </row>
    <row r="10927" spans="45:45">
      <c r="AS10927" s="47"/>
    </row>
    <row r="10928" spans="45:45">
      <c r="AS10928" s="47"/>
    </row>
    <row r="10929" spans="45:45">
      <c r="AS10929" s="47"/>
    </row>
    <row r="10930" spans="45:45">
      <c r="AS10930" s="47"/>
    </row>
    <row r="10931" spans="45:45">
      <c r="AS10931" s="47"/>
    </row>
    <row r="10932" spans="45:45">
      <c r="AS10932" s="47"/>
    </row>
    <row r="10933" spans="45:45">
      <c r="AS10933" s="47"/>
    </row>
    <row r="10934" spans="45:45">
      <c r="AS10934" s="47"/>
    </row>
    <row r="10935" spans="45:45">
      <c r="AS10935" s="47"/>
    </row>
    <row r="10936" spans="45:45">
      <c r="AS10936" s="47"/>
    </row>
    <row r="10937" spans="45:45">
      <c r="AS10937" s="47"/>
    </row>
    <row r="10938" spans="45:45">
      <c r="AS10938" s="47"/>
    </row>
    <row r="10939" spans="45:45">
      <c r="AS10939" s="47"/>
    </row>
    <row r="10940" spans="45:45">
      <c r="AS10940" s="47"/>
    </row>
    <row r="10941" spans="45:45">
      <c r="AS10941" s="47"/>
    </row>
    <row r="10942" spans="45:45">
      <c r="AS10942" s="47"/>
    </row>
    <row r="10943" spans="45:45">
      <c r="AS10943" s="47"/>
    </row>
    <row r="10944" spans="45:45">
      <c r="AS10944" s="47"/>
    </row>
    <row r="10945" spans="45:45">
      <c r="AS10945" s="47"/>
    </row>
    <row r="10946" spans="45:45">
      <c r="AS10946" s="47"/>
    </row>
    <row r="10947" spans="45:45">
      <c r="AS10947" s="47"/>
    </row>
    <row r="10948" spans="45:45">
      <c r="AS10948" s="47"/>
    </row>
    <row r="10949" spans="45:45">
      <c r="AS10949" s="47"/>
    </row>
    <row r="10950" spans="45:45">
      <c r="AS10950" s="47"/>
    </row>
    <row r="10951" spans="45:45">
      <c r="AS10951" s="47"/>
    </row>
    <row r="10952" spans="45:45">
      <c r="AS10952" s="47"/>
    </row>
    <row r="10953" spans="45:45">
      <c r="AS10953" s="47"/>
    </row>
    <row r="10954" spans="45:45">
      <c r="AS10954" s="47"/>
    </row>
    <row r="10955" spans="45:45">
      <c r="AS10955" s="47"/>
    </row>
    <row r="10956" spans="45:45">
      <c r="AS10956" s="47"/>
    </row>
    <row r="10957" spans="45:45">
      <c r="AS10957" s="47"/>
    </row>
    <row r="10958" spans="45:45">
      <c r="AS10958" s="47"/>
    </row>
    <row r="10959" spans="45:45">
      <c r="AS10959" s="47"/>
    </row>
    <row r="10960" spans="45:45">
      <c r="AS10960" s="47"/>
    </row>
    <row r="10961" spans="45:45">
      <c r="AS10961" s="47"/>
    </row>
    <row r="10962" spans="45:45">
      <c r="AS10962" s="47"/>
    </row>
    <row r="10963" spans="45:45">
      <c r="AS10963" s="47"/>
    </row>
    <row r="10964" spans="45:45">
      <c r="AS10964" s="47"/>
    </row>
    <row r="10965" spans="45:45">
      <c r="AS10965" s="47"/>
    </row>
    <row r="10966" spans="45:45">
      <c r="AS10966" s="47"/>
    </row>
    <row r="10967" spans="45:45">
      <c r="AS10967" s="47"/>
    </row>
    <row r="10968" spans="45:45">
      <c r="AS10968" s="47"/>
    </row>
    <row r="10969" spans="45:45">
      <c r="AS10969" s="47"/>
    </row>
    <row r="10970" spans="45:45">
      <c r="AS10970" s="47"/>
    </row>
    <row r="10971" spans="45:45">
      <c r="AS10971" s="47"/>
    </row>
    <row r="10972" spans="45:45">
      <c r="AS10972" s="47"/>
    </row>
    <row r="10973" spans="45:45">
      <c r="AS10973" s="47"/>
    </row>
    <row r="10974" spans="45:45">
      <c r="AS10974" s="47"/>
    </row>
    <row r="10975" spans="45:45">
      <c r="AS10975" s="47"/>
    </row>
    <row r="10976" spans="45:45">
      <c r="AS10976" s="47"/>
    </row>
    <row r="10977" spans="45:45">
      <c r="AS10977" s="47"/>
    </row>
    <row r="10978" spans="45:45">
      <c r="AS10978" s="47"/>
    </row>
    <row r="10979" spans="45:45">
      <c r="AS10979" s="47"/>
    </row>
    <row r="10980" spans="45:45">
      <c r="AS10980" s="47"/>
    </row>
    <row r="10981" spans="45:45">
      <c r="AS10981" s="47"/>
    </row>
    <row r="10982" spans="45:45">
      <c r="AS10982" s="47"/>
    </row>
    <row r="10983" spans="45:45">
      <c r="AS10983" s="47"/>
    </row>
    <row r="10984" spans="45:45">
      <c r="AS10984" s="47"/>
    </row>
    <row r="10985" spans="45:45">
      <c r="AS10985" s="47"/>
    </row>
    <row r="10986" spans="45:45">
      <c r="AS10986" s="47"/>
    </row>
    <row r="10987" spans="45:45">
      <c r="AS10987" s="47"/>
    </row>
    <row r="10988" spans="45:45">
      <c r="AS10988" s="47"/>
    </row>
    <row r="10989" spans="45:45">
      <c r="AS10989" s="47"/>
    </row>
    <row r="10990" spans="45:45">
      <c r="AS10990" s="47"/>
    </row>
    <row r="10991" spans="45:45">
      <c r="AS10991" s="47"/>
    </row>
    <row r="10992" spans="45:45">
      <c r="AS10992" s="47"/>
    </row>
    <row r="10993" spans="45:45">
      <c r="AS10993" s="47"/>
    </row>
    <row r="10994" spans="45:45">
      <c r="AS10994" s="47"/>
    </row>
    <row r="10995" spans="45:45">
      <c r="AS10995" s="47"/>
    </row>
    <row r="10996" spans="45:45">
      <c r="AS10996" s="47"/>
    </row>
    <row r="10997" spans="45:45">
      <c r="AS10997" s="47"/>
    </row>
    <row r="10998" spans="45:45">
      <c r="AS10998" s="47"/>
    </row>
    <row r="10999" spans="45:45">
      <c r="AS10999" s="47"/>
    </row>
    <row r="11000" spans="45:45">
      <c r="AS11000" s="47"/>
    </row>
    <row r="11001" spans="45:45">
      <c r="AS11001" s="47"/>
    </row>
    <row r="11002" spans="45:45">
      <c r="AS11002" s="47"/>
    </row>
    <row r="11003" spans="45:45">
      <c r="AS11003" s="47"/>
    </row>
    <row r="11004" spans="45:45">
      <c r="AS11004" s="47"/>
    </row>
    <row r="11005" spans="45:45">
      <c r="AS11005" s="47"/>
    </row>
    <row r="11006" spans="45:45">
      <c r="AS11006" s="47"/>
    </row>
    <row r="11007" spans="45:45">
      <c r="AS11007" s="47"/>
    </row>
    <row r="11008" spans="45:45">
      <c r="AS11008" s="47"/>
    </row>
    <row r="11009" spans="45:45">
      <c r="AS11009" s="47"/>
    </row>
    <row r="11010" spans="45:45">
      <c r="AS11010" s="47"/>
    </row>
    <row r="11011" spans="45:45">
      <c r="AS11011" s="47"/>
    </row>
    <row r="11012" spans="45:45">
      <c r="AS11012" s="47"/>
    </row>
    <row r="11013" spans="45:45">
      <c r="AS11013" s="47"/>
    </row>
    <row r="11014" spans="45:45">
      <c r="AS11014" s="47"/>
    </row>
    <row r="11015" spans="45:45">
      <c r="AS11015" s="47"/>
    </row>
    <row r="11016" spans="45:45">
      <c r="AS11016" s="47"/>
    </row>
    <row r="11017" spans="45:45">
      <c r="AS11017" s="47"/>
    </row>
    <row r="11018" spans="45:45">
      <c r="AS11018" s="47"/>
    </row>
    <row r="11019" spans="45:45">
      <c r="AS11019" s="47"/>
    </row>
    <row r="11020" spans="45:45">
      <c r="AS11020" s="47"/>
    </row>
    <row r="11021" spans="45:45">
      <c r="AS11021" s="47"/>
    </row>
    <row r="11022" spans="45:45">
      <c r="AS11022" s="47"/>
    </row>
    <row r="11023" spans="45:45">
      <c r="AS11023" s="47"/>
    </row>
    <row r="11024" spans="45:45">
      <c r="AS11024" s="47"/>
    </row>
    <row r="11025" spans="45:45">
      <c r="AS11025" s="47"/>
    </row>
    <row r="11026" spans="45:45">
      <c r="AS11026" s="47"/>
    </row>
    <row r="11027" spans="45:45">
      <c r="AS11027" s="47"/>
    </row>
    <row r="11028" spans="45:45">
      <c r="AS11028" s="47"/>
    </row>
    <row r="11029" spans="45:45">
      <c r="AS11029" s="47"/>
    </row>
    <row r="11030" spans="45:45">
      <c r="AS11030" s="47"/>
    </row>
    <row r="11031" spans="45:45">
      <c r="AS11031" s="47"/>
    </row>
    <row r="11032" spans="45:45">
      <c r="AS11032" s="47"/>
    </row>
    <row r="11033" spans="45:45">
      <c r="AS11033" s="47"/>
    </row>
    <row r="11034" spans="45:45">
      <c r="AS11034" s="47"/>
    </row>
    <row r="11035" spans="45:45">
      <c r="AS11035" s="47"/>
    </row>
    <row r="11036" spans="45:45">
      <c r="AS11036" s="47"/>
    </row>
    <row r="11037" spans="45:45">
      <c r="AS11037" s="47"/>
    </row>
    <row r="11038" spans="45:45">
      <c r="AS11038" s="47"/>
    </row>
    <row r="11039" spans="45:45">
      <c r="AS11039" s="47"/>
    </row>
    <row r="11040" spans="45:45">
      <c r="AS11040" s="47"/>
    </row>
    <row r="11041" spans="45:45">
      <c r="AS11041" s="47"/>
    </row>
    <row r="11042" spans="45:45">
      <c r="AS11042" s="47"/>
    </row>
    <row r="11043" spans="45:45">
      <c r="AS11043" s="47"/>
    </row>
    <row r="11044" spans="45:45">
      <c r="AS11044" s="47"/>
    </row>
    <row r="11045" spans="45:45">
      <c r="AS11045" s="47"/>
    </row>
    <row r="11046" spans="45:45">
      <c r="AS11046" s="47"/>
    </row>
    <row r="11047" spans="45:45">
      <c r="AS11047" s="47"/>
    </row>
    <row r="11048" spans="45:45">
      <c r="AS11048" s="47"/>
    </row>
    <row r="11049" spans="45:45">
      <c r="AS11049" s="47"/>
    </row>
    <row r="11050" spans="45:45">
      <c r="AS11050" s="47"/>
    </row>
    <row r="11051" spans="45:45">
      <c r="AS11051" s="47"/>
    </row>
    <row r="11052" spans="45:45">
      <c r="AS11052" s="47"/>
    </row>
    <row r="11053" spans="45:45">
      <c r="AS11053" s="47"/>
    </row>
    <row r="11054" spans="45:45">
      <c r="AS11054" s="47"/>
    </row>
    <row r="11055" spans="45:45">
      <c r="AS11055" s="47"/>
    </row>
    <row r="11056" spans="45:45">
      <c r="AS11056" s="47"/>
    </row>
    <row r="11057" spans="45:45">
      <c r="AS11057" s="47"/>
    </row>
    <row r="11058" spans="45:45">
      <c r="AS11058" s="47"/>
    </row>
    <row r="11059" spans="45:45">
      <c r="AS11059" s="47"/>
    </row>
    <row r="11060" spans="45:45">
      <c r="AS11060" s="47"/>
    </row>
    <row r="11061" spans="45:45">
      <c r="AS11061" s="47"/>
    </row>
    <row r="11062" spans="45:45">
      <c r="AS11062" s="47"/>
    </row>
    <row r="11063" spans="45:45">
      <c r="AS11063" s="47"/>
    </row>
    <row r="11064" spans="45:45">
      <c r="AS11064" s="47"/>
    </row>
    <row r="11065" spans="45:45">
      <c r="AS11065" s="47"/>
    </row>
    <row r="11066" spans="45:45">
      <c r="AS11066" s="47"/>
    </row>
    <row r="11067" spans="45:45">
      <c r="AS11067" s="47"/>
    </row>
    <row r="11068" spans="45:45">
      <c r="AS11068" s="47"/>
    </row>
    <row r="11069" spans="45:45">
      <c r="AS11069" s="47"/>
    </row>
    <row r="11070" spans="45:45">
      <c r="AS11070" s="47"/>
    </row>
    <row r="11071" spans="45:45">
      <c r="AS11071" s="47"/>
    </row>
    <row r="11072" spans="45:45">
      <c r="AS11072" s="47"/>
    </row>
    <row r="11073" spans="45:45">
      <c r="AS11073" s="47"/>
    </row>
    <row r="11074" spans="45:45">
      <c r="AS11074" s="47"/>
    </row>
    <row r="11075" spans="45:45">
      <c r="AS11075" s="47"/>
    </row>
    <row r="11076" spans="45:45">
      <c r="AS11076" s="47"/>
    </row>
    <row r="11077" spans="45:45">
      <c r="AS11077" s="47"/>
    </row>
    <row r="11078" spans="45:45">
      <c r="AS11078" s="47"/>
    </row>
    <row r="11079" spans="45:45">
      <c r="AS11079" s="47"/>
    </row>
    <row r="11080" spans="45:45">
      <c r="AS11080" s="47"/>
    </row>
    <row r="11081" spans="45:45">
      <c r="AS11081" s="47"/>
    </row>
    <row r="11082" spans="45:45">
      <c r="AS11082" s="47"/>
    </row>
    <row r="11083" spans="45:45">
      <c r="AS11083" s="47"/>
    </row>
    <row r="11084" spans="45:45">
      <c r="AS11084" s="47"/>
    </row>
    <row r="11085" spans="45:45">
      <c r="AS11085" s="47"/>
    </row>
    <row r="11086" spans="45:45">
      <c r="AS11086" s="47"/>
    </row>
    <row r="11087" spans="45:45">
      <c r="AS11087" s="47"/>
    </row>
    <row r="11088" spans="45:45">
      <c r="AS11088" s="47"/>
    </row>
    <row r="11089" spans="45:45">
      <c r="AS11089" s="47"/>
    </row>
    <row r="11090" spans="45:45">
      <c r="AS11090" s="47"/>
    </row>
    <row r="11091" spans="45:45">
      <c r="AS11091" s="47"/>
    </row>
    <row r="11092" spans="45:45">
      <c r="AS11092" s="47"/>
    </row>
    <row r="11093" spans="45:45">
      <c r="AS11093" s="47"/>
    </row>
    <row r="11094" spans="45:45">
      <c r="AS11094" s="47"/>
    </row>
    <row r="11095" spans="45:45">
      <c r="AS11095" s="47"/>
    </row>
    <row r="11096" spans="45:45">
      <c r="AS11096" s="47"/>
    </row>
    <row r="11097" spans="45:45">
      <c r="AS11097" s="47"/>
    </row>
    <row r="11098" spans="45:45">
      <c r="AS11098" s="47"/>
    </row>
    <row r="11099" spans="45:45">
      <c r="AS11099" s="47"/>
    </row>
    <row r="11100" spans="45:45">
      <c r="AS11100" s="47"/>
    </row>
    <row r="11101" spans="45:45">
      <c r="AS11101" s="47"/>
    </row>
    <row r="11102" spans="45:45">
      <c r="AS11102" s="47"/>
    </row>
    <row r="11103" spans="45:45">
      <c r="AS11103" s="47"/>
    </row>
    <row r="11104" spans="45:45">
      <c r="AS11104" s="47"/>
    </row>
    <row r="11105" spans="45:45">
      <c r="AS11105" s="47"/>
    </row>
    <row r="11106" spans="45:45">
      <c r="AS11106" s="47"/>
    </row>
    <row r="11107" spans="45:45">
      <c r="AS11107" s="47"/>
    </row>
    <row r="11108" spans="45:45">
      <c r="AS11108" s="47"/>
    </row>
    <row r="11109" spans="45:45">
      <c r="AS11109" s="47"/>
    </row>
    <row r="11110" spans="45:45">
      <c r="AS11110" s="47"/>
    </row>
    <row r="11111" spans="45:45">
      <c r="AS11111" s="47"/>
    </row>
    <row r="11112" spans="45:45">
      <c r="AS11112" s="47"/>
    </row>
    <row r="11113" spans="45:45">
      <c r="AS11113" s="47"/>
    </row>
    <row r="11114" spans="45:45">
      <c r="AS11114" s="47"/>
    </row>
    <row r="11115" spans="45:45">
      <c r="AS11115" s="47"/>
    </row>
    <row r="11116" spans="45:45">
      <c r="AS11116" s="47"/>
    </row>
    <row r="11117" spans="45:45">
      <c r="AS11117" s="47"/>
    </row>
    <row r="11118" spans="45:45">
      <c r="AS11118" s="47"/>
    </row>
    <row r="11119" spans="45:45">
      <c r="AS11119" s="47"/>
    </row>
    <row r="11120" spans="45:45">
      <c r="AS11120" s="47"/>
    </row>
    <row r="11121" spans="45:45">
      <c r="AS11121" s="47"/>
    </row>
    <row r="11122" spans="45:45">
      <c r="AS11122" s="47"/>
    </row>
    <row r="11123" spans="45:45">
      <c r="AS11123" s="47"/>
    </row>
    <row r="11124" spans="45:45">
      <c r="AS11124" s="47"/>
    </row>
    <row r="11125" spans="45:45">
      <c r="AS11125" s="47"/>
    </row>
    <row r="11126" spans="45:45">
      <c r="AS11126" s="47"/>
    </row>
    <row r="11127" spans="45:45">
      <c r="AS11127" s="47"/>
    </row>
    <row r="11128" spans="45:45">
      <c r="AS11128" s="47"/>
    </row>
    <row r="11129" spans="45:45">
      <c r="AS11129" s="47"/>
    </row>
    <row r="11130" spans="45:45">
      <c r="AS11130" s="47"/>
    </row>
    <row r="11131" spans="45:45">
      <c r="AS11131" s="47"/>
    </row>
    <row r="11132" spans="45:45">
      <c r="AS11132" s="47"/>
    </row>
    <row r="11133" spans="45:45">
      <c r="AS11133" s="47"/>
    </row>
    <row r="11134" spans="45:45">
      <c r="AS11134" s="47"/>
    </row>
    <row r="11135" spans="45:45">
      <c r="AS11135" s="47"/>
    </row>
    <row r="11136" spans="45:45">
      <c r="AS11136" s="47"/>
    </row>
    <row r="11137" spans="45:45">
      <c r="AS11137" s="47"/>
    </row>
    <row r="11138" spans="45:45">
      <c r="AS11138" s="47"/>
    </row>
    <row r="11139" spans="45:45">
      <c r="AS11139" s="47"/>
    </row>
    <row r="11140" spans="45:45">
      <c r="AS11140" s="47"/>
    </row>
    <row r="11141" spans="45:45">
      <c r="AS11141" s="47"/>
    </row>
    <row r="11142" spans="45:45">
      <c r="AS11142" s="47"/>
    </row>
    <row r="11143" spans="45:45">
      <c r="AS11143" s="47"/>
    </row>
    <row r="11144" spans="45:45">
      <c r="AS11144" s="47"/>
    </row>
    <row r="11145" spans="45:45">
      <c r="AS11145" s="47"/>
    </row>
    <row r="11146" spans="45:45">
      <c r="AS11146" s="47"/>
    </row>
    <row r="11147" spans="45:45">
      <c r="AS11147" s="47"/>
    </row>
    <row r="11148" spans="45:45">
      <c r="AS11148" s="47"/>
    </row>
    <row r="11149" spans="45:45">
      <c r="AS11149" s="47"/>
    </row>
    <row r="11150" spans="45:45">
      <c r="AS11150" s="47"/>
    </row>
    <row r="11151" spans="45:45">
      <c r="AS11151" s="47"/>
    </row>
    <row r="11152" spans="45:45">
      <c r="AS11152" s="47"/>
    </row>
    <row r="11153" spans="45:45">
      <c r="AS11153" s="47"/>
    </row>
    <row r="11154" spans="45:45">
      <c r="AS11154" s="47"/>
    </row>
    <row r="11155" spans="45:45">
      <c r="AS11155" s="47"/>
    </row>
    <row r="11156" spans="45:45">
      <c r="AS11156" s="47"/>
    </row>
    <row r="11157" spans="45:45">
      <c r="AS11157" s="47"/>
    </row>
    <row r="11158" spans="45:45">
      <c r="AS11158" s="47"/>
    </row>
    <row r="11159" spans="45:45">
      <c r="AS11159" s="47"/>
    </row>
    <row r="11160" spans="45:45">
      <c r="AS11160" s="47"/>
    </row>
    <row r="11161" spans="45:45">
      <c r="AS11161" s="47"/>
    </row>
    <row r="11162" spans="45:45">
      <c r="AS11162" s="47"/>
    </row>
    <row r="11163" spans="45:45">
      <c r="AS11163" s="47"/>
    </row>
    <row r="11164" spans="45:45">
      <c r="AS11164" s="47"/>
    </row>
    <row r="11165" spans="45:45">
      <c r="AS11165" s="47"/>
    </row>
    <row r="11166" spans="45:45">
      <c r="AS11166" s="47"/>
    </row>
    <row r="11167" spans="45:45">
      <c r="AS11167" s="47"/>
    </row>
    <row r="11168" spans="45:45">
      <c r="AS11168" s="47"/>
    </row>
    <row r="11169" spans="45:45">
      <c r="AS11169" s="47"/>
    </row>
    <row r="11170" spans="45:45">
      <c r="AS11170" s="47"/>
    </row>
    <row r="11171" spans="45:45">
      <c r="AS11171" s="47"/>
    </row>
    <row r="11172" spans="45:45">
      <c r="AS11172" s="47"/>
    </row>
    <row r="11173" spans="45:45">
      <c r="AS11173" s="47"/>
    </row>
    <row r="11174" spans="45:45">
      <c r="AS11174" s="47"/>
    </row>
    <row r="11175" spans="45:45">
      <c r="AS11175" s="47"/>
    </row>
    <row r="11176" spans="45:45">
      <c r="AS11176" s="47"/>
    </row>
    <row r="11177" spans="45:45">
      <c r="AS11177" s="47"/>
    </row>
    <row r="11178" spans="45:45">
      <c r="AS11178" s="47"/>
    </row>
    <row r="11179" spans="45:45">
      <c r="AS11179" s="47"/>
    </row>
    <row r="11180" spans="45:45">
      <c r="AS11180" s="47"/>
    </row>
    <row r="11181" spans="45:45">
      <c r="AS11181" s="47"/>
    </row>
    <row r="11182" spans="45:45">
      <c r="AS11182" s="47"/>
    </row>
    <row r="11183" spans="45:45">
      <c r="AS11183" s="47"/>
    </row>
    <row r="11184" spans="45:45">
      <c r="AS11184" s="47"/>
    </row>
    <row r="11185" spans="45:45">
      <c r="AS11185" s="47"/>
    </row>
    <row r="11186" spans="45:45">
      <c r="AS11186" s="47"/>
    </row>
    <row r="11187" spans="45:45">
      <c r="AS11187" s="47"/>
    </row>
    <row r="11188" spans="45:45">
      <c r="AS11188" s="47"/>
    </row>
    <row r="11189" spans="45:45">
      <c r="AS11189" s="47"/>
    </row>
    <row r="11190" spans="45:45">
      <c r="AS11190" s="47"/>
    </row>
    <row r="11191" spans="45:45">
      <c r="AS11191" s="47"/>
    </row>
    <row r="11192" spans="45:45">
      <c r="AS11192" s="47"/>
    </row>
    <row r="11193" spans="45:45">
      <c r="AS11193" s="47"/>
    </row>
    <row r="11194" spans="45:45">
      <c r="AS11194" s="47"/>
    </row>
    <row r="11195" spans="45:45">
      <c r="AS11195" s="47"/>
    </row>
    <row r="11196" spans="45:45">
      <c r="AS11196" s="47"/>
    </row>
    <row r="11197" spans="45:45">
      <c r="AS11197" s="47"/>
    </row>
    <row r="11198" spans="45:45">
      <c r="AS11198" s="47"/>
    </row>
    <row r="11199" spans="45:45">
      <c r="AS11199" s="47"/>
    </row>
    <row r="11200" spans="45:45">
      <c r="AS11200" s="47"/>
    </row>
    <row r="11201" spans="45:45">
      <c r="AS11201" s="47"/>
    </row>
    <row r="11202" spans="45:45">
      <c r="AS11202" s="47"/>
    </row>
    <row r="11203" spans="45:45">
      <c r="AS11203" s="47"/>
    </row>
    <row r="11204" spans="45:45">
      <c r="AS11204" s="47"/>
    </row>
    <row r="11205" spans="45:45">
      <c r="AS11205" s="47"/>
    </row>
    <row r="11206" spans="45:45">
      <c r="AS11206" s="47"/>
    </row>
    <row r="11207" spans="45:45">
      <c r="AS11207" s="47"/>
    </row>
    <row r="11208" spans="45:45">
      <c r="AS11208" s="47"/>
    </row>
    <row r="11209" spans="45:45">
      <c r="AS11209" s="47"/>
    </row>
    <row r="11210" spans="45:45">
      <c r="AS11210" s="47"/>
    </row>
    <row r="11211" spans="45:45">
      <c r="AS11211" s="47"/>
    </row>
    <row r="11212" spans="45:45">
      <c r="AS11212" s="47"/>
    </row>
    <row r="11213" spans="45:45">
      <c r="AS11213" s="47"/>
    </row>
    <row r="11214" spans="45:45">
      <c r="AS11214" s="47"/>
    </row>
    <row r="11215" spans="45:45">
      <c r="AS11215" s="47"/>
    </row>
    <row r="11216" spans="45:45">
      <c r="AS11216" s="47"/>
    </row>
    <row r="11217" spans="45:45">
      <c r="AS11217" s="47"/>
    </row>
    <row r="11218" spans="45:45">
      <c r="AS11218" s="47"/>
    </row>
    <row r="11219" spans="45:45">
      <c r="AS11219" s="47"/>
    </row>
    <row r="11220" spans="45:45">
      <c r="AS11220" s="47"/>
    </row>
    <row r="11221" spans="45:45">
      <c r="AS11221" s="47"/>
    </row>
    <row r="11222" spans="45:45">
      <c r="AS11222" s="47"/>
    </row>
    <row r="11223" spans="45:45">
      <c r="AS11223" s="47"/>
    </row>
    <row r="11224" spans="45:45">
      <c r="AS11224" s="47"/>
    </row>
    <row r="11225" spans="45:45">
      <c r="AS11225" s="47"/>
    </row>
    <row r="11226" spans="45:45">
      <c r="AS11226" s="47"/>
    </row>
    <row r="11227" spans="45:45">
      <c r="AS11227" s="47"/>
    </row>
    <row r="11228" spans="45:45">
      <c r="AS11228" s="47"/>
    </row>
    <row r="11229" spans="45:45">
      <c r="AS11229" s="47"/>
    </row>
    <row r="11230" spans="45:45">
      <c r="AS11230" s="47"/>
    </row>
    <row r="11231" spans="45:45">
      <c r="AS11231" s="47"/>
    </row>
    <row r="11232" spans="45:45">
      <c r="AS11232" s="47"/>
    </row>
    <row r="11233" spans="45:45">
      <c r="AS11233" s="47"/>
    </row>
    <row r="11234" spans="45:45">
      <c r="AS11234" s="47"/>
    </row>
    <row r="11235" spans="45:45">
      <c r="AS11235" s="47"/>
    </row>
    <row r="11236" spans="45:45">
      <c r="AS11236" s="47"/>
    </row>
    <row r="11237" spans="45:45">
      <c r="AS11237" s="47"/>
    </row>
    <row r="11238" spans="45:45">
      <c r="AS11238" s="47"/>
    </row>
    <row r="11239" spans="45:45">
      <c r="AS11239" s="47"/>
    </row>
    <row r="11240" spans="45:45">
      <c r="AS11240" s="47"/>
    </row>
    <row r="11241" spans="45:45">
      <c r="AS11241" s="47"/>
    </row>
    <row r="11242" spans="45:45">
      <c r="AS11242" s="47"/>
    </row>
    <row r="11243" spans="45:45">
      <c r="AS11243" s="47"/>
    </row>
    <row r="11244" spans="45:45">
      <c r="AS11244" s="47"/>
    </row>
    <row r="11245" spans="45:45">
      <c r="AS11245" s="47"/>
    </row>
    <row r="11246" spans="45:45">
      <c r="AS11246" s="47"/>
    </row>
    <row r="11247" spans="45:45">
      <c r="AS11247" s="47"/>
    </row>
    <row r="11248" spans="45:45">
      <c r="AS11248" s="47"/>
    </row>
    <row r="11249" spans="45:45">
      <c r="AS11249" s="47"/>
    </row>
    <row r="11250" spans="45:45">
      <c r="AS11250" s="47"/>
    </row>
    <row r="11251" spans="45:45">
      <c r="AS11251" s="47"/>
    </row>
    <row r="11252" spans="45:45">
      <c r="AS11252" s="47"/>
    </row>
    <row r="11253" spans="45:45">
      <c r="AS11253" s="47"/>
    </row>
    <row r="11254" spans="45:45">
      <c r="AS11254" s="47"/>
    </row>
    <row r="11255" spans="45:45">
      <c r="AS11255" s="47"/>
    </row>
    <row r="11256" spans="45:45">
      <c r="AS11256" s="47"/>
    </row>
    <row r="11257" spans="45:45">
      <c r="AS11257" s="47"/>
    </row>
    <row r="11258" spans="45:45">
      <c r="AS11258" s="47"/>
    </row>
    <row r="11259" spans="45:45">
      <c r="AS11259" s="47"/>
    </row>
    <row r="11260" spans="45:45">
      <c r="AS11260" s="47"/>
    </row>
    <row r="11261" spans="45:45">
      <c r="AS11261" s="47"/>
    </row>
    <row r="11262" spans="45:45">
      <c r="AS11262" s="47"/>
    </row>
    <row r="11263" spans="45:45">
      <c r="AS11263" s="47"/>
    </row>
    <row r="11264" spans="45:45">
      <c r="AS11264" s="47"/>
    </row>
    <row r="11265" spans="45:45">
      <c r="AS11265" s="47"/>
    </row>
    <row r="11266" spans="45:45">
      <c r="AS11266" s="47"/>
    </row>
    <row r="11267" spans="45:45">
      <c r="AS11267" s="47"/>
    </row>
    <row r="11268" spans="45:45">
      <c r="AS11268" s="47"/>
    </row>
    <row r="11269" spans="45:45">
      <c r="AS11269" s="47"/>
    </row>
    <row r="11270" spans="45:45">
      <c r="AS11270" s="47"/>
    </row>
    <row r="11271" spans="45:45">
      <c r="AS11271" s="47"/>
    </row>
    <row r="11272" spans="45:45">
      <c r="AS11272" s="47"/>
    </row>
    <row r="11273" spans="45:45">
      <c r="AS11273" s="47"/>
    </row>
    <row r="11274" spans="45:45">
      <c r="AS11274" s="47"/>
    </row>
    <row r="11275" spans="45:45">
      <c r="AS11275" s="47"/>
    </row>
    <row r="11276" spans="45:45">
      <c r="AS11276" s="47"/>
    </row>
    <row r="11277" spans="45:45">
      <c r="AS11277" s="47"/>
    </row>
    <row r="11278" spans="45:45">
      <c r="AS11278" s="47"/>
    </row>
    <row r="11279" spans="45:45">
      <c r="AS11279" s="47"/>
    </row>
    <row r="11280" spans="45:45">
      <c r="AS11280" s="47"/>
    </row>
    <row r="11281" spans="45:45">
      <c r="AS11281" s="47"/>
    </row>
    <row r="11282" spans="45:45">
      <c r="AS11282" s="47"/>
    </row>
    <row r="11283" spans="45:45">
      <c r="AS11283" s="47"/>
    </row>
    <row r="11284" spans="45:45">
      <c r="AS11284" s="47"/>
    </row>
    <row r="11285" spans="45:45">
      <c r="AS11285" s="47"/>
    </row>
    <row r="11286" spans="45:45">
      <c r="AS11286" s="47"/>
    </row>
    <row r="11287" spans="45:45">
      <c r="AS11287" s="47"/>
    </row>
    <row r="11288" spans="45:45">
      <c r="AS11288" s="47"/>
    </row>
    <row r="11289" spans="45:45">
      <c r="AS11289" s="47"/>
    </row>
    <row r="11290" spans="45:45">
      <c r="AS11290" s="47"/>
    </row>
    <row r="11291" spans="45:45">
      <c r="AS11291" s="47"/>
    </row>
    <row r="11292" spans="45:45">
      <c r="AS11292" s="47"/>
    </row>
    <row r="11293" spans="45:45">
      <c r="AS11293" s="47"/>
    </row>
    <row r="11294" spans="45:45">
      <c r="AS11294" s="47"/>
    </row>
    <row r="11295" spans="45:45">
      <c r="AS11295" s="47"/>
    </row>
    <row r="11296" spans="45:45">
      <c r="AS11296" s="47"/>
    </row>
    <row r="11297" spans="45:45">
      <c r="AS11297" s="47"/>
    </row>
    <row r="11298" spans="45:45">
      <c r="AS11298" s="47"/>
    </row>
    <row r="11299" spans="45:45">
      <c r="AS11299" s="47"/>
    </row>
    <row r="11300" spans="45:45">
      <c r="AS11300" s="47"/>
    </row>
    <row r="11301" spans="45:45">
      <c r="AS11301" s="47"/>
    </row>
    <row r="11302" spans="45:45">
      <c r="AS11302" s="47"/>
    </row>
    <row r="11303" spans="45:45">
      <c r="AS11303" s="47"/>
    </row>
    <row r="11304" spans="45:45">
      <c r="AS11304" s="47"/>
    </row>
    <row r="11305" spans="45:45">
      <c r="AS11305" s="47"/>
    </row>
    <row r="11306" spans="45:45">
      <c r="AS11306" s="47"/>
    </row>
    <row r="11307" spans="45:45">
      <c r="AS11307" s="47"/>
    </row>
    <row r="11308" spans="45:45">
      <c r="AS11308" s="47"/>
    </row>
    <row r="11309" spans="45:45">
      <c r="AS11309" s="47"/>
    </row>
    <row r="11310" spans="45:45">
      <c r="AS11310" s="47"/>
    </row>
    <row r="11311" spans="45:45">
      <c r="AS11311" s="47"/>
    </row>
    <row r="11312" spans="45:45">
      <c r="AS11312" s="47"/>
    </row>
    <row r="11313" spans="45:45">
      <c r="AS11313" s="47"/>
    </row>
    <row r="11314" spans="45:45">
      <c r="AS11314" s="47"/>
    </row>
    <row r="11315" spans="45:45">
      <c r="AS11315" s="47"/>
    </row>
    <row r="11316" spans="45:45">
      <c r="AS11316" s="47"/>
    </row>
    <row r="11317" spans="45:45">
      <c r="AS11317" s="47"/>
    </row>
    <row r="11318" spans="45:45">
      <c r="AS11318" s="47"/>
    </row>
    <row r="11319" spans="45:45">
      <c r="AS11319" s="47"/>
    </row>
    <row r="11320" spans="45:45">
      <c r="AS11320" s="47"/>
    </row>
    <row r="11321" spans="45:45">
      <c r="AS11321" s="47"/>
    </row>
    <row r="11322" spans="45:45">
      <c r="AS11322" s="47"/>
    </row>
    <row r="11323" spans="45:45">
      <c r="AS11323" s="47"/>
    </row>
    <row r="11324" spans="45:45">
      <c r="AS11324" s="47"/>
    </row>
    <row r="11325" spans="45:45">
      <c r="AS11325" s="47"/>
    </row>
    <row r="11326" spans="45:45">
      <c r="AS11326" s="47"/>
    </row>
    <row r="11327" spans="45:45">
      <c r="AS11327" s="47"/>
    </row>
    <row r="11328" spans="45:45">
      <c r="AS11328" s="47"/>
    </row>
    <row r="11329" spans="45:45">
      <c r="AS11329" s="47"/>
    </row>
    <row r="11330" spans="45:45">
      <c r="AS11330" s="47"/>
    </row>
    <row r="11331" spans="45:45">
      <c r="AS11331" s="47"/>
    </row>
    <row r="11332" spans="45:45">
      <c r="AS11332" s="47"/>
    </row>
    <row r="11333" spans="45:45">
      <c r="AS11333" s="47"/>
    </row>
    <row r="11334" spans="45:45">
      <c r="AS11334" s="47"/>
    </row>
    <row r="11335" spans="45:45">
      <c r="AS11335" s="47"/>
    </row>
    <row r="11336" spans="45:45">
      <c r="AS11336" s="47"/>
    </row>
    <row r="11337" spans="45:45">
      <c r="AS11337" s="47"/>
    </row>
    <row r="11338" spans="45:45">
      <c r="AS11338" s="47"/>
    </row>
    <row r="11339" spans="45:45">
      <c r="AS11339" s="47"/>
    </row>
    <row r="11340" spans="45:45">
      <c r="AS11340" s="47"/>
    </row>
    <row r="11341" spans="45:45">
      <c r="AS11341" s="47"/>
    </row>
    <row r="11342" spans="45:45">
      <c r="AS11342" s="47"/>
    </row>
    <row r="11343" spans="45:45">
      <c r="AS11343" s="47"/>
    </row>
    <row r="11344" spans="45:45">
      <c r="AS11344" s="47"/>
    </row>
    <row r="11345" spans="45:45">
      <c r="AS11345" s="47"/>
    </row>
    <row r="11346" spans="45:45">
      <c r="AS11346" s="47"/>
    </row>
    <row r="11347" spans="45:45">
      <c r="AS11347" s="47"/>
    </row>
    <row r="11348" spans="45:45">
      <c r="AS11348" s="47"/>
    </row>
    <row r="11349" spans="45:45">
      <c r="AS11349" s="47"/>
    </row>
    <row r="11350" spans="45:45">
      <c r="AS11350" s="47"/>
    </row>
    <row r="11351" spans="45:45">
      <c r="AS11351" s="47"/>
    </row>
    <row r="11352" spans="45:45">
      <c r="AS11352" s="47"/>
    </row>
    <row r="11353" spans="45:45">
      <c r="AS11353" s="47"/>
    </row>
    <row r="11354" spans="45:45">
      <c r="AS11354" s="47"/>
    </row>
    <row r="11355" spans="45:45">
      <c r="AS11355" s="47"/>
    </row>
    <row r="11356" spans="45:45">
      <c r="AS11356" s="47"/>
    </row>
    <row r="11357" spans="45:45">
      <c r="AS11357" s="47"/>
    </row>
    <row r="11358" spans="45:45">
      <c r="AS11358" s="47"/>
    </row>
    <row r="11359" spans="45:45">
      <c r="AS11359" s="47"/>
    </row>
    <row r="11360" spans="45:45">
      <c r="AS11360" s="47"/>
    </row>
    <row r="11361" spans="45:45">
      <c r="AS11361" s="47"/>
    </row>
    <row r="11362" spans="45:45">
      <c r="AS11362" s="47"/>
    </row>
    <row r="11363" spans="45:45">
      <c r="AS11363" s="47"/>
    </row>
    <row r="11364" spans="45:45">
      <c r="AS11364" s="47"/>
    </row>
    <row r="11365" spans="45:45">
      <c r="AS11365" s="47"/>
    </row>
    <row r="11366" spans="45:45">
      <c r="AS11366" s="47"/>
    </row>
    <row r="11367" spans="45:45">
      <c r="AS11367" s="47"/>
    </row>
    <row r="11368" spans="45:45">
      <c r="AS11368" s="47"/>
    </row>
    <row r="11369" spans="45:45">
      <c r="AS11369" s="47"/>
    </row>
    <row r="11370" spans="45:45">
      <c r="AS11370" s="47"/>
    </row>
    <row r="11371" spans="45:45">
      <c r="AS11371" s="47"/>
    </row>
    <row r="11372" spans="45:45">
      <c r="AS11372" s="47"/>
    </row>
    <row r="11373" spans="45:45">
      <c r="AS11373" s="47"/>
    </row>
    <row r="11374" spans="45:45">
      <c r="AS11374" s="47"/>
    </row>
    <row r="11375" spans="45:45">
      <c r="AS11375" s="47"/>
    </row>
    <row r="11376" spans="45:45">
      <c r="AS11376" s="47"/>
    </row>
    <row r="11377" spans="45:45">
      <c r="AS11377" s="47"/>
    </row>
    <row r="11378" spans="45:45">
      <c r="AS11378" s="47"/>
    </row>
    <row r="11379" spans="45:45">
      <c r="AS11379" s="47"/>
    </row>
    <row r="11380" spans="45:45">
      <c r="AS11380" s="47"/>
    </row>
    <row r="11381" spans="45:45">
      <c r="AS11381" s="47"/>
    </row>
    <row r="11382" spans="45:45">
      <c r="AS11382" s="47"/>
    </row>
    <row r="11383" spans="45:45">
      <c r="AS11383" s="47"/>
    </row>
    <row r="11384" spans="45:45">
      <c r="AS11384" s="47"/>
    </row>
    <row r="11385" spans="45:45">
      <c r="AS11385" s="47"/>
    </row>
    <row r="11386" spans="45:45">
      <c r="AS11386" s="47"/>
    </row>
    <row r="11387" spans="45:45">
      <c r="AS11387" s="47"/>
    </row>
    <row r="11388" spans="45:45">
      <c r="AS11388" s="47"/>
    </row>
    <row r="11389" spans="45:45">
      <c r="AS11389" s="47"/>
    </row>
    <row r="11390" spans="45:45">
      <c r="AS11390" s="47"/>
    </row>
    <row r="11391" spans="45:45">
      <c r="AS11391" s="47"/>
    </row>
    <row r="11392" spans="45:45">
      <c r="AS11392" s="47"/>
    </row>
    <row r="11393" spans="45:45">
      <c r="AS11393" s="47"/>
    </row>
    <row r="11394" spans="45:45">
      <c r="AS11394" s="47"/>
    </row>
    <row r="11395" spans="45:45">
      <c r="AS11395" s="47"/>
    </row>
    <row r="11396" spans="45:45">
      <c r="AS11396" s="47"/>
    </row>
    <row r="11397" spans="45:45">
      <c r="AS11397" s="47"/>
    </row>
    <row r="11398" spans="45:45">
      <c r="AS11398" s="47"/>
    </row>
    <row r="11399" spans="45:45">
      <c r="AS11399" s="47"/>
    </row>
    <row r="11400" spans="45:45">
      <c r="AS11400" s="47"/>
    </row>
    <row r="11401" spans="45:45">
      <c r="AS11401" s="47"/>
    </row>
    <row r="11402" spans="45:45">
      <c r="AS11402" s="47"/>
    </row>
    <row r="11403" spans="45:45">
      <c r="AS11403" s="47"/>
    </row>
    <row r="11404" spans="45:45">
      <c r="AS11404" s="47"/>
    </row>
    <row r="11405" spans="45:45">
      <c r="AS11405" s="47"/>
    </row>
    <row r="11406" spans="45:45">
      <c r="AS11406" s="47"/>
    </row>
    <row r="11407" spans="45:45">
      <c r="AS11407" s="47"/>
    </row>
    <row r="11408" spans="45:45">
      <c r="AS11408" s="47"/>
    </row>
    <row r="11409" spans="45:45">
      <c r="AS11409" s="47"/>
    </row>
    <row r="11410" spans="45:45">
      <c r="AS11410" s="47"/>
    </row>
    <row r="11411" spans="45:45">
      <c r="AS11411" s="47"/>
    </row>
    <row r="11412" spans="45:45">
      <c r="AS11412" s="47"/>
    </row>
    <row r="11413" spans="45:45">
      <c r="AS11413" s="47"/>
    </row>
    <row r="11414" spans="45:45">
      <c r="AS11414" s="47"/>
    </row>
    <row r="11415" spans="45:45">
      <c r="AS11415" s="47"/>
    </row>
    <row r="11416" spans="45:45">
      <c r="AS11416" s="47"/>
    </row>
    <row r="11417" spans="45:45">
      <c r="AS11417" s="47"/>
    </row>
    <row r="11418" spans="45:45">
      <c r="AS11418" s="47"/>
    </row>
    <row r="11419" spans="45:45">
      <c r="AS11419" s="47"/>
    </row>
    <row r="11420" spans="45:45">
      <c r="AS11420" s="47"/>
    </row>
    <row r="11421" spans="45:45">
      <c r="AS11421" s="47"/>
    </row>
    <row r="11422" spans="45:45">
      <c r="AS11422" s="47"/>
    </row>
    <row r="11423" spans="45:45">
      <c r="AS11423" s="47"/>
    </row>
    <row r="11424" spans="45:45">
      <c r="AS11424" s="47"/>
    </row>
    <row r="11425" spans="45:45">
      <c r="AS11425" s="47"/>
    </row>
    <row r="11426" spans="45:45">
      <c r="AS11426" s="47"/>
    </row>
    <row r="11427" spans="45:45">
      <c r="AS11427" s="47"/>
    </row>
    <row r="11428" spans="45:45">
      <c r="AS11428" s="47"/>
    </row>
    <row r="11429" spans="45:45">
      <c r="AS11429" s="47"/>
    </row>
    <row r="11430" spans="45:45">
      <c r="AS11430" s="47"/>
    </row>
    <row r="11431" spans="45:45">
      <c r="AS11431" s="47"/>
    </row>
    <row r="11432" spans="45:45">
      <c r="AS11432" s="47"/>
    </row>
    <row r="11433" spans="45:45">
      <c r="AS11433" s="47"/>
    </row>
    <row r="11434" spans="45:45">
      <c r="AS11434" s="47"/>
    </row>
    <row r="11435" spans="45:45">
      <c r="AS11435" s="47"/>
    </row>
    <row r="11436" spans="45:45">
      <c r="AS11436" s="47"/>
    </row>
    <row r="11437" spans="45:45">
      <c r="AS11437" s="47"/>
    </row>
    <row r="11438" spans="45:45">
      <c r="AS11438" s="47"/>
    </row>
    <row r="11439" spans="45:45">
      <c r="AS11439" s="47"/>
    </row>
    <row r="11440" spans="45:45">
      <c r="AS11440" s="47"/>
    </row>
    <row r="11441" spans="45:45">
      <c r="AS11441" s="47"/>
    </row>
    <row r="11442" spans="45:45">
      <c r="AS11442" s="47"/>
    </row>
    <row r="11443" spans="45:45">
      <c r="AS11443" s="47"/>
    </row>
    <row r="11444" spans="45:45">
      <c r="AS11444" s="47"/>
    </row>
    <row r="11445" spans="45:45">
      <c r="AS11445" s="47"/>
    </row>
    <row r="11446" spans="45:45">
      <c r="AS11446" s="47"/>
    </row>
    <row r="11447" spans="45:45">
      <c r="AS11447" s="47"/>
    </row>
    <row r="11448" spans="45:45">
      <c r="AS11448" s="47"/>
    </row>
    <row r="11449" spans="45:45">
      <c r="AS11449" s="47"/>
    </row>
    <row r="11450" spans="45:45">
      <c r="AS11450" s="47"/>
    </row>
    <row r="11451" spans="45:45">
      <c r="AS11451" s="47"/>
    </row>
    <row r="11452" spans="45:45">
      <c r="AS11452" s="47"/>
    </row>
    <row r="11453" spans="45:45">
      <c r="AS11453" s="47"/>
    </row>
    <row r="11454" spans="45:45">
      <c r="AS11454" s="47"/>
    </row>
    <row r="11455" spans="45:45">
      <c r="AS11455" s="47"/>
    </row>
    <row r="11456" spans="45:45">
      <c r="AS11456" s="47"/>
    </row>
    <row r="11457" spans="45:45">
      <c r="AS11457" s="47"/>
    </row>
    <row r="11458" spans="45:45">
      <c r="AS11458" s="47"/>
    </row>
    <row r="11459" spans="45:45">
      <c r="AS11459" s="47"/>
    </row>
    <row r="11460" spans="45:45">
      <c r="AS11460" s="47"/>
    </row>
    <row r="11461" spans="45:45">
      <c r="AS11461" s="47"/>
    </row>
    <row r="11462" spans="45:45">
      <c r="AS11462" s="47"/>
    </row>
    <row r="11463" spans="45:45">
      <c r="AS11463" s="47"/>
    </row>
    <row r="11464" spans="45:45">
      <c r="AS11464" s="47"/>
    </row>
    <row r="11465" spans="45:45">
      <c r="AS11465" s="47"/>
    </row>
    <row r="11466" spans="45:45">
      <c r="AS11466" s="47"/>
    </row>
    <row r="11467" spans="45:45">
      <c r="AS11467" s="47"/>
    </row>
    <row r="11468" spans="45:45">
      <c r="AS11468" s="47"/>
    </row>
    <row r="11469" spans="45:45">
      <c r="AS11469" s="47"/>
    </row>
    <row r="11470" spans="45:45">
      <c r="AS11470" s="47"/>
    </row>
    <row r="11471" spans="45:45">
      <c r="AS11471" s="47"/>
    </row>
    <row r="11472" spans="45:45">
      <c r="AS11472" s="47"/>
    </row>
    <row r="11473" spans="45:45">
      <c r="AS11473" s="47"/>
    </row>
    <row r="11474" spans="45:45">
      <c r="AS11474" s="47"/>
    </row>
    <row r="11475" spans="45:45">
      <c r="AS11475" s="47"/>
    </row>
    <row r="11476" spans="45:45">
      <c r="AS11476" s="47"/>
    </row>
    <row r="11477" spans="45:45">
      <c r="AS11477" s="47"/>
    </row>
    <row r="11478" spans="45:45">
      <c r="AS11478" s="47"/>
    </row>
    <row r="11479" spans="45:45">
      <c r="AS11479" s="47"/>
    </row>
    <row r="11480" spans="45:45">
      <c r="AS11480" s="47"/>
    </row>
    <row r="11481" spans="45:45">
      <c r="AS11481" s="47"/>
    </row>
    <row r="11482" spans="45:45">
      <c r="AS11482" s="47"/>
    </row>
    <row r="11483" spans="45:45">
      <c r="AS11483" s="47"/>
    </row>
    <row r="11484" spans="45:45">
      <c r="AS11484" s="47"/>
    </row>
    <row r="11485" spans="45:45">
      <c r="AS11485" s="47"/>
    </row>
    <row r="11486" spans="45:45">
      <c r="AS11486" s="47"/>
    </row>
    <row r="11487" spans="45:45">
      <c r="AS11487" s="47"/>
    </row>
    <row r="11488" spans="45:45">
      <c r="AS11488" s="47"/>
    </row>
    <row r="11489" spans="45:45">
      <c r="AS11489" s="47"/>
    </row>
    <row r="11490" spans="45:45">
      <c r="AS11490" s="47"/>
    </row>
    <row r="11491" spans="45:45">
      <c r="AS11491" s="47"/>
    </row>
    <row r="11492" spans="45:45">
      <c r="AS11492" s="47"/>
    </row>
    <row r="11493" spans="45:45">
      <c r="AS11493" s="47"/>
    </row>
    <row r="11494" spans="45:45">
      <c r="AS11494" s="47"/>
    </row>
    <row r="11495" spans="45:45">
      <c r="AS11495" s="47"/>
    </row>
    <row r="11496" spans="45:45">
      <c r="AS11496" s="47"/>
    </row>
    <row r="11497" spans="45:45">
      <c r="AS11497" s="47"/>
    </row>
    <row r="11498" spans="45:45">
      <c r="AS11498" s="47"/>
    </row>
    <row r="11499" spans="45:45">
      <c r="AS11499" s="47"/>
    </row>
    <row r="11500" spans="45:45">
      <c r="AS11500" s="47"/>
    </row>
    <row r="11501" spans="45:45">
      <c r="AS11501" s="47"/>
    </row>
    <row r="11502" spans="45:45">
      <c r="AS11502" s="47"/>
    </row>
    <row r="11503" spans="45:45">
      <c r="AS11503" s="47"/>
    </row>
    <row r="11504" spans="45:45">
      <c r="AS11504" s="47"/>
    </row>
    <row r="11505" spans="45:45">
      <c r="AS11505" s="47"/>
    </row>
    <row r="11506" spans="45:45">
      <c r="AS11506" s="47"/>
    </row>
    <row r="11507" spans="45:45">
      <c r="AS11507" s="47"/>
    </row>
    <row r="11508" spans="45:45">
      <c r="AS11508" s="47"/>
    </row>
    <row r="11509" spans="45:45">
      <c r="AS11509" s="47"/>
    </row>
    <row r="11510" spans="45:45">
      <c r="AS11510" s="47"/>
    </row>
    <row r="11511" spans="45:45">
      <c r="AS11511" s="47"/>
    </row>
    <row r="11512" spans="45:45">
      <c r="AS11512" s="47"/>
    </row>
    <row r="11513" spans="45:45">
      <c r="AS11513" s="47"/>
    </row>
    <row r="11514" spans="45:45">
      <c r="AS11514" s="47"/>
    </row>
    <row r="11515" spans="45:45">
      <c r="AS11515" s="47"/>
    </row>
    <row r="11516" spans="45:45">
      <c r="AS11516" s="47"/>
    </row>
    <row r="11517" spans="45:45">
      <c r="AS11517" s="47"/>
    </row>
    <row r="11518" spans="45:45">
      <c r="AS11518" s="47"/>
    </row>
    <row r="11519" spans="45:45">
      <c r="AS11519" s="47"/>
    </row>
    <row r="11520" spans="45:45">
      <c r="AS11520" s="47"/>
    </row>
    <row r="11521" spans="45:45">
      <c r="AS11521" s="47"/>
    </row>
    <row r="11522" spans="45:45">
      <c r="AS11522" s="47"/>
    </row>
    <row r="11523" spans="45:45">
      <c r="AS11523" s="47"/>
    </row>
    <row r="11524" spans="45:45">
      <c r="AS11524" s="47"/>
    </row>
    <row r="11525" spans="45:45">
      <c r="AS11525" s="47"/>
    </row>
    <row r="11526" spans="45:45">
      <c r="AS11526" s="47"/>
    </row>
    <row r="11527" spans="45:45">
      <c r="AS11527" s="47"/>
    </row>
    <row r="11528" spans="45:45">
      <c r="AS11528" s="47"/>
    </row>
    <row r="11529" spans="45:45">
      <c r="AS11529" s="47"/>
    </row>
    <row r="11530" spans="45:45">
      <c r="AS11530" s="47"/>
    </row>
    <row r="11531" spans="45:45">
      <c r="AS11531" s="47"/>
    </row>
    <row r="11532" spans="45:45">
      <c r="AS11532" s="47"/>
    </row>
    <row r="11533" spans="45:45">
      <c r="AS11533" s="47"/>
    </row>
    <row r="11534" spans="45:45">
      <c r="AS11534" s="47"/>
    </row>
    <row r="11535" spans="45:45">
      <c r="AS11535" s="47"/>
    </row>
    <row r="11536" spans="45:45">
      <c r="AS11536" s="47"/>
    </row>
    <row r="11537" spans="45:45">
      <c r="AS11537" s="47"/>
    </row>
    <row r="11538" spans="45:45">
      <c r="AS11538" s="47"/>
    </row>
    <row r="11539" spans="45:45">
      <c r="AS11539" s="47"/>
    </row>
    <row r="11540" spans="45:45">
      <c r="AS11540" s="47"/>
    </row>
    <row r="11541" spans="45:45">
      <c r="AS11541" s="47"/>
    </row>
    <row r="11542" spans="45:45">
      <c r="AS11542" s="47"/>
    </row>
    <row r="11543" spans="45:45">
      <c r="AS11543" s="47"/>
    </row>
    <row r="11544" spans="45:45">
      <c r="AS11544" s="47"/>
    </row>
    <row r="11545" spans="45:45">
      <c r="AS11545" s="47"/>
    </row>
    <row r="11546" spans="45:45">
      <c r="AS11546" s="47"/>
    </row>
    <row r="11547" spans="45:45">
      <c r="AS11547" s="47"/>
    </row>
    <row r="11548" spans="45:45">
      <c r="AS11548" s="47"/>
    </row>
    <row r="11549" spans="45:45">
      <c r="AS11549" s="47"/>
    </row>
    <row r="11550" spans="45:45">
      <c r="AS11550" s="47"/>
    </row>
    <row r="11551" spans="45:45">
      <c r="AS11551" s="47"/>
    </row>
    <row r="11552" spans="45:45">
      <c r="AS11552" s="47"/>
    </row>
    <row r="11553" spans="45:45">
      <c r="AS11553" s="47"/>
    </row>
    <row r="11554" spans="45:45">
      <c r="AS11554" s="47"/>
    </row>
    <row r="11555" spans="45:45">
      <c r="AS11555" s="47"/>
    </row>
    <row r="11556" spans="45:45">
      <c r="AS11556" s="47"/>
    </row>
    <row r="11557" spans="45:45">
      <c r="AS11557" s="47"/>
    </row>
    <row r="11558" spans="45:45">
      <c r="AS11558" s="47"/>
    </row>
    <row r="11559" spans="45:45">
      <c r="AS11559" s="47"/>
    </row>
    <row r="11560" spans="45:45">
      <c r="AS11560" s="47"/>
    </row>
    <row r="11561" spans="45:45">
      <c r="AS11561" s="47"/>
    </row>
    <row r="11562" spans="45:45">
      <c r="AS11562" s="47"/>
    </row>
    <row r="11563" spans="45:45">
      <c r="AS11563" s="47"/>
    </row>
    <row r="11564" spans="45:45">
      <c r="AS11564" s="47"/>
    </row>
    <row r="11565" spans="45:45">
      <c r="AS11565" s="47"/>
    </row>
    <row r="11566" spans="45:45">
      <c r="AS11566" s="47"/>
    </row>
    <row r="11567" spans="45:45">
      <c r="AS11567" s="47"/>
    </row>
    <row r="11568" spans="45:45">
      <c r="AS11568" s="47"/>
    </row>
    <row r="11569" spans="45:45">
      <c r="AS11569" s="47"/>
    </row>
    <row r="11570" spans="45:45">
      <c r="AS11570" s="47"/>
    </row>
    <row r="11571" spans="45:45">
      <c r="AS11571" s="47"/>
    </row>
    <row r="11572" spans="45:45">
      <c r="AS11572" s="47"/>
    </row>
    <row r="11573" spans="45:45">
      <c r="AS11573" s="47"/>
    </row>
    <row r="11574" spans="45:45">
      <c r="AS11574" s="47"/>
    </row>
    <row r="11575" spans="45:45">
      <c r="AS11575" s="47"/>
    </row>
    <row r="11576" spans="45:45">
      <c r="AS11576" s="47"/>
    </row>
    <row r="11577" spans="45:45">
      <c r="AS11577" s="47"/>
    </row>
    <row r="11578" spans="45:45">
      <c r="AS11578" s="47"/>
    </row>
    <row r="11579" spans="45:45">
      <c r="AS11579" s="47"/>
    </row>
    <row r="11580" spans="45:45">
      <c r="AS11580" s="47"/>
    </row>
    <row r="11581" spans="45:45">
      <c r="AS11581" s="47"/>
    </row>
    <row r="11582" spans="45:45">
      <c r="AS11582" s="47"/>
    </row>
    <row r="11583" spans="45:45">
      <c r="AS11583" s="47"/>
    </row>
    <row r="11584" spans="45:45">
      <c r="AS11584" s="47"/>
    </row>
    <row r="11585" spans="45:45">
      <c r="AS11585" s="47"/>
    </row>
    <row r="11586" spans="45:45">
      <c r="AS11586" s="47"/>
    </row>
    <row r="11587" spans="45:45">
      <c r="AS11587" s="47"/>
    </row>
    <row r="11588" spans="45:45">
      <c r="AS11588" s="47"/>
    </row>
    <row r="11589" spans="45:45">
      <c r="AS11589" s="47"/>
    </row>
    <row r="11590" spans="45:45">
      <c r="AS11590" s="47"/>
    </row>
    <row r="11591" spans="45:45">
      <c r="AS11591" s="47"/>
    </row>
    <row r="11592" spans="45:45">
      <c r="AS11592" s="47"/>
    </row>
    <row r="11593" spans="45:45">
      <c r="AS11593" s="47"/>
    </row>
    <row r="11594" spans="45:45">
      <c r="AS11594" s="47"/>
    </row>
    <row r="11595" spans="45:45">
      <c r="AS11595" s="47"/>
    </row>
    <row r="11596" spans="45:45">
      <c r="AS11596" s="47"/>
    </row>
    <row r="11597" spans="45:45">
      <c r="AS11597" s="47"/>
    </row>
    <row r="11598" spans="45:45">
      <c r="AS11598" s="47"/>
    </row>
    <row r="11599" spans="45:45">
      <c r="AS11599" s="47"/>
    </row>
    <row r="11600" spans="45:45">
      <c r="AS11600" s="47"/>
    </row>
    <row r="11601" spans="45:45">
      <c r="AS11601" s="47"/>
    </row>
    <row r="11602" spans="45:45">
      <c r="AS11602" s="47"/>
    </row>
    <row r="11603" spans="45:45">
      <c r="AS11603" s="47"/>
    </row>
    <row r="11604" spans="45:45">
      <c r="AS11604" s="47"/>
    </row>
    <row r="11605" spans="45:45">
      <c r="AS11605" s="47"/>
    </row>
    <row r="11606" spans="45:45">
      <c r="AS11606" s="47"/>
    </row>
    <row r="11607" spans="45:45">
      <c r="AS11607" s="47"/>
    </row>
    <row r="11608" spans="45:45">
      <c r="AS11608" s="47"/>
    </row>
    <row r="11609" spans="45:45">
      <c r="AS11609" s="47"/>
    </row>
    <row r="11610" spans="45:45">
      <c r="AS11610" s="47"/>
    </row>
    <row r="11611" spans="45:45">
      <c r="AS11611" s="47"/>
    </row>
    <row r="11612" spans="45:45">
      <c r="AS11612" s="47"/>
    </row>
    <row r="11613" spans="45:45">
      <c r="AS11613" s="47"/>
    </row>
    <row r="11614" spans="45:45">
      <c r="AS11614" s="47"/>
    </row>
    <row r="11615" spans="45:45">
      <c r="AS11615" s="47"/>
    </row>
    <row r="11616" spans="45:45">
      <c r="AS11616" s="47"/>
    </row>
    <row r="11617" spans="45:45">
      <c r="AS11617" s="47"/>
    </row>
    <row r="11618" spans="45:45">
      <c r="AS11618" s="47"/>
    </row>
    <row r="11619" spans="45:45">
      <c r="AS11619" s="47"/>
    </row>
    <row r="11620" spans="45:45">
      <c r="AS11620" s="47"/>
    </row>
    <row r="11621" spans="45:45">
      <c r="AS11621" s="47"/>
    </row>
    <row r="11622" spans="45:45">
      <c r="AS11622" s="47"/>
    </row>
    <row r="11623" spans="45:45">
      <c r="AS11623" s="47"/>
    </row>
    <row r="11624" spans="45:45">
      <c r="AS11624" s="47"/>
    </row>
    <row r="11625" spans="45:45">
      <c r="AS11625" s="47"/>
    </row>
    <row r="11626" spans="45:45">
      <c r="AS11626" s="47"/>
    </row>
    <row r="11627" spans="45:45">
      <c r="AS11627" s="47"/>
    </row>
    <row r="11628" spans="45:45">
      <c r="AS11628" s="47"/>
    </row>
    <row r="11629" spans="45:45">
      <c r="AS11629" s="47"/>
    </row>
    <row r="11630" spans="45:45">
      <c r="AS11630" s="47"/>
    </row>
    <row r="11631" spans="45:45">
      <c r="AS11631" s="47"/>
    </row>
    <row r="11632" spans="45:45">
      <c r="AS11632" s="47"/>
    </row>
    <row r="11633" spans="45:45">
      <c r="AS11633" s="47"/>
    </row>
    <row r="11634" spans="45:45">
      <c r="AS11634" s="47"/>
    </row>
    <row r="11635" spans="45:45">
      <c r="AS11635" s="47"/>
    </row>
    <row r="11636" spans="45:45">
      <c r="AS11636" s="47"/>
    </row>
    <row r="11637" spans="45:45">
      <c r="AS11637" s="47"/>
    </row>
    <row r="11638" spans="45:45">
      <c r="AS11638" s="47"/>
    </row>
    <row r="11639" spans="45:45">
      <c r="AS11639" s="47"/>
    </row>
    <row r="11640" spans="45:45">
      <c r="AS11640" s="47"/>
    </row>
    <row r="11641" spans="45:45">
      <c r="AS11641" s="47"/>
    </row>
    <row r="11642" spans="45:45">
      <c r="AS11642" s="47"/>
    </row>
    <row r="11643" spans="45:45">
      <c r="AS11643" s="47"/>
    </row>
    <row r="11644" spans="45:45">
      <c r="AS11644" s="47"/>
    </row>
    <row r="11645" spans="45:45">
      <c r="AS11645" s="47"/>
    </row>
    <row r="11646" spans="45:45">
      <c r="AS11646" s="47"/>
    </row>
    <row r="11647" spans="45:45">
      <c r="AS11647" s="47"/>
    </row>
    <row r="11648" spans="45:45">
      <c r="AS11648" s="47"/>
    </row>
    <row r="11649" spans="45:45">
      <c r="AS11649" s="47"/>
    </row>
    <row r="11650" spans="45:45">
      <c r="AS11650" s="47"/>
    </row>
    <row r="11651" spans="45:45">
      <c r="AS11651" s="47"/>
    </row>
    <row r="11652" spans="45:45">
      <c r="AS11652" s="47"/>
    </row>
    <row r="11653" spans="45:45">
      <c r="AS11653" s="47"/>
    </row>
    <row r="11654" spans="45:45">
      <c r="AS11654" s="47"/>
    </row>
    <row r="11655" spans="45:45">
      <c r="AS11655" s="47"/>
    </row>
    <row r="11656" spans="45:45">
      <c r="AS11656" s="47"/>
    </row>
    <row r="11657" spans="45:45">
      <c r="AS11657" s="47"/>
    </row>
    <row r="11658" spans="45:45">
      <c r="AS11658" s="47"/>
    </row>
    <row r="11659" spans="45:45">
      <c r="AS11659" s="47"/>
    </row>
    <row r="11660" spans="45:45">
      <c r="AS11660" s="47"/>
    </row>
    <row r="11661" spans="45:45">
      <c r="AS11661" s="47"/>
    </row>
    <row r="11662" spans="45:45">
      <c r="AS11662" s="47"/>
    </row>
    <row r="11663" spans="45:45">
      <c r="AS11663" s="47"/>
    </row>
    <row r="11664" spans="45:45">
      <c r="AS11664" s="47"/>
    </row>
    <row r="11665" spans="45:45">
      <c r="AS11665" s="47"/>
    </row>
    <row r="11666" spans="45:45">
      <c r="AS11666" s="47"/>
    </row>
    <row r="11667" spans="45:45">
      <c r="AS11667" s="47"/>
    </row>
    <row r="11668" spans="45:45">
      <c r="AS11668" s="47"/>
    </row>
    <row r="11669" spans="45:45">
      <c r="AS11669" s="47"/>
    </row>
    <row r="11670" spans="45:45">
      <c r="AS11670" s="47"/>
    </row>
    <row r="11671" spans="45:45">
      <c r="AS11671" s="47"/>
    </row>
    <row r="11672" spans="45:45">
      <c r="AS11672" s="47"/>
    </row>
    <row r="11673" spans="45:45">
      <c r="AS11673" s="47"/>
    </row>
    <row r="11674" spans="45:45">
      <c r="AS11674" s="47"/>
    </row>
    <row r="11675" spans="45:45">
      <c r="AS11675" s="47"/>
    </row>
    <row r="11676" spans="45:45">
      <c r="AS11676" s="47"/>
    </row>
    <row r="11677" spans="45:45">
      <c r="AS11677" s="47"/>
    </row>
    <row r="11678" spans="45:45">
      <c r="AS11678" s="47"/>
    </row>
    <row r="11679" spans="45:45">
      <c r="AS11679" s="47"/>
    </row>
    <row r="11680" spans="45:45">
      <c r="AS11680" s="47"/>
    </row>
    <row r="11681" spans="45:45">
      <c r="AS11681" s="47"/>
    </row>
    <row r="11682" spans="45:45">
      <c r="AS11682" s="47"/>
    </row>
    <row r="11683" spans="45:45">
      <c r="AS11683" s="47"/>
    </row>
    <row r="11684" spans="45:45">
      <c r="AS11684" s="47"/>
    </row>
    <row r="11685" spans="45:45">
      <c r="AS11685" s="47"/>
    </row>
    <row r="11686" spans="45:45">
      <c r="AS11686" s="47"/>
    </row>
    <row r="11687" spans="45:45">
      <c r="AS11687" s="47"/>
    </row>
    <row r="11688" spans="45:45">
      <c r="AS11688" s="47"/>
    </row>
    <row r="11689" spans="45:45">
      <c r="AS11689" s="47"/>
    </row>
    <row r="11690" spans="45:45">
      <c r="AS11690" s="47"/>
    </row>
    <row r="11691" spans="45:45">
      <c r="AS11691" s="47"/>
    </row>
    <row r="11692" spans="45:45">
      <c r="AS11692" s="47"/>
    </row>
    <row r="11693" spans="45:45">
      <c r="AS11693" s="47"/>
    </row>
    <row r="11694" spans="45:45">
      <c r="AS11694" s="47"/>
    </row>
    <row r="11695" spans="45:45">
      <c r="AS11695" s="47"/>
    </row>
    <row r="11696" spans="45:45">
      <c r="AS11696" s="47"/>
    </row>
    <row r="11697" spans="45:45">
      <c r="AS11697" s="47"/>
    </row>
    <row r="11698" spans="45:45">
      <c r="AS11698" s="47"/>
    </row>
    <row r="11699" spans="45:45">
      <c r="AS11699" s="47"/>
    </row>
    <row r="11700" spans="45:45">
      <c r="AS11700" s="47"/>
    </row>
    <row r="11701" spans="45:45">
      <c r="AS11701" s="47"/>
    </row>
    <row r="11702" spans="45:45">
      <c r="AS11702" s="47"/>
    </row>
    <row r="11703" spans="45:45">
      <c r="AS11703" s="47"/>
    </row>
    <row r="11704" spans="45:45">
      <c r="AS11704" s="47"/>
    </row>
    <row r="11705" spans="45:45">
      <c r="AS11705" s="47"/>
    </row>
    <row r="11706" spans="45:45">
      <c r="AS11706" s="47"/>
    </row>
    <row r="11707" spans="45:45">
      <c r="AS11707" s="47"/>
    </row>
    <row r="11708" spans="45:45">
      <c r="AS11708" s="47"/>
    </row>
    <row r="11709" spans="45:45">
      <c r="AS11709" s="47"/>
    </row>
    <row r="11710" spans="45:45">
      <c r="AS11710" s="47"/>
    </row>
    <row r="11711" spans="45:45">
      <c r="AS11711" s="47"/>
    </row>
    <row r="11712" spans="45:45">
      <c r="AS11712" s="47"/>
    </row>
    <row r="11713" spans="45:45">
      <c r="AS11713" s="47"/>
    </row>
    <row r="11714" spans="45:45">
      <c r="AS11714" s="47"/>
    </row>
    <row r="11715" spans="45:45">
      <c r="AS11715" s="47"/>
    </row>
    <row r="11716" spans="45:45">
      <c r="AS11716" s="47"/>
    </row>
    <row r="11717" spans="45:45">
      <c r="AS11717" s="47"/>
    </row>
    <row r="11718" spans="45:45">
      <c r="AS11718" s="47"/>
    </row>
    <row r="11719" spans="45:45">
      <c r="AS11719" s="47"/>
    </row>
    <row r="11720" spans="45:45">
      <c r="AS11720" s="47"/>
    </row>
    <row r="11721" spans="45:45">
      <c r="AS11721" s="47"/>
    </row>
    <row r="11722" spans="45:45">
      <c r="AS11722" s="47"/>
    </row>
    <row r="11723" spans="45:45">
      <c r="AS11723" s="47"/>
    </row>
    <row r="11724" spans="45:45">
      <c r="AS11724" s="47"/>
    </row>
    <row r="11725" spans="45:45">
      <c r="AS11725" s="47"/>
    </row>
    <row r="11726" spans="45:45">
      <c r="AS11726" s="47"/>
    </row>
    <row r="11727" spans="45:45">
      <c r="AS11727" s="47"/>
    </row>
    <row r="11728" spans="45:45">
      <c r="AS11728" s="47"/>
    </row>
    <row r="11729" spans="45:45">
      <c r="AS11729" s="47"/>
    </row>
    <row r="11730" spans="45:45">
      <c r="AS11730" s="47"/>
    </row>
    <row r="11731" spans="45:45">
      <c r="AS11731" s="47"/>
    </row>
    <row r="11732" spans="45:45">
      <c r="AS11732" s="47"/>
    </row>
    <row r="11733" spans="45:45">
      <c r="AS11733" s="47"/>
    </row>
    <row r="11734" spans="45:45">
      <c r="AS11734" s="47"/>
    </row>
    <row r="11735" spans="45:45">
      <c r="AS11735" s="47"/>
    </row>
    <row r="11736" spans="45:45">
      <c r="AS11736" s="47"/>
    </row>
    <row r="11737" spans="45:45">
      <c r="AS11737" s="47"/>
    </row>
    <row r="11738" spans="45:45">
      <c r="AS11738" s="47"/>
    </row>
    <row r="11739" spans="45:45">
      <c r="AS11739" s="47"/>
    </row>
    <row r="11740" spans="45:45">
      <c r="AS11740" s="47"/>
    </row>
    <row r="11741" spans="45:45">
      <c r="AS11741" s="47"/>
    </row>
    <row r="11742" spans="45:45">
      <c r="AS11742" s="47"/>
    </row>
    <row r="11743" spans="45:45">
      <c r="AS11743" s="47"/>
    </row>
    <row r="11744" spans="45:45">
      <c r="AS11744" s="47"/>
    </row>
    <row r="11745" spans="45:45">
      <c r="AS11745" s="47"/>
    </row>
    <row r="11746" spans="45:45">
      <c r="AS11746" s="47"/>
    </row>
    <row r="11747" spans="45:45">
      <c r="AS11747" s="47"/>
    </row>
    <row r="11748" spans="45:45">
      <c r="AS11748" s="47"/>
    </row>
    <row r="11749" spans="45:45">
      <c r="AS11749" s="47"/>
    </row>
    <row r="11750" spans="45:45">
      <c r="AS11750" s="47"/>
    </row>
    <row r="11751" spans="45:45">
      <c r="AS11751" s="47"/>
    </row>
    <row r="11752" spans="45:45">
      <c r="AS11752" s="47"/>
    </row>
    <row r="11753" spans="45:45">
      <c r="AS11753" s="47"/>
    </row>
    <row r="11754" spans="45:45">
      <c r="AS11754" s="47"/>
    </row>
    <row r="11755" spans="45:45">
      <c r="AS11755" s="47"/>
    </row>
    <row r="11756" spans="45:45">
      <c r="AS11756" s="47"/>
    </row>
    <row r="11757" spans="45:45">
      <c r="AS11757" s="47"/>
    </row>
    <row r="11758" spans="45:45">
      <c r="AS11758" s="47"/>
    </row>
    <row r="11759" spans="45:45">
      <c r="AS11759" s="47"/>
    </row>
    <row r="11760" spans="45:45">
      <c r="AS11760" s="47"/>
    </row>
    <row r="11761" spans="45:45">
      <c r="AS11761" s="47"/>
    </row>
    <row r="11762" spans="45:45">
      <c r="AS11762" s="47"/>
    </row>
    <row r="11763" spans="45:45">
      <c r="AS11763" s="47"/>
    </row>
    <row r="11764" spans="45:45">
      <c r="AS11764" s="47"/>
    </row>
    <row r="11765" spans="45:45">
      <c r="AS11765" s="47"/>
    </row>
    <row r="11766" spans="45:45">
      <c r="AS11766" s="47"/>
    </row>
    <row r="11767" spans="45:45">
      <c r="AS11767" s="47"/>
    </row>
    <row r="11768" spans="45:45">
      <c r="AS11768" s="47"/>
    </row>
    <row r="11769" spans="45:45">
      <c r="AS11769" s="47"/>
    </row>
    <row r="11770" spans="45:45">
      <c r="AS11770" s="47"/>
    </row>
    <row r="11771" spans="45:45">
      <c r="AS11771" s="47"/>
    </row>
    <row r="11772" spans="45:45">
      <c r="AS11772" s="47"/>
    </row>
    <row r="11773" spans="45:45">
      <c r="AS11773" s="47"/>
    </row>
    <row r="11774" spans="45:45">
      <c r="AS11774" s="47"/>
    </row>
    <row r="11775" spans="45:45">
      <c r="AS11775" s="47"/>
    </row>
    <row r="11776" spans="45:45">
      <c r="AS11776" s="47"/>
    </row>
    <row r="11777" spans="45:45">
      <c r="AS11777" s="47"/>
    </row>
    <row r="11778" spans="45:45">
      <c r="AS11778" s="47"/>
    </row>
    <row r="11779" spans="45:45">
      <c r="AS11779" s="47"/>
    </row>
    <row r="11780" spans="45:45">
      <c r="AS11780" s="47"/>
    </row>
    <row r="11781" spans="45:45">
      <c r="AS11781" s="47"/>
    </row>
    <row r="11782" spans="45:45">
      <c r="AS11782" s="47"/>
    </row>
    <row r="11783" spans="45:45">
      <c r="AS11783" s="47"/>
    </row>
    <row r="11784" spans="45:45">
      <c r="AS11784" s="47"/>
    </row>
    <row r="11785" spans="45:45">
      <c r="AS11785" s="47"/>
    </row>
    <row r="11786" spans="45:45">
      <c r="AS11786" s="47"/>
    </row>
    <row r="11787" spans="45:45">
      <c r="AS11787" s="47"/>
    </row>
    <row r="11788" spans="45:45">
      <c r="AS11788" s="47"/>
    </row>
    <row r="11789" spans="45:45">
      <c r="AS11789" s="47"/>
    </row>
    <row r="11790" spans="45:45">
      <c r="AS11790" s="47"/>
    </row>
    <row r="11791" spans="45:45">
      <c r="AS11791" s="47"/>
    </row>
    <row r="11792" spans="45:45">
      <c r="AS11792" s="47"/>
    </row>
    <row r="11793" spans="45:45">
      <c r="AS11793" s="47"/>
    </row>
    <row r="11794" spans="45:45">
      <c r="AS11794" s="47"/>
    </row>
    <row r="11795" spans="45:45">
      <c r="AS11795" s="47"/>
    </row>
    <row r="11796" spans="45:45">
      <c r="AS11796" s="47"/>
    </row>
    <row r="11797" spans="45:45">
      <c r="AS11797" s="47"/>
    </row>
    <row r="11798" spans="45:45">
      <c r="AS11798" s="47"/>
    </row>
    <row r="11799" spans="45:45">
      <c r="AS11799" s="47"/>
    </row>
    <row r="11800" spans="45:45">
      <c r="AS11800" s="47"/>
    </row>
    <row r="11801" spans="45:45">
      <c r="AS11801" s="47"/>
    </row>
    <row r="11802" spans="45:45">
      <c r="AS11802" s="47"/>
    </row>
    <row r="11803" spans="45:45">
      <c r="AS11803" s="47"/>
    </row>
    <row r="11804" spans="45:45">
      <c r="AS11804" s="47"/>
    </row>
    <row r="11805" spans="45:45">
      <c r="AS11805" s="47"/>
    </row>
    <row r="11806" spans="45:45">
      <c r="AS11806" s="47"/>
    </row>
    <row r="11807" spans="45:45">
      <c r="AS11807" s="47"/>
    </row>
    <row r="11808" spans="45:45">
      <c r="AS11808" s="47"/>
    </row>
    <row r="11809" spans="45:45">
      <c r="AS11809" s="47"/>
    </row>
    <row r="11810" spans="45:45">
      <c r="AS11810" s="47"/>
    </row>
    <row r="11811" spans="45:45">
      <c r="AS11811" s="47"/>
    </row>
    <row r="11812" spans="45:45">
      <c r="AS11812" s="47"/>
    </row>
    <row r="11813" spans="45:45">
      <c r="AS11813" s="47"/>
    </row>
    <row r="11814" spans="45:45">
      <c r="AS11814" s="47"/>
    </row>
    <row r="11815" spans="45:45">
      <c r="AS11815" s="47"/>
    </row>
    <row r="11816" spans="45:45">
      <c r="AS11816" s="47"/>
    </row>
    <row r="11817" spans="45:45">
      <c r="AS11817" s="47"/>
    </row>
    <row r="11818" spans="45:45">
      <c r="AS11818" s="47"/>
    </row>
    <row r="11819" spans="45:45">
      <c r="AS11819" s="47"/>
    </row>
    <row r="11820" spans="45:45">
      <c r="AS11820" s="47"/>
    </row>
    <row r="11821" spans="45:45">
      <c r="AS11821" s="47"/>
    </row>
    <row r="11822" spans="45:45">
      <c r="AS11822" s="47"/>
    </row>
    <row r="11823" spans="45:45">
      <c r="AS11823" s="47"/>
    </row>
    <row r="11824" spans="45:45">
      <c r="AS11824" s="47"/>
    </row>
    <row r="11825" spans="45:45">
      <c r="AS11825" s="47"/>
    </row>
    <row r="11826" spans="45:45">
      <c r="AS11826" s="47"/>
    </row>
    <row r="11827" spans="45:45">
      <c r="AS11827" s="47"/>
    </row>
    <row r="11828" spans="45:45">
      <c r="AS11828" s="47"/>
    </row>
    <row r="11829" spans="45:45">
      <c r="AS11829" s="47"/>
    </row>
    <row r="11830" spans="45:45">
      <c r="AS11830" s="47"/>
    </row>
    <row r="11831" spans="45:45">
      <c r="AS11831" s="47"/>
    </row>
    <row r="11832" spans="45:45">
      <c r="AS11832" s="47"/>
    </row>
    <row r="11833" spans="45:45">
      <c r="AS11833" s="47"/>
    </row>
    <row r="11834" spans="45:45">
      <c r="AS11834" s="47"/>
    </row>
    <row r="11835" spans="45:45">
      <c r="AS11835" s="47"/>
    </row>
    <row r="11836" spans="45:45">
      <c r="AS11836" s="47"/>
    </row>
    <row r="11837" spans="45:45">
      <c r="AS11837" s="47"/>
    </row>
    <row r="11838" spans="45:45">
      <c r="AS11838" s="47"/>
    </row>
    <row r="11839" spans="45:45">
      <c r="AS11839" s="47"/>
    </row>
    <row r="11840" spans="45:45">
      <c r="AS11840" s="47"/>
    </row>
    <row r="11841" spans="45:45">
      <c r="AS11841" s="47"/>
    </row>
    <row r="11842" spans="45:45">
      <c r="AS11842" s="47"/>
    </row>
    <row r="11843" spans="45:45">
      <c r="AS11843" s="47"/>
    </row>
    <row r="11844" spans="45:45">
      <c r="AS11844" s="47"/>
    </row>
    <row r="11845" spans="45:45">
      <c r="AS11845" s="47"/>
    </row>
    <row r="11846" spans="45:45">
      <c r="AS11846" s="47"/>
    </row>
    <row r="11847" spans="45:45">
      <c r="AS11847" s="47"/>
    </row>
    <row r="11848" spans="45:45">
      <c r="AS11848" s="47"/>
    </row>
    <row r="11849" spans="45:45">
      <c r="AS11849" s="47"/>
    </row>
    <row r="11850" spans="45:45">
      <c r="AS11850" s="47"/>
    </row>
    <row r="11851" spans="45:45">
      <c r="AS11851" s="47"/>
    </row>
    <row r="11852" spans="45:45">
      <c r="AS11852" s="47"/>
    </row>
    <row r="11853" spans="45:45">
      <c r="AS11853" s="47"/>
    </row>
    <row r="11854" spans="45:45">
      <c r="AS11854" s="47"/>
    </row>
    <row r="11855" spans="45:45">
      <c r="AS11855" s="47"/>
    </row>
    <row r="11856" spans="45:45">
      <c r="AS11856" s="47"/>
    </row>
    <row r="11857" spans="45:45">
      <c r="AS11857" s="47"/>
    </row>
    <row r="11858" spans="45:45">
      <c r="AS11858" s="47"/>
    </row>
    <row r="11859" spans="45:45">
      <c r="AS11859" s="47"/>
    </row>
    <row r="11860" spans="45:45">
      <c r="AS11860" s="47"/>
    </row>
    <row r="11861" spans="45:45">
      <c r="AS11861" s="47"/>
    </row>
    <row r="11862" spans="45:45">
      <c r="AS11862" s="47"/>
    </row>
    <row r="11863" spans="45:45">
      <c r="AS11863" s="47"/>
    </row>
    <row r="11864" spans="45:45">
      <c r="AS11864" s="47"/>
    </row>
    <row r="11865" spans="45:45">
      <c r="AS11865" s="47"/>
    </row>
    <row r="11866" spans="45:45">
      <c r="AS11866" s="47"/>
    </row>
    <row r="11867" spans="45:45">
      <c r="AS11867" s="47"/>
    </row>
    <row r="11868" spans="45:45">
      <c r="AS11868" s="47"/>
    </row>
    <row r="11869" spans="45:45">
      <c r="AS11869" s="47"/>
    </row>
    <row r="11870" spans="45:45">
      <c r="AS11870" s="47"/>
    </row>
    <row r="11871" spans="45:45">
      <c r="AS11871" s="47"/>
    </row>
    <row r="11872" spans="45:45">
      <c r="AS11872" s="47"/>
    </row>
    <row r="11873" spans="45:45">
      <c r="AS11873" s="47"/>
    </row>
    <row r="11874" spans="45:45">
      <c r="AS11874" s="47"/>
    </row>
    <row r="11875" spans="45:45">
      <c r="AS11875" s="47"/>
    </row>
    <row r="11876" spans="45:45">
      <c r="AS11876" s="47"/>
    </row>
    <row r="11877" spans="45:45">
      <c r="AS11877" s="47"/>
    </row>
    <row r="11878" spans="45:45">
      <c r="AS11878" s="47"/>
    </row>
    <row r="11879" spans="45:45">
      <c r="AS11879" s="47"/>
    </row>
    <row r="11880" spans="45:45">
      <c r="AS11880" s="47"/>
    </row>
    <row r="11881" spans="45:45">
      <c r="AS11881" s="47"/>
    </row>
    <row r="11882" spans="45:45">
      <c r="AS11882" s="47"/>
    </row>
    <row r="11883" spans="45:45">
      <c r="AS11883" s="47"/>
    </row>
    <row r="11884" spans="45:45">
      <c r="AS11884" s="47"/>
    </row>
    <row r="11885" spans="45:45">
      <c r="AS11885" s="47"/>
    </row>
    <row r="11886" spans="45:45">
      <c r="AS11886" s="47"/>
    </row>
    <row r="11887" spans="45:45">
      <c r="AS11887" s="47"/>
    </row>
    <row r="11888" spans="45:45">
      <c r="AS11888" s="47"/>
    </row>
    <row r="11889" spans="45:45">
      <c r="AS11889" s="47"/>
    </row>
    <row r="11890" spans="45:45">
      <c r="AS11890" s="47"/>
    </row>
    <row r="11891" spans="45:45">
      <c r="AS11891" s="47"/>
    </row>
    <row r="11892" spans="45:45">
      <c r="AS11892" s="47"/>
    </row>
    <row r="11893" spans="45:45">
      <c r="AS11893" s="47"/>
    </row>
    <row r="11894" spans="45:45">
      <c r="AS11894" s="47"/>
    </row>
    <row r="11895" spans="45:45">
      <c r="AS11895" s="47"/>
    </row>
    <row r="11896" spans="45:45">
      <c r="AS11896" s="47"/>
    </row>
    <row r="11897" spans="45:45">
      <c r="AS11897" s="47"/>
    </row>
    <row r="11898" spans="45:45">
      <c r="AS11898" s="47"/>
    </row>
    <row r="11899" spans="45:45">
      <c r="AS11899" s="47"/>
    </row>
    <row r="11900" spans="45:45">
      <c r="AS11900" s="47"/>
    </row>
    <row r="11901" spans="45:45">
      <c r="AS11901" s="47"/>
    </row>
    <row r="11902" spans="45:45">
      <c r="AS11902" s="47"/>
    </row>
    <row r="11903" spans="45:45">
      <c r="AS11903" s="47"/>
    </row>
    <row r="11904" spans="45:45">
      <c r="AS11904" s="47"/>
    </row>
    <row r="11905" spans="45:45">
      <c r="AS11905" s="47"/>
    </row>
    <row r="11906" spans="45:45">
      <c r="AS11906" s="47"/>
    </row>
    <row r="11907" spans="45:45">
      <c r="AS11907" s="47"/>
    </row>
    <row r="11908" spans="45:45">
      <c r="AS11908" s="47"/>
    </row>
    <row r="11909" spans="45:45">
      <c r="AS11909" s="47"/>
    </row>
    <row r="11910" spans="45:45">
      <c r="AS11910" s="47"/>
    </row>
    <row r="11911" spans="45:45">
      <c r="AS11911" s="47"/>
    </row>
    <row r="11912" spans="45:45">
      <c r="AS11912" s="47"/>
    </row>
    <row r="11913" spans="45:45">
      <c r="AS11913" s="47"/>
    </row>
    <row r="11914" spans="45:45">
      <c r="AS11914" s="47"/>
    </row>
    <row r="11915" spans="45:45">
      <c r="AS11915" s="47"/>
    </row>
    <row r="11916" spans="45:45">
      <c r="AS11916" s="47"/>
    </row>
    <row r="11917" spans="45:45">
      <c r="AS11917" s="47"/>
    </row>
    <row r="11918" spans="45:45">
      <c r="AS11918" s="47"/>
    </row>
    <row r="11919" spans="45:45">
      <c r="AS11919" s="47"/>
    </row>
    <row r="11920" spans="45:45">
      <c r="AS11920" s="47"/>
    </row>
    <row r="11921" spans="45:45">
      <c r="AS11921" s="47"/>
    </row>
    <row r="11922" spans="45:45">
      <c r="AS11922" s="47"/>
    </row>
    <row r="11923" spans="45:45">
      <c r="AS11923" s="47"/>
    </row>
    <row r="11924" spans="45:45">
      <c r="AS11924" s="47"/>
    </row>
    <row r="11925" spans="45:45">
      <c r="AS11925" s="47"/>
    </row>
    <row r="11926" spans="45:45">
      <c r="AS11926" s="47"/>
    </row>
    <row r="11927" spans="45:45">
      <c r="AS11927" s="47"/>
    </row>
    <row r="11928" spans="45:45">
      <c r="AS11928" s="47"/>
    </row>
    <row r="11929" spans="45:45">
      <c r="AS11929" s="47"/>
    </row>
    <row r="11930" spans="45:45">
      <c r="AS11930" s="47"/>
    </row>
    <row r="11931" spans="45:45">
      <c r="AS11931" s="47"/>
    </row>
    <row r="11932" spans="45:45">
      <c r="AS11932" s="47"/>
    </row>
    <row r="11933" spans="45:45">
      <c r="AS11933" s="47"/>
    </row>
    <row r="11934" spans="45:45">
      <c r="AS11934" s="47"/>
    </row>
    <row r="11935" spans="45:45">
      <c r="AS11935" s="47"/>
    </row>
    <row r="11936" spans="45:45">
      <c r="AS11936" s="47"/>
    </row>
    <row r="11937" spans="45:45">
      <c r="AS11937" s="47"/>
    </row>
    <row r="11938" spans="45:45">
      <c r="AS11938" s="47"/>
    </row>
    <row r="11939" spans="45:45">
      <c r="AS11939" s="47"/>
    </row>
    <row r="11940" spans="45:45">
      <c r="AS11940" s="47"/>
    </row>
    <row r="11941" spans="45:45">
      <c r="AS11941" s="47"/>
    </row>
    <row r="11942" spans="45:45">
      <c r="AS11942" s="47"/>
    </row>
    <row r="11943" spans="45:45">
      <c r="AS11943" s="47"/>
    </row>
    <row r="11944" spans="45:45">
      <c r="AS11944" s="47"/>
    </row>
    <row r="11945" spans="45:45">
      <c r="AS11945" s="47"/>
    </row>
    <row r="11946" spans="45:45">
      <c r="AS11946" s="47"/>
    </row>
    <row r="11947" spans="45:45">
      <c r="AS11947" s="47"/>
    </row>
    <row r="11948" spans="45:45">
      <c r="AS11948" s="47"/>
    </row>
    <row r="11949" spans="45:45">
      <c r="AS11949" s="47"/>
    </row>
    <row r="11950" spans="45:45">
      <c r="AS11950" s="47"/>
    </row>
    <row r="11951" spans="45:45">
      <c r="AS11951" s="47"/>
    </row>
    <row r="11952" spans="45:45">
      <c r="AS11952" s="47"/>
    </row>
    <row r="11953" spans="45:45">
      <c r="AS11953" s="47"/>
    </row>
    <row r="11954" spans="45:45">
      <c r="AS11954" s="47"/>
    </row>
    <row r="11955" spans="45:45">
      <c r="AS11955" s="47"/>
    </row>
    <row r="11956" spans="45:45">
      <c r="AS11956" s="47"/>
    </row>
    <row r="11957" spans="45:45">
      <c r="AS11957" s="47"/>
    </row>
    <row r="11958" spans="45:45">
      <c r="AS11958" s="47"/>
    </row>
    <row r="11959" spans="45:45">
      <c r="AS11959" s="47"/>
    </row>
    <row r="11960" spans="45:45">
      <c r="AS11960" s="47"/>
    </row>
    <row r="11961" spans="45:45">
      <c r="AS11961" s="47"/>
    </row>
    <row r="11962" spans="45:45">
      <c r="AS11962" s="47"/>
    </row>
    <row r="11963" spans="45:45">
      <c r="AS11963" s="47"/>
    </row>
    <row r="11964" spans="45:45">
      <c r="AS11964" s="47"/>
    </row>
    <row r="11965" spans="45:45">
      <c r="AS11965" s="47"/>
    </row>
    <row r="11966" spans="45:45">
      <c r="AS11966" s="47"/>
    </row>
    <row r="11967" spans="45:45">
      <c r="AS11967" s="47"/>
    </row>
    <row r="11968" spans="45:45">
      <c r="AS11968" s="47"/>
    </row>
    <row r="11969" spans="45:45">
      <c r="AS11969" s="47"/>
    </row>
    <row r="11970" spans="45:45">
      <c r="AS11970" s="47"/>
    </row>
    <row r="11971" spans="45:45">
      <c r="AS11971" s="47"/>
    </row>
    <row r="11972" spans="45:45">
      <c r="AS11972" s="47"/>
    </row>
    <row r="11973" spans="45:45">
      <c r="AS11973" s="47"/>
    </row>
    <row r="11974" spans="45:45">
      <c r="AS11974" s="47"/>
    </row>
    <row r="11975" spans="45:45">
      <c r="AS11975" s="47"/>
    </row>
    <row r="11976" spans="45:45">
      <c r="AS11976" s="47"/>
    </row>
    <row r="11977" spans="45:45">
      <c r="AS11977" s="47"/>
    </row>
    <row r="11978" spans="45:45">
      <c r="AS11978" s="47"/>
    </row>
    <row r="11979" spans="45:45">
      <c r="AS11979" s="47"/>
    </row>
    <row r="11980" spans="45:45">
      <c r="AS11980" s="47"/>
    </row>
    <row r="11981" spans="45:45">
      <c r="AS11981" s="47"/>
    </row>
    <row r="11982" spans="45:45">
      <c r="AS11982" s="47"/>
    </row>
    <row r="11983" spans="45:45">
      <c r="AS11983" s="47"/>
    </row>
    <row r="11984" spans="45:45">
      <c r="AS11984" s="47"/>
    </row>
    <row r="11985" spans="45:45">
      <c r="AS11985" s="47"/>
    </row>
    <row r="11986" spans="45:45">
      <c r="AS11986" s="47"/>
    </row>
    <row r="11987" spans="45:45">
      <c r="AS11987" s="47"/>
    </row>
    <row r="11988" spans="45:45">
      <c r="AS11988" s="47"/>
    </row>
    <row r="11989" spans="45:45">
      <c r="AS11989" s="47"/>
    </row>
    <row r="11990" spans="45:45">
      <c r="AS11990" s="47"/>
    </row>
    <row r="11991" spans="45:45">
      <c r="AS11991" s="47"/>
    </row>
    <row r="11992" spans="45:45">
      <c r="AS11992" s="47"/>
    </row>
    <row r="11993" spans="45:45">
      <c r="AS11993" s="47"/>
    </row>
    <row r="11994" spans="45:45">
      <c r="AS11994" s="47"/>
    </row>
    <row r="11995" spans="45:45">
      <c r="AS11995" s="47"/>
    </row>
    <row r="11996" spans="45:45">
      <c r="AS11996" s="47"/>
    </row>
    <row r="11997" spans="45:45">
      <c r="AS11997" s="47"/>
    </row>
    <row r="11998" spans="45:45">
      <c r="AS11998" s="47"/>
    </row>
    <row r="11999" spans="45:45">
      <c r="AS11999" s="47"/>
    </row>
    <row r="12000" spans="45:45">
      <c r="AS12000" s="47"/>
    </row>
    <row r="12001" spans="45:45">
      <c r="AS12001" s="47"/>
    </row>
    <row r="12002" spans="45:45">
      <c r="AS12002" s="47"/>
    </row>
    <row r="12003" spans="45:45">
      <c r="AS12003" s="47"/>
    </row>
    <row r="12004" spans="45:45">
      <c r="AS12004" s="47"/>
    </row>
    <row r="12005" spans="45:45">
      <c r="AS12005" s="47"/>
    </row>
    <row r="12006" spans="45:45">
      <c r="AS12006" s="47"/>
    </row>
    <row r="12007" spans="45:45">
      <c r="AS12007" s="47"/>
    </row>
    <row r="12008" spans="45:45">
      <c r="AS12008" s="47"/>
    </row>
    <row r="12009" spans="45:45">
      <c r="AS12009" s="47"/>
    </row>
    <row r="12010" spans="45:45">
      <c r="AS12010" s="47"/>
    </row>
    <row r="12011" spans="45:45">
      <c r="AS12011" s="47"/>
    </row>
    <row r="12012" spans="45:45">
      <c r="AS12012" s="47"/>
    </row>
    <row r="12013" spans="45:45">
      <c r="AS12013" s="47"/>
    </row>
    <row r="12014" spans="45:45">
      <c r="AS12014" s="47"/>
    </row>
    <row r="12015" spans="45:45">
      <c r="AS12015" s="47"/>
    </row>
    <row r="12016" spans="45:45">
      <c r="AS12016" s="47"/>
    </row>
    <row r="12017" spans="45:45">
      <c r="AS12017" s="47"/>
    </row>
    <row r="12018" spans="45:45">
      <c r="AS12018" s="47"/>
    </row>
    <row r="12019" spans="45:45">
      <c r="AS12019" s="47"/>
    </row>
    <row r="12020" spans="45:45">
      <c r="AS12020" s="47"/>
    </row>
    <row r="12021" spans="45:45">
      <c r="AS12021" s="47"/>
    </row>
    <row r="12022" spans="45:45">
      <c r="AS12022" s="47"/>
    </row>
    <row r="12023" spans="45:45">
      <c r="AS12023" s="47"/>
    </row>
    <row r="12024" spans="45:45">
      <c r="AS12024" s="47"/>
    </row>
    <row r="12025" spans="45:45">
      <c r="AS12025" s="47"/>
    </row>
    <row r="12026" spans="45:45">
      <c r="AS12026" s="47"/>
    </row>
    <row r="12027" spans="45:45">
      <c r="AS12027" s="47"/>
    </row>
    <row r="12028" spans="45:45">
      <c r="AS12028" s="47"/>
    </row>
    <row r="12029" spans="45:45">
      <c r="AS12029" s="47"/>
    </row>
    <row r="12030" spans="45:45">
      <c r="AS12030" s="47"/>
    </row>
    <row r="12031" spans="45:45">
      <c r="AS12031" s="47"/>
    </row>
    <row r="12032" spans="45:45">
      <c r="AS12032" s="47"/>
    </row>
    <row r="12033" spans="45:45">
      <c r="AS12033" s="47"/>
    </row>
    <row r="12034" spans="45:45">
      <c r="AS12034" s="47"/>
    </row>
    <row r="12035" spans="45:45">
      <c r="AS12035" s="47"/>
    </row>
    <row r="12036" spans="45:45">
      <c r="AS12036" s="47"/>
    </row>
    <row r="12037" spans="45:45">
      <c r="AS12037" s="47"/>
    </row>
    <row r="12038" spans="45:45">
      <c r="AS12038" s="47"/>
    </row>
    <row r="12039" spans="45:45">
      <c r="AS12039" s="47"/>
    </row>
    <row r="12040" spans="45:45">
      <c r="AS12040" s="47"/>
    </row>
    <row r="12041" spans="45:45">
      <c r="AS12041" s="47"/>
    </row>
    <row r="12042" spans="45:45">
      <c r="AS12042" s="47"/>
    </row>
    <row r="12043" spans="45:45">
      <c r="AS12043" s="47"/>
    </row>
    <row r="12044" spans="45:45">
      <c r="AS12044" s="47"/>
    </row>
    <row r="12045" spans="45:45">
      <c r="AS12045" s="47"/>
    </row>
    <row r="12046" spans="45:45">
      <c r="AS12046" s="47"/>
    </row>
    <row r="12047" spans="45:45">
      <c r="AS12047" s="47"/>
    </row>
    <row r="12048" spans="45:45">
      <c r="AS12048" s="47"/>
    </row>
    <row r="12049" spans="45:45">
      <c r="AS12049" s="47"/>
    </row>
    <row r="12050" spans="45:45">
      <c r="AS12050" s="47"/>
    </row>
    <row r="12051" spans="45:45">
      <c r="AS12051" s="47"/>
    </row>
    <row r="12052" spans="45:45">
      <c r="AS12052" s="47"/>
    </row>
    <row r="12053" spans="45:45">
      <c r="AS12053" s="47"/>
    </row>
    <row r="12054" spans="45:45">
      <c r="AS12054" s="47"/>
    </row>
    <row r="12055" spans="45:45">
      <c r="AS12055" s="47"/>
    </row>
    <row r="12056" spans="45:45">
      <c r="AS12056" s="47"/>
    </row>
    <row r="12057" spans="45:45">
      <c r="AS12057" s="47"/>
    </row>
    <row r="12058" spans="45:45">
      <c r="AS12058" s="47"/>
    </row>
    <row r="12059" spans="45:45">
      <c r="AS12059" s="47"/>
    </row>
    <row r="12060" spans="45:45">
      <c r="AS12060" s="47"/>
    </row>
    <row r="12061" spans="45:45">
      <c r="AS12061" s="47"/>
    </row>
    <row r="12062" spans="45:45">
      <c r="AS12062" s="47"/>
    </row>
    <row r="12063" spans="45:45">
      <c r="AS12063" s="47"/>
    </row>
    <row r="12064" spans="45:45">
      <c r="AS12064" s="47"/>
    </row>
    <row r="12065" spans="45:45">
      <c r="AS12065" s="47"/>
    </row>
    <row r="12066" spans="45:45">
      <c r="AS12066" s="47"/>
    </row>
    <row r="12067" spans="45:45">
      <c r="AS12067" s="47"/>
    </row>
    <row r="12068" spans="45:45">
      <c r="AS12068" s="47"/>
    </row>
    <row r="12069" spans="45:45">
      <c r="AS12069" s="47"/>
    </row>
    <row r="12070" spans="45:45">
      <c r="AS12070" s="47"/>
    </row>
    <row r="12071" spans="45:45">
      <c r="AS12071" s="47"/>
    </row>
    <row r="12072" spans="45:45">
      <c r="AS12072" s="47"/>
    </row>
    <row r="12073" spans="45:45">
      <c r="AS12073" s="47"/>
    </row>
    <row r="12074" spans="45:45">
      <c r="AS12074" s="47"/>
    </row>
    <row r="12075" spans="45:45">
      <c r="AS12075" s="47"/>
    </row>
    <row r="12076" spans="45:45">
      <c r="AS12076" s="47"/>
    </row>
    <row r="12077" spans="45:45">
      <c r="AS12077" s="47"/>
    </row>
    <row r="12078" spans="45:45">
      <c r="AS12078" s="47"/>
    </row>
    <row r="12079" spans="45:45">
      <c r="AS12079" s="47"/>
    </row>
    <row r="12080" spans="45:45">
      <c r="AS12080" s="47"/>
    </row>
    <row r="12081" spans="45:45">
      <c r="AS12081" s="47"/>
    </row>
    <row r="12082" spans="45:45">
      <c r="AS12082" s="47"/>
    </row>
    <row r="12083" spans="45:45">
      <c r="AS12083" s="47"/>
    </row>
    <row r="12084" spans="45:45">
      <c r="AS12084" s="47"/>
    </row>
    <row r="12085" spans="45:45">
      <c r="AS12085" s="47"/>
    </row>
    <row r="12086" spans="45:45">
      <c r="AS12086" s="47"/>
    </row>
    <row r="12087" spans="45:45">
      <c r="AS12087" s="47"/>
    </row>
    <row r="12088" spans="45:45">
      <c r="AS12088" s="47"/>
    </row>
    <row r="12089" spans="45:45">
      <c r="AS12089" s="47"/>
    </row>
    <row r="12090" spans="45:45">
      <c r="AS12090" s="47"/>
    </row>
    <row r="12091" spans="45:45">
      <c r="AS12091" s="47"/>
    </row>
    <row r="12092" spans="45:45">
      <c r="AS12092" s="47"/>
    </row>
    <row r="12093" spans="45:45">
      <c r="AS12093" s="47"/>
    </row>
    <row r="12094" spans="45:45">
      <c r="AS12094" s="47"/>
    </row>
    <row r="12095" spans="45:45">
      <c r="AS12095" s="47"/>
    </row>
    <row r="12096" spans="45:45">
      <c r="AS12096" s="47"/>
    </row>
    <row r="12097" spans="45:45">
      <c r="AS12097" s="47"/>
    </row>
    <row r="12098" spans="45:45">
      <c r="AS12098" s="47"/>
    </row>
    <row r="12099" spans="45:45">
      <c r="AS12099" s="47"/>
    </row>
    <row r="12100" spans="45:45">
      <c r="AS12100" s="47"/>
    </row>
    <row r="12101" spans="45:45">
      <c r="AS12101" s="47"/>
    </row>
    <row r="12102" spans="45:45">
      <c r="AS12102" s="47"/>
    </row>
    <row r="12103" spans="45:45">
      <c r="AS12103" s="47"/>
    </row>
    <row r="12104" spans="45:45">
      <c r="AS12104" s="47"/>
    </row>
    <row r="12105" spans="45:45">
      <c r="AS12105" s="47"/>
    </row>
    <row r="12106" spans="45:45">
      <c r="AS12106" s="47"/>
    </row>
    <row r="12107" spans="45:45">
      <c r="AS12107" s="47"/>
    </row>
    <row r="12108" spans="45:45">
      <c r="AS12108" s="47"/>
    </row>
    <row r="12109" spans="45:45">
      <c r="AS12109" s="47"/>
    </row>
    <row r="12110" spans="45:45">
      <c r="AS12110" s="47"/>
    </row>
    <row r="12111" spans="45:45">
      <c r="AS12111" s="47"/>
    </row>
    <row r="12112" spans="45:45">
      <c r="AS12112" s="47"/>
    </row>
    <row r="12113" spans="45:45">
      <c r="AS12113" s="47"/>
    </row>
    <row r="12114" spans="45:45">
      <c r="AS12114" s="47"/>
    </row>
    <row r="12115" spans="45:45">
      <c r="AS12115" s="47"/>
    </row>
    <row r="12116" spans="45:45">
      <c r="AS12116" s="47"/>
    </row>
    <row r="12117" spans="45:45">
      <c r="AS12117" s="47"/>
    </row>
    <row r="12118" spans="45:45">
      <c r="AS12118" s="47"/>
    </row>
    <row r="12119" spans="45:45">
      <c r="AS12119" s="47"/>
    </row>
    <row r="12120" spans="45:45">
      <c r="AS12120" s="47"/>
    </row>
    <row r="12121" spans="45:45">
      <c r="AS12121" s="47"/>
    </row>
    <row r="12122" spans="45:45">
      <c r="AS12122" s="47"/>
    </row>
    <row r="12123" spans="45:45">
      <c r="AS12123" s="47"/>
    </row>
    <row r="12124" spans="45:45">
      <c r="AS12124" s="47"/>
    </row>
    <row r="12125" spans="45:45">
      <c r="AS12125" s="47"/>
    </row>
    <row r="12126" spans="45:45">
      <c r="AS12126" s="47"/>
    </row>
    <row r="12127" spans="45:45">
      <c r="AS12127" s="47"/>
    </row>
    <row r="12128" spans="45:45">
      <c r="AS12128" s="47"/>
    </row>
    <row r="12129" spans="45:45">
      <c r="AS12129" s="47"/>
    </row>
    <row r="12130" spans="45:45">
      <c r="AS12130" s="47"/>
    </row>
    <row r="12131" spans="45:45">
      <c r="AS12131" s="47"/>
    </row>
    <row r="12132" spans="45:45">
      <c r="AS12132" s="47"/>
    </row>
    <row r="12133" spans="45:45">
      <c r="AS12133" s="47"/>
    </row>
    <row r="12134" spans="45:45">
      <c r="AS12134" s="47"/>
    </row>
    <row r="12135" spans="45:45">
      <c r="AS12135" s="47"/>
    </row>
    <row r="12136" spans="45:45">
      <c r="AS12136" s="47"/>
    </row>
    <row r="12137" spans="45:45">
      <c r="AS12137" s="47"/>
    </row>
    <row r="12138" spans="45:45">
      <c r="AS12138" s="47"/>
    </row>
    <row r="12139" spans="45:45">
      <c r="AS12139" s="47"/>
    </row>
    <row r="12140" spans="45:45">
      <c r="AS12140" s="47"/>
    </row>
    <row r="12141" spans="45:45">
      <c r="AS12141" s="47"/>
    </row>
    <row r="12142" spans="45:45">
      <c r="AS12142" s="47"/>
    </row>
    <row r="12143" spans="45:45">
      <c r="AS12143" s="47"/>
    </row>
    <row r="12144" spans="45:45">
      <c r="AS12144" s="47"/>
    </row>
    <row r="12145" spans="45:45">
      <c r="AS12145" s="47"/>
    </row>
    <row r="12146" spans="45:45">
      <c r="AS12146" s="47"/>
    </row>
    <row r="12147" spans="45:45">
      <c r="AS12147" s="47"/>
    </row>
    <row r="12148" spans="45:45">
      <c r="AS12148" s="47"/>
    </row>
    <row r="12149" spans="45:45">
      <c r="AS12149" s="47"/>
    </row>
    <row r="12150" spans="45:45">
      <c r="AS12150" s="47"/>
    </row>
    <row r="12151" spans="45:45">
      <c r="AS12151" s="47"/>
    </row>
    <row r="12152" spans="45:45">
      <c r="AS12152" s="47"/>
    </row>
    <row r="12153" spans="45:45">
      <c r="AS12153" s="47"/>
    </row>
    <row r="12154" spans="45:45">
      <c r="AS12154" s="47"/>
    </row>
    <row r="12155" spans="45:45">
      <c r="AS12155" s="47"/>
    </row>
    <row r="12156" spans="45:45">
      <c r="AS12156" s="47"/>
    </row>
    <row r="12157" spans="45:45">
      <c r="AS12157" s="47"/>
    </row>
    <row r="12158" spans="45:45">
      <c r="AS12158" s="47"/>
    </row>
    <row r="12159" spans="45:45">
      <c r="AS12159" s="47"/>
    </row>
    <row r="12160" spans="45:45">
      <c r="AS12160" s="47"/>
    </row>
    <row r="12161" spans="45:45">
      <c r="AS12161" s="47"/>
    </row>
    <row r="12162" spans="45:45">
      <c r="AS12162" s="47"/>
    </row>
    <row r="12163" spans="45:45">
      <c r="AS12163" s="47"/>
    </row>
    <row r="12164" spans="45:45">
      <c r="AS12164" s="47"/>
    </row>
    <row r="12165" spans="45:45">
      <c r="AS12165" s="47"/>
    </row>
    <row r="12166" spans="45:45">
      <c r="AS12166" s="47"/>
    </row>
    <row r="12167" spans="45:45">
      <c r="AS12167" s="47"/>
    </row>
    <row r="12168" spans="45:45">
      <c r="AS12168" s="47"/>
    </row>
    <row r="12169" spans="45:45">
      <c r="AS12169" s="47"/>
    </row>
    <row r="12170" spans="45:45">
      <c r="AS12170" s="47"/>
    </row>
    <row r="12171" spans="45:45">
      <c r="AS12171" s="47"/>
    </row>
    <row r="12172" spans="45:45">
      <c r="AS12172" s="47"/>
    </row>
    <row r="12173" spans="45:45">
      <c r="AS12173" s="47"/>
    </row>
    <row r="12174" spans="45:45">
      <c r="AS12174" s="47"/>
    </row>
    <row r="12175" spans="45:45">
      <c r="AS12175" s="47"/>
    </row>
    <row r="12176" spans="45:45">
      <c r="AS12176" s="47"/>
    </row>
    <row r="12177" spans="45:45">
      <c r="AS12177" s="47"/>
    </row>
    <row r="12178" spans="45:45">
      <c r="AS12178" s="47"/>
    </row>
    <row r="12179" spans="45:45">
      <c r="AS12179" s="47"/>
    </row>
    <row r="12180" spans="45:45">
      <c r="AS12180" s="47"/>
    </row>
    <row r="12181" spans="45:45">
      <c r="AS12181" s="47"/>
    </row>
    <row r="12182" spans="45:45">
      <c r="AS12182" s="47"/>
    </row>
    <row r="12183" spans="45:45">
      <c r="AS12183" s="47"/>
    </row>
    <row r="12184" spans="45:45">
      <c r="AS12184" s="47"/>
    </row>
    <row r="12185" spans="45:45">
      <c r="AS12185" s="47"/>
    </row>
    <row r="12186" spans="45:45">
      <c r="AS12186" s="47"/>
    </row>
    <row r="12187" spans="45:45">
      <c r="AS12187" s="47"/>
    </row>
    <row r="12188" spans="45:45">
      <c r="AS12188" s="47"/>
    </row>
    <row r="12189" spans="45:45">
      <c r="AS12189" s="47"/>
    </row>
    <row r="12190" spans="45:45">
      <c r="AS12190" s="47"/>
    </row>
    <row r="12191" spans="45:45">
      <c r="AS12191" s="47"/>
    </row>
    <row r="12192" spans="45:45">
      <c r="AS12192" s="47"/>
    </row>
    <row r="12193" spans="45:45">
      <c r="AS12193" s="47"/>
    </row>
    <row r="12194" spans="45:45">
      <c r="AS12194" s="47"/>
    </row>
    <row r="12195" spans="45:45">
      <c r="AS12195" s="47"/>
    </row>
    <row r="12196" spans="45:45">
      <c r="AS12196" s="47"/>
    </row>
    <row r="12197" spans="45:45">
      <c r="AS12197" s="47"/>
    </row>
    <row r="12198" spans="45:45">
      <c r="AS12198" s="47"/>
    </row>
    <row r="12199" spans="45:45">
      <c r="AS12199" s="47"/>
    </row>
    <row r="12200" spans="45:45">
      <c r="AS12200" s="47"/>
    </row>
    <row r="12201" spans="45:45">
      <c r="AS12201" s="47"/>
    </row>
    <row r="12202" spans="45:45">
      <c r="AS12202" s="47"/>
    </row>
    <row r="12203" spans="45:45">
      <c r="AS12203" s="47"/>
    </row>
    <row r="12204" spans="45:45">
      <c r="AS12204" s="47"/>
    </row>
    <row r="12205" spans="45:45">
      <c r="AS12205" s="47"/>
    </row>
    <row r="12206" spans="45:45">
      <c r="AS12206" s="47"/>
    </row>
    <row r="12207" spans="45:45">
      <c r="AS12207" s="47"/>
    </row>
    <row r="12208" spans="45:45">
      <c r="AS12208" s="47"/>
    </row>
    <row r="12209" spans="45:45">
      <c r="AS12209" s="47"/>
    </row>
    <row r="12210" spans="45:45">
      <c r="AS12210" s="47"/>
    </row>
    <row r="12211" spans="45:45">
      <c r="AS12211" s="47"/>
    </row>
    <row r="12212" spans="45:45">
      <c r="AS12212" s="47"/>
    </row>
    <row r="12213" spans="45:45">
      <c r="AS12213" s="47"/>
    </row>
    <row r="12214" spans="45:45">
      <c r="AS12214" s="47"/>
    </row>
    <row r="12215" spans="45:45">
      <c r="AS12215" s="47"/>
    </row>
    <row r="12216" spans="45:45">
      <c r="AS12216" s="47"/>
    </row>
    <row r="12217" spans="45:45">
      <c r="AS12217" s="47"/>
    </row>
    <row r="12218" spans="45:45">
      <c r="AS12218" s="47"/>
    </row>
    <row r="12219" spans="45:45">
      <c r="AS12219" s="47"/>
    </row>
    <row r="12220" spans="45:45">
      <c r="AS12220" s="47"/>
    </row>
    <row r="12221" spans="45:45">
      <c r="AS12221" s="47"/>
    </row>
    <row r="12222" spans="45:45">
      <c r="AS12222" s="47"/>
    </row>
    <row r="12223" spans="45:45">
      <c r="AS12223" s="47"/>
    </row>
    <row r="12224" spans="45:45">
      <c r="AS12224" s="47"/>
    </row>
    <row r="12225" spans="45:45">
      <c r="AS12225" s="47"/>
    </row>
    <row r="12226" spans="45:45">
      <c r="AS12226" s="47"/>
    </row>
    <row r="12227" spans="45:45">
      <c r="AS12227" s="47"/>
    </row>
    <row r="12228" spans="45:45">
      <c r="AS12228" s="47"/>
    </row>
    <row r="12229" spans="45:45">
      <c r="AS12229" s="47"/>
    </row>
    <row r="12230" spans="45:45">
      <c r="AS12230" s="47"/>
    </row>
    <row r="12231" spans="45:45">
      <c r="AS12231" s="47"/>
    </row>
    <row r="12232" spans="45:45">
      <c r="AS12232" s="47"/>
    </row>
    <row r="12233" spans="45:45">
      <c r="AS12233" s="47"/>
    </row>
    <row r="12234" spans="45:45">
      <c r="AS12234" s="47"/>
    </row>
    <row r="12235" spans="45:45">
      <c r="AS12235" s="47"/>
    </row>
    <row r="12236" spans="45:45">
      <c r="AS12236" s="47"/>
    </row>
    <row r="12237" spans="45:45">
      <c r="AS12237" s="47"/>
    </row>
    <row r="12238" spans="45:45">
      <c r="AS12238" s="47"/>
    </row>
    <row r="12239" spans="45:45">
      <c r="AS12239" s="47"/>
    </row>
    <row r="12240" spans="45:45">
      <c r="AS12240" s="47"/>
    </row>
    <row r="12241" spans="45:45">
      <c r="AS12241" s="47"/>
    </row>
    <row r="12242" spans="45:45">
      <c r="AS12242" s="47"/>
    </row>
    <row r="12243" spans="45:45">
      <c r="AS12243" s="47"/>
    </row>
    <row r="12244" spans="45:45">
      <c r="AS12244" s="47"/>
    </row>
    <row r="12245" spans="45:45">
      <c r="AS12245" s="47"/>
    </row>
    <row r="12246" spans="45:45">
      <c r="AS12246" s="47"/>
    </row>
    <row r="12247" spans="45:45">
      <c r="AS12247" s="47"/>
    </row>
    <row r="12248" spans="45:45">
      <c r="AS12248" s="47"/>
    </row>
    <row r="12249" spans="45:45">
      <c r="AS12249" s="47"/>
    </row>
    <row r="12250" spans="45:45">
      <c r="AS12250" s="47"/>
    </row>
    <row r="12251" spans="45:45">
      <c r="AS12251" s="47"/>
    </row>
    <row r="12252" spans="45:45">
      <c r="AS12252" s="47"/>
    </row>
    <row r="12253" spans="45:45">
      <c r="AS12253" s="47"/>
    </row>
    <row r="12254" spans="45:45">
      <c r="AS12254" s="47"/>
    </row>
    <row r="12255" spans="45:45">
      <c r="AS12255" s="47"/>
    </row>
    <row r="12256" spans="45:45">
      <c r="AS12256" s="47"/>
    </row>
    <row r="12257" spans="45:45">
      <c r="AS12257" s="47"/>
    </row>
    <row r="12258" spans="45:45">
      <c r="AS12258" s="47"/>
    </row>
    <row r="12259" spans="45:45">
      <c r="AS12259" s="47"/>
    </row>
    <row r="12260" spans="45:45">
      <c r="AS12260" s="47"/>
    </row>
    <row r="12261" spans="45:45">
      <c r="AS12261" s="47"/>
    </row>
    <row r="12262" spans="45:45">
      <c r="AS12262" s="47"/>
    </row>
    <row r="12263" spans="45:45">
      <c r="AS12263" s="47"/>
    </row>
    <row r="12264" spans="45:45">
      <c r="AS12264" s="47"/>
    </row>
    <row r="12265" spans="45:45">
      <c r="AS12265" s="47"/>
    </row>
    <row r="12266" spans="45:45">
      <c r="AS12266" s="47"/>
    </row>
    <row r="12267" spans="45:45">
      <c r="AS12267" s="47"/>
    </row>
    <row r="12268" spans="45:45">
      <c r="AS12268" s="47"/>
    </row>
    <row r="12269" spans="45:45">
      <c r="AS12269" s="47"/>
    </row>
    <row r="12270" spans="45:45">
      <c r="AS12270" s="47"/>
    </row>
    <row r="12271" spans="45:45">
      <c r="AS12271" s="47"/>
    </row>
    <row r="12272" spans="45:45">
      <c r="AS12272" s="47"/>
    </row>
    <row r="12273" spans="45:45">
      <c r="AS12273" s="47"/>
    </row>
    <row r="12274" spans="45:45">
      <c r="AS12274" s="47"/>
    </row>
    <row r="12275" spans="45:45">
      <c r="AS12275" s="47"/>
    </row>
    <row r="12276" spans="45:45">
      <c r="AS12276" s="47"/>
    </row>
    <row r="12277" spans="45:45">
      <c r="AS12277" s="47"/>
    </row>
    <row r="12278" spans="45:45">
      <c r="AS12278" s="47"/>
    </row>
    <row r="12279" spans="45:45">
      <c r="AS12279" s="47"/>
    </row>
    <row r="12280" spans="45:45">
      <c r="AS12280" s="47"/>
    </row>
    <row r="12281" spans="45:45">
      <c r="AS12281" s="47"/>
    </row>
    <row r="12282" spans="45:45">
      <c r="AS12282" s="47"/>
    </row>
    <row r="12283" spans="45:45">
      <c r="AS12283" s="47"/>
    </row>
    <row r="12284" spans="45:45">
      <c r="AS12284" s="47"/>
    </row>
    <row r="12285" spans="45:45">
      <c r="AS12285" s="47"/>
    </row>
    <row r="12286" spans="45:45">
      <c r="AS12286" s="47"/>
    </row>
    <row r="12287" spans="45:45">
      <c r="AS12287" s="47"/>
    </row>
    <row r="12288" spans="45:45">
      <c r="AS12288" s="47"/>
    </row>
    <row r="12289" spans="45:45">
      <c r="AS12289" s="47"/>
    </row>
    <row r="12290" spans="45:45">
      <c r="AS12290" s="47"/>
    </row>
    <row r="12291" spans="45:45">
      <c r="AS12291" s="47"/>
    </row>
    <row r="12292" spans="45:45">
      <c r="AS12292" s="47"/>
    </row>
    <row r="12293" spans="45:45">
      <c r="AS12293" s="47"/>
    </row>
    <row r="12294" spans="45:45">
      <c r="AS12294" s="47"/>
    </row>
    <row r="12295" spans="45:45">
      <c r="AS12295" s="47"/>
    </row>
    <row r="12296" spans="45:45">
      <c r="AS12296" s="47"/>
    </row>
    <row r="12297" spans="45:45">
      <c r="AS12297" s="47"/>
    </row>
    <row r="12298" spans="45:45">
      <c r="AS12298" s="47"/>
    </row>
    <row r="12299" spans="45:45">
      <c r="AS12299" s="47"/>
    </row>
    <row r="12300" spans="45:45">
      <c r="AS12300" s="47"/>
    </row>
    <row r="12301" spans="45:45">
      <c r="AS12301" s="47"/>
    </row>
    <row r="12302" spans="45:45">
      <c r="AS12302" s="47"/>
    </row>
    <row r="12303" spans="45:45">
      <c r="AS12303" s="47"/>
    </row>
    <row r="12304" spans="45:45">
      <c r="AS12304" s="47"/>
    </row>
    <row r="12305" spans="45:45">
      <c r="AS12305" s="47"/>
    </row>
    <row r="12306" spans="45:45">
      <c r="AS12306" s="47"/>
    </row>
    <row r="12307" spans="45:45">
      <c r="AS12307" s="47"/>
    </row>
    <row r="12308" spans="45:45">
      <c r="AS12308" s="47"/>
    </row>
    <row r="12309" spans="45:45">
      <c r="AS12309" s="47"/>
    </row>
    <row r="12310" spans="45:45">
      <c r="AS12310" s="47"/>
    </row>
    <row r="12311" spans="45:45">
      <c r="AS12311" s="47"/>
    </row>
    <row r="12312" spans="45:45">
      <c r="AS12312" s="47"/>
    </row>
    <row r="12313" spans="45:45">
      <c r="AS12313" s="47"/>
    </row>
    <row r="12314" spans="45:45">
      <c r="AS12314" s="47"/>
    </row>
    <row r="12315" spans="45:45">
      <c r="AS12315" s="47"/>
    </row>
    <row r="12316" spans="45:45">
      <c r="AS12316" s="47"/>
    </row>
    <row r="12317" spans="45:45">
      <c r="AS12317" s="47"/>
    </row>
    <row r="12318" spans="45:45">
      <c r="AS12318" s="47"/>
    </row>
    <row r="12319" spans="45:45">
      <c r="AS12319" s="47"/>
    </row>
    <row r="12320" spans="45:45">
      <c r="AS12320" s="47"/>
    </row>
    <row r="12321" spans="45:45">
      <c r="AS12321" s="47"/>
    </row>
    <row r="12322" spans="45:45">
      <c r="AS12322" s="47"/>
    </row>
    <row r="12323" spans="45:45">
      <c r="AS12323" s="47"/>
    </row>
    <row r="12324" spans="45:45">
      <c r="AS12324" s="47"/>
    </row>
    <row r="12325" spans="45:45">
      <c r="AS12325" s="47"/>
    </row>
    <row r="12326" spans="45:45">
      <c r="AS12326" s="47"/>
    </row>
    <row r="12327" spans="45:45">
      <c r="AS12327" s="47"/>
    </row>
    <row r="12328" spans="45:45">
      <c r="AS12328" s="47"/>
    </row>
    <row r="12329" spans="45:45">
      <c r="AS12329" s="47"/>
    </row>
    <row r="12330" spans="45:45">
      <c r="AS12330" s="47"/>
    </row>
    <row r="12331" spans="45:45">
      <c r="AS12331" s="47"/>
    </row>
    <row r="12332" spans="45:45">
      <c r="AS12332" s="47"/>
    </row>
    <row r="12333" spans="45:45">
      <c r="AS12333" s="47"/>
    </row>
    <row r="12334" spans="45:45">
      <c r="AS12334" s="47"/>
    </row>
    <row r="12335" spans="45:45">
      <c r="AS12335" s="47"/>
    </row>
    <row r="12336" spans="45:45">
      <c r="AS12336" s="47"/>
    </row>
    <row r="12337" spans="45:45">
      <c r="AS12337" s="47"/>
    </row>
    <row r="12338" spans="45:45">
      <c r="AS12338" s="47"/>
    </row>
    <row r="12339" spans="45:45">
      <c r="AS12339" s="47"/>
    </row>
    <row r="12340" spans="45:45">
      <c r="AS12340" s="47"/>
    </row>
    <row r="12341" spans="45:45">
      <c r="AS12341" s="47"/>
    </row>
    <row r="12342" spans="45:45">
      <c r="AS12342" s="47"/>
    </row>
    <row r="12343" spans="45:45">
      <c r="AS12343" s="47"/>
    </row>
    <row r="12344" spans="45:45">
      <c r="AS12344" s="47"/>
    </row>
    <row r="12345" spans="45:45">
      <c r="AS12345" s="47"/>
    </row>
    <row r="12346" spans="45:45">
      <c r="AS12346" s="47"/>
    </row>
    <row r="12347" spans="45:45">
      <c r="AS12347" s="47"/>
    </row>
    <row r="12348" spans="45:45">
      <c r="AS12348" s="47"/>
    </row>
    <row r="12349" spans="45:45">
      <c r="AS12349" s="47"/>
    </row>
    <row r="12350" spans="45:45">
      <c r="AS12350" s="47"/>
    </row>
    <row r="12351" spans="45:45">
      <c r="AS12351" s="47"/>
    </row>
    <row r="12352" spans="45:45">
      <c r="AS12352" s="47"/>
    </row>
    <row r="12353" spans="45:45">
      <c r="AS12353" s="47"/>
    </row>
    <row r="12354" spans="45:45">
      <c r="AS12354" s="47"/>
    </row>
    <row r="12355" spans="45:45">
      <c r="AS12355" s="47"/>
    </row>
    <row r="12356" spans="45:45">
      <c r="AS12356" s="47"/>
    </row>
    <row r="12357" spans="45:45">
      <c r="AS12357" s="47"/>
    </row>
    <row r="12358" spans="45:45">
      <c r="AS12358" s="47"/>
    </row>
    <row r="12359" spans="45:45">
      <c r="AS12359" s="47"/>
    </row>
    <row r="12360" spans="45:45">
      <c r="AS12360" s="47"/>
    </row>
    <row r="12361" spans="45:45">
      <c r="AS12361" s="47"/>
    </row>
    <row r="12362" spans="45:45">
      <c r="AS12362" s="47"/>
    </row>
    <row r="12363" spans="45:45">
      <c r="AS12363" s="47"/>
    </row>
    <row r="12364" spans="45:45">
      <c r="AS12364" s="47"/>
    </row>
    <row r="12365" spans="45:45">
      <c r="AS12365" s="47"/>
    </row>
    <row r="12366" spans="45:45">
      <c r="AS12366" s="47"/>
    </row>
    <row r="12367" spans="45:45">
      <c r="AS12367" s="47"/>
    </row>
    <row r="12368" spans="45:45">
      <c r="AS12368" s="47"/>
    </row>
    <row r="12369" spans="45:45">
      <c r="AS12369" s="47"/>
    </row>
    <row r="12370" spans="45:45">
      <c r="AS12370" s="47"/>
    </row>
    <row r="12371" spans="45:45">
      <c r="AS12371" s="47"/>
    </row>
    <row r="12372" spans="45:45">
      <c r="AS12372" s="47"/>
    </row>
    <row r="12373" spans="45:45">
      <c r="AS12373" s="47"/>
    </row>
    <row r="12374" spans="45:45">
      <c r="AS12374" s="47"/>
    </row>
    <row r="12375" spans="45:45">
      <c r="AS12375" s="47"/>
    </row>
    <row r="12376" spans="45:45">
      <c r="AS12376" s="47"/>
    </row>
    <row r="12377" spans="45:45">
      <c r="AS12377" s="47"/>
    </row>
    <row r="12378" spans="45:45">
      <c r="AS12378" s="47"/>
    </row>
    <row r="12379" spans="45:45">
      <c r="AS12379" s="47"/>
    </row>
    <row r="12380" spans="45:45">
      <c r="AS12380" s="47"/>
    </row>
    <row r="12381" spans="45:45">
      <c r="AS12381" s="47"/>
    </row>
    <row r="12382" spans="45:45">
      <c r="AS12382" s="47"/>
    </row>
    <row r="12383" spans="45:45">
      <c r="AS12383" s="47"/>
    </row>
    <row r="12384" spans="45:45">
      <c r="AS12384" s="47"/>
    </row>
    <row r="12385" spans="45:45">
      <c r="AS12385" s="47"/>
    </row>
    <row r="12386" spans="45:45">
      <c r="AS12386" s="47"/>
    </row>
    <row r="12387" spans="45:45">
      <c r="AS12387" s="47"/>
    </row>
    <row r="12388" spans="45:45">
      <c r="AS12388" s="47"/>
    </row>
    <row r="12389" spans="45:45">
      <c r="AS12389" s="47"/>
    </row>
    <row r="12390" spans="45:45">
      <c r="AS12390" s="47"/>
    </row>
    <row r="12391" spans="45:45">
      <c r="AS12391" s="47"/>
    </row>
    <row r="12392" spans="45:45">
      <c r="AS12392" s="47"/>
    </row>
    <row r="12393" spans="45:45">
      <c r="AS12393" s="47"/>
    </row>
    <row r="12394" spans="45:45">
      <c r="AS12394" s="47"/>
    </row>
    <row r="12395" spans="45:45">
      <c r="AS12395" s="47"/>
    </row>
    <row r="12396" spans="45:45">
      <c r="AS12396" s="47"/>
    </row>
    <row r="12397" spans="45:45">
      <c r="AS12397" s="47"/>
    </row>
    <row r="12398" spans="45:45">
      <c r="AS12398" s="47"/>
    </row>
    <row r="12399" spans="45:45">
      <c r="AS12399" s="47"/>
    </row>
    <row r="12400" spans="45:45">
      <c r="AS12400" s="47"/>
    </row>
    <row r="12401" spans="45:45">
      <c r="AS12401" s="47"/>
    </row>
    <row r="12402" spans="45:45">
      <c r="AS12402" s="47"/>
    </row>
    <row r="12403" spans="45:45">
      <c r="AS12403" s="47"/>
    </row>
    <row r="12404" spans="45:45">
      <c r="AS12404" s="47"/>
    </row>
    <row r="12405" spans="45:45">
      <c r="AS12405" s="47"/>
    </row>
    <row r="12406" spans="45:45">
      <c r="AS12406" s="47"/>
    </row>
    <row r="12407" spans="45:45">
      <c r="AS12407" s="47"/>
    </row>
    <row r="12408" spans="45:45">
      <c r="AS12408" s="47"/>
    </row>
    <row r="12409" spans="45:45">
      <c r="AS12409" s="47"/>
    </row>
    <row r="12410" spans="45:45">
      <c r="AS12410" s="47"/>
    </row>
    <row r="12411" spans="45:45">
      <c r="AS12411" s="47"/>
    </row>
    <row r="12412" spans="45:45">
      <c r="AS12412" s="47"/>
    </row>
    <row r="12413" spans="45:45">
      <c r="AS12413" s="47"/>
    </row>
    <row r="12414" spans="45:45">
      <c r="AS12414" s="47"/>
    </row>
    <row r="12415" spans="45:45">
      <c r="AS12415" s="47"/>
    </row>
    <row r="12416" spans="45:45">
      <c r="AS12416" s="47"/>
    </row>
    <row r="12417" spans="45:45">
      <c r="AS12417" s="47"/>
    </row>
    <row r="12418" spans="45:45">
      <c r="AS12418" s="47"/>
    </row>
    <row r="12419" spans="45:45">
      <c r="AS12419" s="47"/>
    </row>
    <row r="12420" spans="45:45">
      <c r="AS12420" s="47"/>
    </row>
    <row r="12421" spans="45:45">
      <c r="AS12421" s="47"/>
    </row>
    <row r="12422" spans="45:45">
      <c r="AS12422" s="47"/>
    </row>
    <row r="12423" spans="45:45">
      <c r="AS12423" s="47"/>
    </row>
    <row r="12424" spans="45:45">
      <c r="AS12424" s="47"/>
    </row>
    <row r="12425" spans="45:45">
      <c r="AS12425" s="47"/>
    </row>
    <row r="12426" spans="45:45">
      <c r="AS12426" s="47"/>
    </row>
    <row r="12427" spans="45:45">
      <c r="AS12427" s="47"/>
    </row>
    <row r="12428" spans="45:45">
      <c r="AS12428" s="47"/>
    </row>
    <row r="12429" spans="45:45">
      <c r="AS12429" s="47"/>
    </row>
    <row r="12430" spans="45:45">
      <c r="AS12430" s="47"/>
    </row>
    <row r="12431" spans="45:45">
      <c r="AS12431" s="47"/>
    </row>
    <row r="12432" spans="45:45">
      <c r="AS12432" s="47"/>
    </row>
    <row r="12433" spans="45:45">
      <c r="AS12433" s="47"/>
    </row>
    <row r="12434" spans="45:45">
      <c r="AS12434" s="47"/>
    </row>
    <row r="12435" spans="45:45">
      <c r="AS12435" s="47"/>
    </row>
    <row r="12436" spans="45:45">
      <c r="AS12436" s="47"/>
    </row>
    <row r="12437" spans="45:45">
      <c r="AS12437" s="47"/>
    </row>
    <row r="12438" spans="45:45">
      <c r="AS12438" s="47"/>
    </row>
    <row r="12439" spans="45:45">
      <c r="AS12439" s="47"/>
    </row>
    <row r="12440" spans="45:45">
      <c r="AS12440" s="47"/>
    </row>
    <row r="12441" spans="45:45">
      <c r="AS12441" s="47"/>
    </row>
    <row r="12442" spans="45:45">
      <c r="AS12442" s="47"/>
    </row>
    <row r="12443" spans="45:45">
      <c r="AS12443" s="47"/>
    </row>
    <row r="12444" spans="45:45">
      <c r="AS12444" s="47"/>
    </row>
    <row r="12445" spans="45:45">
      <c r="AS12445" s="47"/>
    </row>
    <row r="12446" spans="45:45">
      <c r="AS12446" s="47"/>
    </row>
    <row r="12447" spans="45:45">
      <c r="AS12447" s="47"/>
    </row>
    <row r="12448" spans="45:45">
      <c r="AS12448" s="47"/>
    </row>
    <row r="12449" spans="45:45">
      <c r="AS12449" s="47"/>
    </row>
    <row r="12450" spans="45:45">
      <c r="AS12450" s="47"/>
    </row>
    <row r="12451" spans="45:45">
      <c r="AS12451" s="47"/>
    </row>
    <row r="12452" spans="45:45">
      <c r="AS12452" s="47"/>
    </row>
    <row r="12453" spans="45:45">
      <c r="AS12453" s="47"/>
    </row>
    <row r="12454" spans="45:45">
      <c r="AS12454" s="47"/>
    </row>
    <row r="12455" spans="45:45">
      <c r="AS12455" s="47"/>
    </row>
    <row r="12456" spans="45:45">
      <c r="AS12456" s="47"/>
    </row>
    <row r="12457" spans="45:45">
      <c r="AS12457" s="47"/>
    </row>
    <row r="12458" spans="45:45">
      <c r="AS12458" s="47"/>
    </row>
    <row r="12459" spans="45:45">
      <c r="AS12459" s="47"/>
    </row>
    <row r="12460" spans="45:45">
      <c r="AS12460" s="47"/>
    </row>
    <row r="12461" spans="45:45">
      <c r="AS12461" s="47"/>
    </row>
    <row r="12462" spans="45:45">
      <c r="AS12462" s="47"/>
    </row>
    <row r="12463" spans="45:45">
      <c r="AS12463" s="47"/>
    </row>
    <row r="12464" spans="45:45">
      <c r="AS12464" s="47"/>
    </row>
    <row r="12465" spans="45:45">
      <c r="AS12465" s="47"/>
    </row>
    <row r="12466" spans="45:45">
      <c r="AS12466" s="47"/>
    </row>
    <row r="12467" spans="45:45">
      <c r="AS12467" s="47"/>
    </row>
    <row r="12468" spans="45:45">
      <c r="AS12468" s="47"/>
    </row>
    <row r="12469" spans="45:45">
      <c r="AS12469" s="47"/>
    </row>
    <row r="12470" spans="45:45">
      <c r="AS12470" s="47"/>
    </row>
    <row r="12471" spans="45:45">
      <c r="AS12471" s="47"/>
    </row>
    <row r="12472" spans="45:45">
      <c r="AS12472" s="47"/>
    </row>
    <row r="12473" spans="45:45">
      <c r="AS12473" s="47"/>
    </row>
    <row r="12474" spans="45:45">
      <c r="AS12474" s="47"/>
    </row>
    <row r="12475" spans="45:45">
      <c r="AS12475" s="47"/>
    </row>
    <row r="12476" spans="45:45">
      <c r="AS12476" s="47"/>
    </row>
    <row r="12477" spans="45:45">
      <c r="AS12477" s="47"/>
    </row>
    <row r="12478" spans="45:45">
      <c r="AS12478" s="47"/>
    </row>
    <row r="12479" spans="45:45">
      <c r="AS12479" s="47"/>
    </row>
    <row r="12480" spans="45:45">
      <c r="AS12480" s="47"/>
    </row>
    <row r="12481" spans="45:45">
      <c r="AS12481" s="47"/>
    </row>
    <row r="12482" spans="45:45">
      <c r="AS12482" s="47"/>
    </row>
    <row r="12483" spans="45:45">
      <c r="AS12483" s="47"/>
    </row>
    <row r="12484" spans="45:45">
      <c r="AS12484" s="47"/>
    </row>
    <row r="12485" spans="45:45">
      <c r="AS12485" s="47"/>
    </row>
    <row r="12486" spans="45:45">
      <c r="AS12486" s="47"/>
    </row>
    <row r="12487" spans="45:45">
      <c r="AS12487" s="47"/>
    </row>
    <row r="12488" spans="45:45">
      <c r="AS12488" s="47"/>
    </row>
    <row r="12489" spans="45:45">
      <c r="AS12489" s="47"/>
    </row>
    <row r="12490" spans="45:45">
      <c r="AS12490" s="47"/>
    </row>
    <row r="12491" spans="45:45">
      <c r="AS12491" s="47"/>
    </row>
    <row r="12492" spans="45:45">
      <c r="AS12492" s="47"/>
    </row>
    <row r="12493" spans="45:45">
      <c r="AS12493" s="47"/>
    </row>
    <row r="12494" spans="45:45">
      <c r="AS12494" s="47"/>
    </row>
    <row r="12495" spans="45:45">
      <c r="AS12495" s="47"/>
    </row>
    <row r="12496" spans="45:45">
      <c r="AS12496" s="47"/>
    </row>
    <row r="12497" spans="45:45">
      <c r="AS12497" s="47"/>
    </row>
    <row r="12498" spans="45:45">
      <c r="AS12498" s="47"/>
    </row>
    <row r="12499" spans="45:45">
      <c r="AS12499" s="47"/>
    </row>
    <row r="12500" spans="45:45">
      <c r="AS12500" s="47"/>
    </row>
    <row r="12501" spans="45:45">
      <c r="AS12501" s="47"/>
    </row>
    <row r="12502" spans="45:45">
      <c r="AS12502" s="47"/>
    </row>
    <row r="12503" spans="45:45">
      <c r="AS12503" s="47"/>
    </row>
    <row r="12504" spans="45:45">
      <c r="AS12504" s="47"/>
    </row>
    <row r="12505" spans="45:45">
      <c r="AS12505" s="47"/>
    </row>
    <row r="12506" spans="45:45">
      <c r="AS12506" s="47"/>
    </row>
    <row r="12507" spans="45:45">
      <c r="AS12507" s="47"/>
    </row>
    <row r="12508" spans="45:45">
      <c r="AS12508" s="47"/>
    </row>
    <row r="12509" spans="45:45">
      <c r="AS12509" s="47"/>
    </row>
    <row r="12510" spans="45:45">
      <c r="AS12510" s="47"/>
    </row>
    <row r="12511" spans="45:45">
      <c r="AS12511" s="47"/>
    </row>
    <row r="12512" spans="45:45">
      <c r="AS12512" s="47"/>
    </row>
    <row r="12513" spans="45:45">
      <c r="AS12513" s="47"/>
    </row>
    <row r="12514" spans="45:45">
      <c r="AS12514" s="47"/>
    </row>
    <row r="12515" spans="45:45">
      <c r="AS12515" s="47"/>
    </row>
    <row r="12516" spans="45:45">
      <c r="AS12516" s="47"/>
    </row>
    <row r="12517" spans="45:45">
      <c r="AS12517" s="47"/>
    </row>
    <row r="12518" spans="45:45">
      <c r="AS12518" s="47"/>
    </row>
    <row r="12519" spans="45:45">
      <c r="AS12519" s="47"/>
    </row>
    <row r="12520" spans="45:45">
      <c r="AS12520" s="47"/>
    </row>
    <row r="12521" spans="45:45">
      <c r="AS12521" s="47"/>
    </row>
    <row r="12522" spans="45:45">
      <c r="AS12522" s="47"/>
    </row>
    <row r="12523" spans="45:45">
      <c r="AS12523" s="47"/>
    </row>
    <row r="12524" spans="45:45">
      <c r="AS12524" s="47"/>
    </row>
    <row r="12525" spans="45:45">
      <c r="AS12525" s="47"/>
    </row>
    <row r="12526" spans="45:45">
      <c r="AS12526" s="47"/>
    </row>
    <row r="12527" spans="45:45">
      <c r="AS12527" s="47"/>
    </row>
    <row r="12528" spans="45:45">
      <c r="AS12528" s="47"/>
    </row>
    <row r="12529" spans="45:45">
      <c r="AS12529" s="47"/>
    </row>
    <row r="12530" spans="45:45">
      <c r="AS12530" s="47"/>
    </row>
    <row r="12531" spans="45:45">
      <c r="AS12531" s="47"/>
    </row>
    <row r="12532" spans="45:45">
      <c r="AS12532" s="47"/>
    </row>
    <row r="12533" spans="45:45">
      <c r="AS12533" s="47"/>
    </row>
    <row r="12534" spans="45:45">
      <c r="AS12534" s="47"/>
    </row>
    <row r="12535" spans="45:45">
      <c r="AS12535" s="47"/>
    </row>
    <row r="12536" spans="45:45">
      <c r="AS12536" s="47"/>
    </row>
    <row r="12537" spans="45:45">
      <c r="AS12537" s="47"/>
    </row>
    <row r="12538" spans="45:45">
      <c r="AS12538" s="47"/>
    </row>
    <row r="12539" spans="45:45">
      <c r="AS12539" s="47"/>
    </row>
    <row r="12540" spans="45:45">
      <c r="AS12540" s="47"/>
    </row>
    <row r="12541" spans="45:45">
      <c r="AS12541" s="47"/>
    </row>
    <row r="12542" spans="45:45">
      <c r="AS12542" s="47"/>
    </row>
    <row r="12543" spans="45:45">
      <c r="AS12543" s="47"/>
    </row>
    <row r="12544" spans="45:45">
      <c r="AS12544" s="47"/>
    </row>
    <row r="12545" spans="45:45">
      <c r="AS12545" s="47"/>
    </row>
    <row r="12546" spans="45:45">
      <c r="AS12546" s="47"/>
    </row>
    <row r="12547" spans="45:45">
      <c r="AS12547" s="47"/>
    </row>
    <row r="12548" spans="45:45">
      <c r="AS12548" s="47"/>
    </row>
    <row r="12549" spans="45:45">
      <c r="AS12549" s="47"/>
    </row>
    <row r="12550" spans="45:45">
      <c r="AS12550" s="47"/>
    </row>
    <row r="12551" spans="45:45">
      <c r="AS12551" s="47"/>
    </row>
    <row r="12552" spans="45:45">
      <c r="AS12552" s="47"/>
    </row>
    <row r="12553" spans="45:45">
      <c r="AS12553" s="47"/>
    </row>
    <row r="12554" spans="45:45">
      <c r="AS12554" s="47"/>
    </row>
    <row r="12555" spans="45:45">
      <c r="AS12555" s="47"/>
    </row>
    <row r="12556" spans="45:45">
      <c r="AS12556" s="47"/>
    </row>
    <row r="12557" spans="45:45">
      <c r="AS12557" s="47"/>
    </row>
    <row r="12558" spans="45:45">
      <c r="AS12558" s="47"/>
    </row>
    <row r="12559" spans="45:45">
      <c r="AS12559" s="47"/>
    </row>
    <row r="12560" spans="45:45">
      <c r="AS12560" s="47"/>
    </row>
    <row r="12561" spans="45:45">
      <c r="AS12561" s="47"/>
    </row>
    <row r="12562" spans="45:45">
      <c r="AS12562" s="47"/>
    </row>
    <row r="12563" spans="45:45">
      <c r="AS12563" s="47"/>
    </row>
    <row r="12564" spans="45:45">
      <c r="AS12564" s="47"/>
    </row>
    <row r="12565" spans="45:45">
      <c r="AS12565" s="47"/>
    </row>
    <row r="12566" spans="45:45">
      <c r="AS12566" s="47"/>
    </row>
    <row r="12567" spans="45:45">
      <c r="AS12567" s="47"/>
    </row>
    <row r="12568" spans="45:45">
      <c r="AS12568" s="47"/>
    </row>
    <row r="12569" spans="45:45">
      <c r="AS12569" s="47"/>
    </row>
    <row r="12570" spans="45:45">
      <c r="AS12570" s="47"/>
    </row>
    <row r="12571" spans="45:45">
      <c r="AS12571" s="47"/>
    </row>
    <row r="12572" spans="45:45">
      <c r="AS12572" s="47"/>
    </row>
    <row r="12573" spans="45:45">
      <c r="AS12573" s="47"/>
    </row>
    <row r="12574" spans="45:45">
      <c r="AS12574" s="47"/>
    </row>
    <row r="12575" spans="45:45">
      <c r="AS12575" s="47"/>
    </row>
    <row r="12576" spans="45:45">
      <c r="AS12576" s="47"/>
    </row>
    <row r="12577" spans="45:45">
      <c r="AS12577" s="47"/>
    </row>
    <row r="12578" spans="45:45">
      <c r="AS12578" s="47"/>
    </row>
    <row r="12579" spans="45:45">
      <c r="AS12579" s="47"/>
    </row>
    <row r="12580" spans="45:45">
      <c r="AS12580" s="47"/>
    </row>
    <row r="12581" spans="45:45">
      <c r="AS12581" s="47"/>
    </row>
    <row r="12582" spans="45:45">
      <c r="AS12582" s="47"/>
    </row>
    <row r="12583" spans="45:45">
      <c r="AS12583" s="47"/>
    </row>
    <row r="12584" spans="45:45">
      <c r="AS12584" s="47"/>
    </row>
    <row r="12585" spans="45:45">
      <c r="AS12585" s="47"/>
    </row>
    <row r="12586" spans="45:45">
      <c r="AS12586" s="47"/>
    </row>
    <row r="12587" spans="45:45">
      <c r="AS12587" s="47"/>
    </row>
    <row r="12588" spans="45:45">
      <c r="AS12588" s="47"/>
    </row>
    <row r="12589" spans="45:45">
      <c r="AS12589" s="47"/>
    </row>
    <row r="12590" spans="45:45">
      <c r="AS12590" s="47"/>
    </row>
    <row r="12591" spans="45:45">
      <c r="AS12591" s="47"/>
    </row>
    <row r="12592" spans="45:45">
      <c r="AS12592" s="47"/>
    </row>
    <row r="12593" spans="45:45">
      <c r="AS12593" s="47"/>
    </row>
    <row r="12594" spans="45:45">
      <c r="AS12594" s="47"/>
    </row>
    <row r="12595" spans="45:45">
      <c r="AS12595" s="47"/>
    </row>
    <row r="12596" spans="45:45">
      <c r="AS12596" s="47"/>
    </row>
    <row r="12597" spans="45:45">
      <c r="AS12597" s="47"/>
    </row>
    <row r="12598" spans="45:45">
      <c r="AS12598" s="47"/>
    </row>
    <row r="12599" spans="45:45">
      <c r="AS12599" s="47"/>
    </row>
    <row r="12600" spans="45:45">
      <c r="AS12600" s="47"/>
    </row>
    <row r="12601" spans="45:45">
      <c r="AS12601" s="47"/>
    </row>
    <row r="12602" spans="45:45">
      <c r="AS12602" s="47"/>
    </row>
    <row r="12603" spans="45:45">
      <c r="AS12603" s="47"/>
    </row>
    <row r="12604" spans="45:45">
      <c r="AS12604" s="47"/>
    </row>
    <row r="12605" spans="45:45">
      <c r="AS12605" s="47"/>
    </row>
    <row r="12606" spans="45:45">
      <c r="AS12606" s="47"/>
    </row>
    <row r="12607" spans="45:45">
      <c r="AS12607" s="47"/>
    </row>
    <row r="12608" spans="45:45">
      <c r="AS12608" s="47"/>
    </row>
    <row r="12609" spans="45:45">
      <c r="AS12609" s="47"/>
    </row>
    <row r="12610" spans="45:45">
      <c r="AS12610" s="47"/>
    </row>
    <row r="12611" spans="45:45">
      <c r="AS12611" s="47"/>
    </row>
    <row r="12612" spans="45:45">
      <c r="AS12612" s="47"/>
    </row>
    <row r="12613" spans="45:45">
      <c r="AS12613" s="47"/>
    </row>
    <row r="12614" spans="45:45">
      <c r="AS12614" s="47"/>
    </row>
    <row r="12615" spans="45:45">
      <c r="AS12615" s="47"/>
    </row>
    <row r="12616" spans="45:45">
      <c r="AS12616" s="47"/>
    </row>
    <row r="12617" spans="45:45">
      <c r="AS12617" s="47"/>
    </row>
    <row r="12618" spans="45:45">
      <c r="AS12618" s="47"/>
    </row>
    <row r="12619" spans="45:45">
      <c r="AS12619" s="47"/>
    </row>
    <row r="12620" spans="45:45">
      <c r="AS12620" s="47"/>
    </row>
    <row r="12621" spans="45:45">
      <c r="AS12621" s="47"/>
    </row>
    <row r="12622" spans="45:45">
      <c r="AS12622" s="47"/>
    </row>
    <row r="12623" spans="45:45">
      <c r="AS12623" s="47"/>
    </row>
    <row r="12624" spans="45:45">
      <c r="AS12624" s="47"/>
    </row>
    <row r="12625" spans="45:45">
      <c r="AS12625" s="47"/>
    </row>
    <row r="12626" spans="45:45">
      <c r="AS12626" s="47"/>
    </row>
    <row r="12627" spans="45:45">
      <c r="AS12627" s="47"/>
    </row>
    <row r="12628" spans="45:45">
      <c r="AS12628" s="47"/>
    </row>
    <row r="12629" spans="45:45">
      <c r="AS12629" s="47"/>
    </row>
    <row r="12630" spans="45:45">
      <c r="AS12630" s="47"/>
    </row>
    <row r="12631" spans="45:45">
      <c r="AS12631" s="47"/>
    </row>
    <row r="12632" spans="45:45">
      <c r="AS12632" s="47"/>
    </row>
    <row r="12633" spans="45:45">
      <c r="AS12633" s="47"/>
    </row>
    <row r="12634" spans="45:45">
      <c r="AS12634" s="47"/>
    </row>
    <row r="12635" spans="45:45">
      <c r="AS12635" s="47"/>
    </row>
    <row r="12636" spans="45:45">
      <c r="AS12636" s="47"/>
    </row>
    <row r="12637" spans="45:45">
      <c r="AS12637" s="47"/>
    </row>
    <row r="12638" spans="45:45">
      <c r="AS12638" s="47"/>
    </row>
    <row r="12639" spans="45:45">
      <c r="AS12639" s="47"/>
    </row>
    <row r="12640" spans="45:45">
      <c r="AS12640" s="47"/>
    </row>
    <row r="12641" spans="45:45">
      <c r="AS12641" s="47"/>
    </row>
    <row r="12642" spans="45:45">
      <c r="AS12642" s="47"/>
    </row>
    <row r="12643" spans="45:45">
      <c r="AS12643" s="47"/>
    </row>
    <row r="12644" spans="45:45">
      <c r="AS12644" s="47"/>
    </row>
    <row r="12645" spans="45:45">
      <c r="AS12645" s="47"/>
    </row>
    <row r="12646" spans="45:45">
      <c r="AS12646" s="47"/>
    </row>
    <row r="12647" spans="45:45">
      <c r="AS12647" s="47"/>
    </row>
    <row r="12648" spans="45:45">
      <c r="AS12648" s="47"/>
    </row>
    <row r="12649" spans="45:45">
      <c r="AS12649" s="47"/>
    </row>
    <row r="12650" spans="45:45">
      <c r="AS12650" s="47"/>
    </row>
    <row r="12651" spans="45:45">
      <c r="AS12651" s="47"/>
    </row>
    <row r="12652" spans="45:45">
      <c r="AS12652" s="47"/>
    </row>
    <row r="12653" spans="45:45">
      <c r="AS12653" s="47"/>
    </row>
    <row r="12654" spans="45:45">
      <c r="AS12654" s="47"/>
    </row>
    <row r="12655" spans="45:45">
      <c r="AS12655" s="47"/>
    </row>
    <row r="12656" spans="45:45">
      <c r="AS12656" s="47"/>
    </row>
    <row r="12657" spans="45:45">
      <c r="AS12657" s="47"/>
    </row>
    <row r="12658" spans="45:45">
      <c r="AS12658" s="47"/>
    </row>
    <row r="12659" spans="45:45">
      <c r="AS12659" s="47"/>
    </row>
    <row r="12660" spans="45:45">
      <c r="AS12660" s="47"/>
    </row>
    <row r="12661" spans="45:45">
      <c r="AS12661" s="47"/>
    </row>
    <row r="12662" spans="45:45">
      <c r="AS12662" s="47"/>
    </row>
    <row r="12663" spans="45:45">
      <c r="AS12663" s="47"/>
    </row>
    <row r="12664" spans="45:45">
      <c r="AS12664" s="47"/>
    </row>
    <row r="12665" spans="45:45">
      <c r="AS12665" s="47"/>
    </row>
    <row r="12666" spans="45:45">
      <c r="AS12666" s="47"/>
    </row>
    <row r="12667" spans="45:45">
      <c r="AS12667" s="47"/>
    </row>
    <row r="12668" spans="45:45">
      <c r="AS12668" s="47"/>
    </row>
    <row r="12669" spans="45:45">
      <c r="AS12669" s="47"/>
    </row>
    <row r="12670" spans="45:45">
      <c r="AS12670" s="47"/>
    </row>
    <row r="12671" spans="45:45">
      <c r="AS12671" s="47"/>
    </row>
    <row r="12672" spans="45:45">
      <c r="AS12672" s="47"/>
    </row>
    <row r="12673" spans="45:45">
      <c r="AS12673" s="47"/>
    </row>
    <row r="12674" spans="45:45">
      <c r="AS12674" s="47"/>
    </row>
    <row r="12675" spans="45:45">
      <c r="AS12675" s="47"/>
    </row>
    <row r="12676" spans="45:45">
      <c r="AS12676" s="47"/>
    </row>
    <row r="12677" spans="45:45">
      <c r="AS12677" s="47"/>
    </row>
    <row r="12678" spans="45:45">
      <c r="AS12678" s="47"/>
    </row>
    <row r="12679" spans="45:45">
      <c r="AS12679" s="47"/>
    </row>
    <row r="12680" spans="45:45">
      <c r="AS12680" s="47"/>
    </row>
    <row r="12681" spans="45:45">
      <c r="AS12681" s="47"/>
    </row>
    <row r="12682" spans="45:45">
      <c r="AS12682" s="47"/>
    </row>
    <row r="12683" spans="45:45">
      <c r="AS12683" s="47"/>
    </row>
    <row r="12684" spans="45:45">
      <c r="AS12684" s="47"/>
    </row>
    <row r="12685" spans="45:45">
      <c r="AS12685" s="47"/>
    </row>
    <row r="12686" spans="45:45">
      <c r="AS12686" s="47"/>
    </row>
    <row r="12687" spans="45:45">
      <c r="AS12687" s="47"/>
    </row>
    <row r="12688" spans="45:45">
      <c r="AS12688" s="47"/>
    </row>
    <row r="12689" spans="45:45">
      <c r="AS12689" s="47"/>
    </row>
    <row r="12690" spans="45:45">
      <c r="AS12690" s="47"/>
    </row>
    <row r="12691" spans="45:45">
      <c r="AS12691" s="47"/>
    </row>
    <row r="12692" spans="45:45">
      <c r="AS12692" s="47"/>
    </row>
    <row r="12693" spans="45:45">
      <c r="AS12693" s="47"/>
    </row>
    <row r="12694" spans="45:45">
      <c r="AS12694" s="47"/>
    </row>
    <row r="12695" spans="45:45">
      <c r="AS12695" s="47"/>
    </row>
    <row r="12696" spans="45:45">
      <c r="AS12696" s="47"/>
    </row>
    <row r="12697" spans="45:45">
      <c r="AS12697" s="47"/>
    </row>
    <row r="12698" spans="45:45">
      <c r="AS12698" s="47"/>
    </row>
    <row r="12699" spans="45:45">
      <c r="AS12699" s="47"/>
    </row>
    <row r="12700" spans="45:45">
      <c r="AS12700" s="47"/>
    </row>
    <row r="12701" spans="45:45">
      <c r="AS12701" s="47"/>
    </row>
    <row r="12702" spans="45:45">
      <c r="AS12702" s="47"/>
    </row>
    <row r="12703" spans="45:45">
      <c r="AS12703" s="47"/>
    </row>
    <row r="12704" spans="45:45">
      <c r="AS12704" s="47"/>
    </row>
    <row r="12705" spans="45:45">
      <c r="AS12705" s="47"/>
    </row>
    <row r="12706" spans="45:45">
      <c r="AS12706" s="47"/>
    </row>
    <row r="12707" spans="45:45">
      <c r="AS12707" s="47"/>
    </row>
    <row r="12708" spans="45:45">
      <c r="AS12708" s="47"/>
    </row>
    <row r="12709" spans="45:45">
      <c r="AS12709" s="47"/>
    </row>
    <row r="12710" spans="45:45">
      <c r="AS12710" s="47"/>
    </row>
    <row r="12711" spans="45:45">
      <c r="AS12711" s="47"/>
    </row>
    <row r="12712" spans="45:45">
      <c r="AS12712" s="47"/>
    </row>
    <row r="12713" spans="45:45">
      <c r="AS12713" s="47"/>
    </row>
    <row r="12714" spans="45:45">
      <c r="AS12714" s="47"/>
    </row>
    <row r="12715" spans="45:45">
      <c r="AS12715" s="47"/>
    </row>
    <row r="12716" spans="45:45">
      <c r="AS12716" s="47"/>
    </row>
    <row r="12717" spans="45:45">
      <c r="AS12717" s="47"/>
    </row>
    <row r="12718" spans="45:45">
      <c r="AS12718" s="47"/>
    </row>
    <row r="12719" spans="45:45">
      <c r="AS12719" s="47"/>
    </row>
    <row r="12720" spans="45:45">
      <c r="AS12720" s="47"/>
    </row>
    <row r="12721" spans="45:45">
      <c r="AS12721" s="47"/>
    </row>
    <row r="12722" spans="45:45">
      <c r="AS12722" s="47"/>
    </row>
    <row r="12723" spans="45:45">
      <c r="AS12723" s="47"/>
    </row>
    <row r="12724" spans="45:45">
      <c r="AS12724" s="47"/>
    </row>
    <row r="12725" spans="45:45">
      <c r="AS12725" s="47"/>
    </row>
    <row r="12726" spans="45:45">
      <c r="AS12726" s="47"/>
    </row>
    <row r="12727" spans="45:45">
      <c r="AS12727" s="47"/>
    </row>
    <row r="12728" spans="45:45">
      <c r="AS12728" s="47"/>
    </row>
    <row r="12729" spans="45:45">
      <c r="AS12729" s="47"/>
    </row>
    <row r="12730" spans="45:45">
      <c r="AS12730" s="47"/>
    </row>
    <row r="12731" spans="45:45">
      <c r="AS12731" s="47"/>
    </row>
    <row r="12732" spans="45:45">
      <c r="AS12732" s="47"/>
    </row>
    <row r="12733" spans="45:45">
      <c r="AS12733" s="47"/>
    </row>
    <row r="12734" spans="45:45">
      <c r="AS12734" s="47"/>
    </row>
    <row r="12735" spans="45:45">
      <c r="AS12735" s="47"/>
    </row>
    <row r="12736" spans="45:45">
      <c r="AS12736" s="47"/>
    </row>
    <row r="12737" spans="45:45">
      <c r="AS12737" s="47"/>
    </row>
    <row r="12738" spans="45:45">
      <c r="AS12738" s="47"/>
    </row>
    <row r="12739" spans="45:45">
      <c r="AS12739" s="47"/>
    </row>
    <row r="12740" spans="45:45">
      <c r="AS12740" s="47"/>
    </row>
    <row r="12741" spans="45:45">
      <c r="AS12741" s="47"/>
    </row>
    <row r="12742" spans="45:45">
      <c r="AS12742" s="47"/>
    </row>
    <row r="12743" spans="45:45">
      <c r="AS12743" s="47"/>
    </row>
    <row r="12744" spans="45:45">
      <c r="AS12744" s="47"/>
    </row>
    <row r="12745" spans="45:45">
      <c r="AS12745" s="47"/>
    </row>
    <row r="12746" spans="45:45">
      <c r="AS12746" s="47"/>
    </row>
    <row r="12747" spans="45:45">
      <c r="AS12747" s="47"/>
    </row>
    <row r="12748" spans="45:45">
      <c r="AS12748" s="47"/>
    </row>
    <row r="12749" spans="45:45">
      <c r="AS12749" s="47"/>
    </row>
    <row r="12750" spans="45:45">
      <c r="AS12750" s="47"/>
    </row>
    <row r="12751" spans="45:45">
      <c r="AS12751" s="47"/>
    </row>
    <row r="12752" spans="45:45">
      <c r="AS12752" s="47"/>
    </row>
    <row r="12753" spans="45:45">
      <c r="AS12753" s="47"/>
    </row>
    <row r="12754" spans="45:45">
      <c r="AS12754" s="47"/>
    </row>
    <row r="12755" spans="45:45">
      <c r="AS12755" s="47"/>
    </row>
    <row r="12756" spans="45:45">
      <c r="AS12756" s="47"/>
    </row>
    <row r="12757" spans="45:45">
      <c r="AS12757" s="47"/>
    </row>
    <row r="12758" spans="45:45">
      <c r="AS12758" s="47"/>
    </row>
    <row r="12759" spans="45:45">
      <c r="AS12759" s="47"/>
    </row>
    <row r="12760" spans="45:45">
      <c r="AS12760" s="47"/>
    </row>
    <row r="12761" spans="45:45">
      <c r="AS12761" s="47"/>
    </row>
    <row r="12762" spans="45:45">
      <c r="AS12762" s="47"/>
    </row>
    <row r="12763" spans="45:45">
      <c r="AS12763" s="47"/>
    </row>
    <row r="12764" spans="45:45">
      <c r="AS12764" s="47"/>
    </row>
    <row r="12765" spans="45:45">
      <c r="AS12765" s="47"/>
    </row>
    <row r="12766" spans="45:45">
      <c r="AS12766" s="47"/>
    </row>
    <row r="12767" spans="45:45">
      <c r="AS12767" s="47"/>
    </row>
    <row r="12768" spans="45:45">
      <c r="AS12768" s="47"/>
    </row>
    <row r="12769" spans="45:45">
      <c r="AS12769" s="47"/>
    </row>
    <row r="12770" spans="45:45">
      <c r="AS12770" s="47"/>
    </row>
    <row r="12771" spans="45:45">
      <c r="AS12771" s="47"/>
    </row>
    <row r="12772" spans="45:45">
      <c r="AS12772" s="47"/>
    </row>
    <row r="12773" spans="45:45">
      <c r="AS12773" s="47"/>
    </row>
    <row r="12774" spans="45:45">
      <c r="AS12774" s="47"/>
    </row>
    <row r="12775" spans="45:45">
      <c r="AS12775" s="47"/>
    </row>
    <row r="12776" spans="45:45">
      <c r="AS12776" s="47"/>
    </row>
    <row r="12777" spans="45:45">
      <c r="AS12777" s="47"/>
    </row>
    <row r="12778" spans="45:45">
      <c r="AS12778" s="47"/>
    </row>
    <row r="12779" spans="45:45">
      <c r="AS12779" s="47"/>
    </row>
    <row r="12780" spans="45:45">
      <c r="AS12780" s="47"/>
    </row>
    <row r="12781" spans="45:45">
      <c r="AS12781" s="47"/>
    </row>
    <row r="12782" spans="45:45">
      <c r="AS12782" s="47"/>
    </row>
    <row r="12783" spans="45:45">
      <c r="AS12783" s="47"/>
    </row>
    <row r="12784" spans="45:45">
      <c r="AS12784" s="47"/>
    </row>
    <row r="12785" spans="45:45">
      <c r="AS12785" s="47"/>
    </row>
    <row r="12786" spans="45:45">
      <c r="AS12786" s="47"/>
    </row>
    <row r="12787" spans="45:45">
      <c r="AS12787" s="47"/>
    </row>
    <row r="12788" spans="45:45">
      <c r="AS12788" s="47"/>
    </row>
    <row r="12789" spans="45:45">
      <c r="AS12789" s="47"/>
    </row>
    <row r="12790" spans="45:45">
      <c r="AS12790" s="47"/>
    </row>
    <row r="12791" spans="45:45">
      <c r="AS12791" s="47"/>
    </row>
    <row r="12792" spans="45:45">
      <c r="AS12792" s="47"/>
    </row>
    <row r="12793" spans="45:45">
      <c r="AS12793" s="47"/>
    </row>
    <row r="12794" spans="45:45">
      <c r="AS12794" s="47"/>
    </row>
    <row r="12795" spans="45:45">
      <c r="AS12795" s="47"/>
    </row>
    <row r="12796" spans="45:45">
      <c r="AS12796" s="47"/>
    </row>
    <row r="12797" spans="45:45">
      <c r="AS12797" s="47"/>
    </row>
    <row r="12798" spans="45:45">
      <c r="AS12798" s="47"/>
    </row>
    <row r="12799" spans="45:45">
      <c r="AS12799" s="47"/>
    </row>
    <row r="12800" spans="45:45">
      <c r="AS12800" s="47"/>
    </row>
    <row r="12801" spans="45:45">
      <c r="AS12801" s="47"/>
    </row>
    <row r="12802" spans="45:45">
      <c r="AS12802" s="47"/>
    </row>
    <row r="12803" spans="45:45">
      <c r="AS12803" s="47"/>
    </row>
    <row r="12804" spans="45:45">
      <c r="AS12804" s="47"/>
    </row>
    <row r="12805" spans="45:45">
      <c r="AS12805" s="47"/>
    </row>
    <row r="12806" spans="45:45">
      <c r="AS12806" s="47"/>
    </row>
    <row r="12807" spans="45:45">
      <c r="AS12807" s="47"/>
    </row>
    <row r="12808" spans="45:45">
      <c r="AS12808" s="47"/>
    </row>
    <row r="12809" spans="45:45">
      <c r="AS12809" s="47"/>
    </row>
    <row r="12810" spans="45:45">
      <c r="AS12810" s="47"/>
    </row>
    <row r="12811" spans="45:45">
      <c r="AS12811" s="47"/>
    </row>
    <row r="12812" spans="45:45">
      <c r="AS12812" s="47"/>
    </row>
    <row r="12813" spans="45:45">
      <c r="AS12813" s="47"/>
    </row>
    <row r="12814" spans="45:45">
      <c r="AS12814" s="47"/>
    </row>
    <row r="12815" spans="45:45">
      <c r="AS12815" s="47"/>
    </row>
    <row r="12816" spans="45:45">
      <c r="AS12816" s="47"/>
    </row>
    <row r="12817" spans="45:45">
      <c r="AS12817" s="47"/>
    </row>
    <row r="12818" spans="45:45">
      <c r="AS12818" s="47"/>
    </row>
    <row r="12819" spans="45:45">
      <c r="AS12819" s="47"/>
    </row>
    <row r="12820" spans="45:45">
      <c r="AS12820" s="47"/>
    </row>
    <row r="12821" spans="45:45">
      <c r="AS12821" s="47"/>
    </row>
    <row r="12822" spans="45:45">
      <c r="AS12822" s="47"/>
    </row>
    <row r="12823" spans="45:45">
      <c r="AS12823" s="47"/>
    </row>
    <row r="12824" spans="45:45">
      <c r="AS12824" s="47"/>
    </row>
    <row r="12825" spans="45:45">
      <c r="AS12825" s="47"/>
    </row>
    <row r="12826" spans="45:45">
      <c r="AS12826" s="47"/>
    </row>
    <row r="12827" spans="45:45">
      <c r="AS12827" s="47"/>
    </row>
    <row r="12828" spans="45:45">
      <c r="AS12828" s="47"/>
    </row>
    <row r="12829" spans="45:45">
      <c r="AS12829" s="47"/>
    </row>
    <row r="12830" spans="45:45">
      <c r="AS12830" s="47"/>
    </row>
    <row r="12831" spans="45:45">
      <c r="AS12831" s="47"/>
    </row>
    <row r="12832" spans="45:45">
      <c r="AS12832" s="47"/>
    </row>
    <row r="12833" spans="45:45">
      <c r="AS12833" s="47"/>
    </row>
    <row r="12834" spans="45:45">
      <c r="AS12834" s="47"/>
    </row>
    <row r="12835" spans="45:45">
      <c r="AS12835" s="47"/>
    </row>
    <row r="12836" spans="45:45">
      <c r="AS12836" s="47"/>
    </row>
    <row r="12837" spans="45:45">
      <c r="AS12837" s="47"/>
    </row>
    <row r="12838" spans="45:45">
      <c r="AS12838" s="47"/>
    </row>
    <row r="12839" spans="45:45">
      <c r="AS12839" s="47"/>
    </row>
    <row r="12840" spans="45:45">
      <c r="AS12840" s="47"/>
    </row>
    <row r="12841" spans="45:45">
      <c r="AS12841" s="47"/>
    </row>
    <row r="12842" spans="45:45">
      <c r="AS12842" s="47"/>
    </row>
    <row r="12843" spans="45:45">
      <c r="AS12843" s="47"/>
    </row>
    <row r="12844" spans="45:45">
      <c r="AS12844" s="47"/>
    </row>
    <row r="12845" spans="45:45">
      <c r="AS12845" s="47"/>
    </row>
    <row r="12846" spans="45:45">
      <c r="AS12846" s="47"/>
    </row>
    <row r="12847" spans="45:45">
      <c r="AS12847" s="47"/>
    </row>
    <row r="12848" spans="45:45">
      <c r="AS12848" s="47"/>
    </row>
    <row r="12849" spans="45:45">
      <c r="AS12849" s="47"/>
    </row>
    <row r="12850" spans="45:45">
      <c r="AS12850" s="47"/>
    </row>
    <row r="12851" spans="45:45">
      <c r="AS12851" s="47"/>
    </row>
    <row r="12852" spans="45:45">
      <c r="AS12852" s="47"/>
    </row>
    <row r="12853" spans="45:45">
      <c r="AS12853" s="47"/>
    </row>
    <row r="12854" spans="45:45">
      <c r="AS12854" s="47"/>
    </row>
    <row r="12855" spans="45:45">
      <c r="AS12855" s="47"/>
    </row>
    <row r="12856" spans="45:45">
      <c r="AS12856" s="47"/>
    </row>
    <row r="12857" spans="45:45">
      <c r="AS12857" s="47"/>
    </row>
    <row r="12858" spans="45:45">
      <c r="AS12858" s="47"/>
    </row>
    <row r="12859" spans="45:45">
      <c r="AS12859" s="47"/>
    </row>
    <row r="12860" spans="45:45">
      <c r="AS12860" s="47"/>
    </row>
    <row r="12861" spans="45:45">
      <c r="AS12861" s="47"/>
    </row>
    <row r="12862" spans="45:45">
      <c r="AS12862" s="47"/>
    </row>
    <row r="12863" spans="45:45">
      <c r="AS12863" s="47"/>
    </row>
    <row r="12864" spans="45:45">
      <c r="AS12864" s="47"/>
    </row>
    <row r="12865" spans="45:45">
      <c r="AS12865" s="47"/>
    </row>
    <row r="12866" spans="45:45">
      <c r="AS12866" s="47"/>
    </row>
    <row r="12867" spans="45:45">
      <c r="AS12867" s="47"/>
    </row>
    <row r="12868" spans="45:45">
      <c r="AS12868" s="47"/>
    </row>
    <row r="12869" spans="45:45">
      <c r="AS12869" s="47"/>
    </row>
    <row r="12870" spans="45:45">
      <c r="AS12870" s="47"/>
    </row>
    <row r="12871" spans="45:45">
      <c r="AS12871" s="47"/>
    </row>
    <row r="12872" spans="45:45">
      <c r="AS12872" s="47"/>
    </row>
    <row r="12873" spans="45:45">
      <c r="AS12873" s="47"/>
    </row>
    <row r="12874" spans="45:45">
      <c r="AS12874" s="47"/>
    </row>
    <row r="12875" spans="45:45">
      <c r="AS12875" s="47"/>
    </row>
    <row r="12876" spans="45:45">
      <c r="AS12876" s="47"/>
    </row>
    <row r="12877" spans="45:45">
      <c r="AS12877" s="47"/>
    </row>
    <row r="12878" spans="45:45">
      <c r="AS12878" s="47"/>
    </row>
    <row r="12879" spans="45:45">
      <c r="AS12879" s="47"/>
    </row>
    <row r="12880" spans="45:45">
      <c r="AS12880" s="47"/>
    </row>
    <row r="12881" spans="45:45">
      <c r="AS12881" s="47"/>
    </row>
    <row r="12882" spans="45:45">
      <c r="AS12882" s="47"/>
    </row>
    <row r="12883" spans="45:45">
      <c r="AS12883" s="47"/>
    </row>
    <row r="12884" spans="45:45">
      <c r="AS12884" s="47"/>
    </row>
    <row r="12885" spans="45:45">
      <c r="AS12885" s="47"/>
    </row>
    <row r="12886" spans="45:45">
      <c r="AS12886" s="47"/>
    </row>
    <row r="12887" spans="45:45">
      <c r="AS12887" s="47"/>
    </row>
    <row r="12888" spans="45:45">
      <c r="AS12888" s="47"/>
    </row>
    <row r="12889" spans="45:45">
      <c r="AS12889" s="47"/>
    </row>
    <row r="12890" spans="45:45">
      <c r="AS12890" s="47"/>
    </row>
    <row r="12891" spans="45:45">
      <c r="AS12891" s="47"/>
    </row>
    <row r="12892" spans="45:45">
      <c r="AS12892" s="47"/>
    </row>
    <row r="12893" spans="45:45">
      <c r="AS12893" s="47"/>
    </row>
    <row r="12894" spans="45:45">
      <c r="AS12894" s="47"/>
    </row>
    <row r="12895" spans="45:45">
      <c r="AS12895" s="47"/>
    </row>
    <row r="12896" spans="45:45">
      <c r="AS12896" s="47"/>
    </row>
    <row r="12897" spans="45:45">
      <c r="AS12897" s="47"/>
    </row>
    <row r="12898" spans="45:45">
      <c r="AS12898" s="47"/>
    </row>
    <row r="12899" spans="45:45">
      <c r="AS12899" s="47"/>
    </row>
    <row r="12900" spans="45:45">
      <c r="AS12900" s="47"/>
    </row>
    <row r="12901" spans="45:45">
      <c r="AS12901" s="47"/>
    </row>
    <row r="12902" spans="45:45">
      <c r="AS12902" s="47"/>
    </row>
    <row r="12903" spans="45:45">
      <c r="AS12903" s="47"/>
    </row>
    <row r="12904" spans="45:45">
      <c r="AS12904" s="47"/>
    </row>
    <row r="12905" spans="45:45">
      <c r="AS12905" s="47"/>
    </row>
    <row r="12906" spans="45:45">
      <c r="AS12906" s="47"/>
    </row>
    <row r="12907" spans="45:45">
      <c r="AS12907" s="47"/>
    </row>
    <row r="12908" spans="45:45">
      <c r="AS12908" s="47"/>
    </row>
    <row r="12909" spans="45:45">
      <c r="AS12909" s="47"/>
    </row>
    <row r="12910" spans="45:45">
      <c r="AS12910" s="47"/>
    </row>
    <row r="12911" spans="45:45">
      <c r="AS12911" s="47"/>
    </row>
    <row r="12912" spans="45:45">
      <c r="AS12912" s="47"/>
    </row>
    <row r="12913" spans="45:45">
      <c r="AS12913" s="47"/>
    </row>
    <row r="12914" spans="45:45">
      <c r="AS12914" s="47"/>
    </row>
    <row r="12915" spans="45:45">
      <c r="AS12915" s="47"/>
    </row>
    <row r="12916" spans="45:45">
      <c r="AS12916" s="47"/>
    </row>
    <row r="12917" spans="45:45">
      <c r="AS12917" s="47"/>
    </row>
    <row r="12918" spans="45:45">
      <c r="AS12918" s="47"/>
    </row>
    <row r="12919" spans="45:45">
      <c r="AS12919" s="47"/>
    </row>
    <row r="12920" spans="45:45">
      <c r="AS12920" s="47"/>
    </row>
    <row r="12921" spans="45:45">
      <c r="AS12921" s="47"/>
    </row>
    <row r="12922" spans="45:45">
      <c r="AS12922" s="47"/>
    </row>
    <row r="12923" spans="45:45">
      <c r="AS12923" s="47"/>
    </row>
    <row r="12924" spans="45:45">
      <c r="AS12924" s="47"/>
    </row>
    <row r="12925" spans="45:45">
      <c r="AS12925" s="47"/>
    </row>
    <row r="12926" spans="45:45">
      <c r="AS12926" s="47"/>
    </row>
    <row r="12927" spans="45:45">
      <c r="AS12927" s="47"/>
    </row>
    <row r="12928" spans="45:45">
      <c r="AS12928" s="47"/>
    </row>
    <row r="12929" spans="45:45">
      <c r="AS12929" s="47"/>
    </row>
    <row r="12930" spans="45:45">
      <c r="AS12930" s="47"/>
    </row>
    <row r="12931" spans="45:45">
      <c r="AS12931" s="47"/>
    </row>
    <row r="12932" spans="45:45">
      <c r="AS12932" s="47"/>
    </row>
    <row r="12933" spans="45:45">
      <c r="AS12933" s="47"/>
    </row>
    <row r="12934" spans="45:45">
      <c r="AS12934" s="47"/>
    </row>
    <row r="12935" spans="45:45">
      <c r="AS12935" s="47"/>
    </row>
    <row r="12936" spans="45:45">
      <c r="AS12936" s="47"/>
    </row>
    <row r="12937" spans="45:45">
      <c r="AS12937" s="47"/>
    </row>
    <row r="12938" spans="45:45">
      <c r="AS12938" s="47"/>
    </row>
    <row r="12939" spans="45:45">
      <c r="AS12939" s="47"/>
    </row>
    <row r="12940" spans="45:45">
      <c r="AS12940" s="47"/>
    </row>
    <row r="12941" spans="45:45">
      <c r="AS12941" s="47"/>
    </row>
    <row r="12942" spans="45:45">
      <c r="AS12942" s="47"/>
    </row>
    <row r="12943" spans="45:45">
      <c r="AS12943" s="47"/>
    </row>
    <row r="12944" spans="45:45">
      <c r="AS12944" s="47"/>
    </row>
    <row r="12945" spans="45:45">
      <c r="AS12945" s="47"/>
    </row>
    <row r="12946" spans="45:45">
      <c r="AS12946" s="47"/>
    </row>
    <row r="12947" spans="45:45">
      <c r="AS12947" s="47"/>
    </row>
    <row r="12948" spans="45:45">
      <c r="AS12948" s="47"/>
    </row>
    <row r="12949" spans="45:45">
      <c r="AS12949" s="47"/>
    </row>
    <row r="12950" spans="45:45">
      <c r="AS12950" s="47"/>
    </row>
    <row r="12951" spans="45:45">
      <c r="AS12951" s="47"/>
    </row>
    <row r="12952" spans="45:45">
      <c r="AS12952" s="47"/>
    </row>
    <row r="12953" spans="45:45">
      <c r="AS12953" s="47"/>
    </row>
    <row r="12954" spans="45:45">
      <c r="AS12954" s="47"/>
    </row>
    <row r="12955" spans="45:45">
      <c r="AS12955" s="47"/>
    </row>
    <row r="12956" spans="45:45">
      <c r="AS12956" s="47"/>
    </row>
    <row r="12957" spans="45:45">
      <c r="AS12957" s="47"/>
    </row>
    <row r="12958" spans="45:45">
      <c r="AS12958" s="47"/>
    </row>
    <row r="12959" spans="45:45">
      <c r="AS12959" s="47"/>
    </row>
    <row r="12960" spans="45:45">
      <c r="AS12960" s="47"/>
    </row>
    <row r="12961" spans="45:45">
      <c r="AS12961" s="47"/>
    </row>
    <row r="12962" spans="45:45">
      <c r="AS12962" s="47"/>
    </row>
    <row r="12963" spans="45:45">
      <c r="AS12963" s="47"/>
    </row>
    <row r="12964" spans="45:45">
      <c r="AS12964" s="47"/>
    </row>
    <row r="12965" spans="45:45">
      <c r="AS12965" s="47"/>
    </row>
    <row r="12966" spans="45:45">
      <c r="AS12966" s="47"/>
    </row>
    <row r="12967" spans="45:45">
      <c r="AS12967" s="47"/>
    </row>
    <row r="12968" spans="45:45">
      <c r="AS12968" s="47"/>
    </row>
    <row r="12969" spans="45:45">
      <c r="AS12969" s="47"/>
    </row>
    <row r="12970" spans="45:45">
      <c r="AS12970" s="47"/>
    </row>
    <row r="12971" spans="45:45">
      <c r="AS12971" s="47"/>
    </row>
    <row r="12972" spans="45:45">
      <c r="AS12972" s="47"/>
    </row>
    <row r="12973" spans="45:45">
      <c r="AS12973" s="47"/>
    </row>
    <row r="12974" spans="45:45">
      <c r="AS12974" s="47"/>
    </row>
    <row r="12975" spans="45:45">
      <c r="AS12975" s="47"/>
    </row>
    <row r="12976" spans="45:45">
      <c r="AS12976" s="47"/>
    </row>
    <row r="12977" spans="45:45">
      <c r="AS12977" s="47"/>
    </row>
    <row r="12978" spans="45:45">
      <c r="AS12978" s="47"/>
    </row>
    <row r="12979" spans="45:45">
      <c r="AS12979" s="47"/>
    </row>
    <row r="12980" spans="45:45">
      <c r="AS12980" s="47"/>
    </row>
    <row r="12981" spans="45:45">
      <c r="AS12981" s="47"/>
    </row>
    <row r="12982" spans="45:45">
      <c r="AS12982" s="47"/>
    </row>
    <row r="12983" spans="45:45">
      <c r="AS12983" s="47"/>
    </row>
    <row r="12984" spans="45:45">
      <c r="AS12984" s="47"/>
    </row>
    <row r="12985" spans="45:45">
      <c r="AS12985" s="47"/>
    </row>
    <row r="12986" spans="45:45">
      <c r="AS12986" s="47"/>
    </row>
    <row r="12987" spans="45:45">
      <c r="AS12987" s="47"/>
    </row>
    <row r="12988" spans="45:45">
      <c r="AS12988" s="47"/>
    </row>
    <row r="12989" spans="45:45">
      <c r="AS12989" s="47"/>
    </row>
    <row r="12990" spans="45:45">
      <c r="AS12990" s="47"/>
    </row>
    <row r="12991" spans="45:45">
      <c r="AS12991" s="47"/>
    </row>
    <row r="12992" spans="45:45">
      <c r="AS12992" s="47"/>
    </row>
    <row r="12993" spans="45:45">
      <c r="AS12993" s="47"/>
    </row>
    <row r="12994" spans="45:45">
      <c r="AS12994" s="47"/>
    </row>
    <row r="12995" spans="45:45">
      <c r="AS12995" s="47"/>
    </row>
    <row r="12996" spans="45:45">
      <c r="AS12996" s="47"/>
    </row>
    <row r="12997" spans="45:45">
      <c r="AS12997" s="47"/>
    </row>
    <row r="12998" spans="45:45">
      <c r="AS12998" s="47"/>
    </row>
    <row r="12999" spans="45:45">
      <c r="AS12999" s="47"/>
    </row>
    <row r="13000" spans="45:45">
      <c r="AS13000" s="47"/>
    </row>
    <row r="13001" spans="45:45">
      <c r="AS13001" s="47"/>
    </row>
    <row r="13002" spans="45:45">
      <c r="AS13002" s="47"/>
    </row>
    <row r="13003" spans="45:45">
      <c r="AS13003" s="47"/>
    </row>
    <row r="13004" spans="45:45">
      <c r="AS13004" s="47"/>
    </row>
    <row r="13005" spans="45:45">
      <c r="AS13005" s="47"/>
    </row>
    <row r="13006" spans="45:45">
      <c r="AS13006" s="47"/>
    </row>
    <row r="13007" spans="45:45">
      <c r="AS13007" s="47"/>
    </row>
    <row r="13008" spans="45:45">
      <c r="AS13008" s="47"/>
    </row>
    <row r="13009" spans="45:45">
      <c r="AS13009" s="47"/>
    </row>
    <row r="13010" spans="45:45">
      <c r="AS13010" s="47"/>
    </row>
    <row r="13011" spans="45:45">
      <c r="AS13011" s="47"/>
    </row>
    <row r="13012" spans="45:45">
      <c r="AS13012" s="47"/>
    </row>
    <row r="13013" spans="45:45">
      <c r="AS13013" s="47"/>
    </row>
    <row r="13014" spans="45:45">
      <c r="AS13014" s="47"/>
    </row>
    <row r="13015" spans="45:45">
      <c r="AS13015" s="47"/>
    </row>
    <row r="13016" spans="45:45">
      <c r="AS13016" s="47"/>
    </row>
    <row r="13017" spans="45:45">
      <c r="AS13017" s="47"/>
    </row>
    <row r="13018" spans="45:45">
      <c r="AS13018" s="47"/>
    </row>
    <row r="13019" spans="45:45">
      <c r="AS13019" s="47"/>
    </row>
    <row r="13020" spans="45:45">
      <c r="AS13020" s="47"/>
    </row>
    <row r="13021" spans="45:45">
      <c r="AS13021" s="47"/>
    </row>
    <row r="13022" spans="45:45">
      <c r="AS13022" s="47"/>
    </row>
    <row r="13023" spans="45:45">
      <c r="AS13023" s="47"/>
    </row>
    <row r="13024" spans="45:45">
      <c r="AS13024" s="47"/>
    </row>
    <row r="13025" spans="45:45">
      <c r="AS13025" s="47"/>
    </row>
    <row r="13026" spans="45:45">
      <c r="AS13026" s="47"/>
    </row>
    <row r="13027" spans="45:45">
      <c r="AS13027" s="47"/>
    </row>
    <row r="13028" spans="45:45">
      <c r="AS13028" s="47"/>
    </row>
    <row r="13029" spans="45:45">
      <c r="AS13029" s="47"/>
    </row>
    <row r="13030" spans="45:45">
      <c r="AS13030" s="47"/>
    </row>
    <row r="13031" spans="45:45">
      <c r="AS13031" s="47"/>
    </row>
    <row r="13032" spans="45:45">
      <c r="AS13032" s="47"/>
    </row>
    <row r="13033" spans="45:45">
      <c r="AS13033" s="47"/>
    </row>
    <row r="13034" spans="45:45">
      <c r="AS13034" s="47"/>
    </row>
    <row r="13035" spans="45:45">
      <c r="AS13035" s="47"/>
    </row>
    <row r="13036" spans="45:45">
      <c r="AS13036" s="47"/>
    </row>
    <row r="13037" spans="45:45">
      <c r="AS13037" s="47"/>
    </row>
    <row r="13038" spans="45:45">
      <c r="AS13038" s="47"/>
    </row>
    <row r="13039" spans="45:45">
      <c r="AS13039" s="47"/>
    </row>
    <row r="13040" spans="45:45">
      <c r="AS13040" s="47"/>
    </row>
    <row r="13041" spans="45:45">
      <c r="AS13041" s="47"/>
    </row>
    <row r="13042" spans="45:45">
      <c r="AS13042" s="47"/>
    </row>
    <row r="13043" spans="45:45">
      <c r="AS13043" s="47"/>
    </row>
    <row r="13044" spans="45:45">
      <c r="AS13044" s="47"/>
    </row>
    <row r="13045" spans="45:45">
      <c r="AS13045" s="47"/>
    </row>
    <row r="13046" spans="45:45">
      <c r="AS13046" s="47"/>
    </row>
    <row r="13047" spans="45:45">
      <c r="AS13047" s="47"/>
    </row>
    <row r="13048" spans="45:45">
      <c r="AS13048" s="47"/>
    </row>
    <row r="13049" spans="45:45">
      <c r="AS13049" s="47"/>
    </row>
    <row r="13050" spans="45:45">
      <c r="AS13050" s="47"/>
    </row>
    <row r="13051" spans="45:45">
      <c r="AS13051" s="47"/>
    </row>
    <row r="13052" spans="45:45">
      <c r="AS13052" s="47"/>
    </row>
    <row r="13053" spans="45:45">
      <c r="AS13053" s="47"/>
    </row>
    <row r="13054" spans="45:45">
      <c r="AS13054" s="47"/>
    </row>
    <row r="13055" spans="45:45">
      <c r="AS13055" s="47"/>
    </row>
    <row r="13056" spans="45:45">
      <c r="AS13056" s="47"/>
    </row>
    <row r="13057" spans="45:45">
      <c r="AS13057" s="47"/>
    </row>
    <row r="13058" spans="45:45">
      <c r="AS13058" s="47"/>
    </row>
    <row r="13059" spans="45:45">
      <c r="AS13059" s="47"/>
    </row>
    <row r="13060" spans="45:45">
      <c r="AS13060" s="47"/>
    </row>
    <row r="13061" spans="45:45">
      <c r="AS13061" s="47"/>
    </row>
    <row r="13062" spans="45:45">
      <c r="AS13062" s="47"/>
    </row>
    <row r="13063" spans="45:45">
      <c r="AS13063" s="47"/>
    </row>
    <row r="13064" spans="45:45">
      <c r="AS13064" s="47"/>
    </row>
    <row r="13065" spans="45:45">
      <c r="AS13065" s="47"/>
    </row>
    <row r="13066" spans="45:45">
      <c r="AS13066" s="47"/>
    </row>
    <row r="13067" spans="45:45">
      <c r="AS13067" s="47"/>
    </row>
    <row r="13068" spans="45:45">
      <c r="AS13068" s="47"/>
    </row>
    <row r="13069" spans="45:45">
      <c r="AS13069" s="47"/>
    </row>
    <row r="13070" spans="45:45">
      <c r="AS13070" s="47"/>
    </row>
    <row r="13071" spans="45:45">
      <c r="AS13071" s="47"/>
    </row>
    <row r="13072" spans="45:45">
      <c r="AS13072" s="47"/>
    </row>
    <row r="13073" spans="45:45">
      <c r="AS13073" s="47"/>
    </row>
    <row r="13074" spans="45:45">
      <c r="AS13074" s="47"/>
    </row>
    <row r="13075" spans="45:45">
      <c r="AS13075" s="47"/>
    </row>
    <row r="13076" spans="45:45">
      <c r="AS13076" s="47"/>
    </row>
    <row r="13077" spans="45:45">
      <c r="AS13077" s="47"/>
    </row>
    <row r="13078" spans="45:45">
      <c r="AS13078" s="47"/>
    </row>
    <row r="13079" spans="45:45">
      <c r="AS13079" s="47"/>
    </row>
    <row r="13080" spans="45:45">
      <c r="AS13080" s="47"/>
    </row>
    <row r="13081" spans="45:45">
      <c r="AS13081" s="47"/>
    </row>
    <row r="13082" spans="45:45">
      <c r="AS13082" s="47"/>
    </row>
    <row r="13083" spans="45:45">
      <c r="AS13083" s="47"/>
    </row>
    <row r="13084" spans="45:45">
      <c r="AS13084" s="47"/>
    </row>
    <row r="13085" spans="45:45">
      <c r="AS13085" s="47"/>
    </row>
    <row r="13086" spans="45:45">
      <c r="AS13086" s="47"/>
    </row>
    <row r="13087" spans="45:45">
      <c r="AS13087" s="47"/>
    </row>
    <row r="13088" spans="45:45">
      <c r="AS13088" s="47"/>
    </row>
    <row r="13089" spans="45:45">
      <c r="AS13089" s="47"/>
    </row>
    <row r="13090" spans="45:45">
      <c r="AS13090" s="47"/>
    </row>
    <row r="13091" spans="45:45">
      <c r="AS13091" s="47"/>
    </row>
    <row r="13092" spans="45:45">
      <c r="AS13092" s="47"/>
    </row>
    <row r="13093" spans="45:45">
      <c r="AS13093" s="47"/>
    </row>
    <row r="13094" spans="45:45">
      <c r="AS13094" s="47"/>
    </row>
    <row r="13095" spans="45:45">
      <c r="AS13095" s="47"/>
    </row>
    <row r="13096" spans="45:45">
      <c r="AS13096" s="47"/>
    </row>
    <row r="13097" spans="45:45">
      <c r="AS13097" s="47"/>
    </row>
    <row r="13098" spans="45:45">
      <c r="AS13098" s="47"/>
    </row>
    <row r="13099" spans="45:45">
      <c r="AS13099" s="47"/>
    </row>
    <row r="13100" spans="45:45">
      <c r="AS13100" s="47"/>
    </row>
    <row r="13101" spans="45:45">
      <c r="AS13101" s="47"/>
    </row>
    <row r="13102" spans="45:45">
      <c r="AS13102" s="47"/>
    </row>
    <row r="13103" spans="45:45">
      <c r="AS13103" s="47"/>
    </row>
    <row r="13104" spans="45:45">
      <c r="AS13104" s="47"/>
    </row>
    <row r="13105" spans="45:45">
      <c r="AS13105" s="47"/>
    </row>
    <row r="13106" spans="45:45">
      <c r="AS13106" s="47"/>
    </row>
    <row r="13107" spans="45:45">
      <c r="AS13107" s="47"/>
    </row>
    <row r="13108" spans="45:45">
      <c r="AS13108" s="47"/>
    </row>
    <row r="13109" spans="45:45">
      <c r="AS13109" s="47"/>
    </row>
    <row r="13110" spans="45:45">
      <c r="AS13110" s="47"/>
    </row>
    <row r="13111" spans="45:45">
      <c r="AS13111" s="47"/>
    </row>
    <row r="13112" spans="45:45">
      <c r="AS13112" s="47"/>
    </row>
    <row r="13113" spans="45:45">
      <c r="AS13113" s="47"/>
    </row>
    <row r="13114" spans="45:45">
      <c r="AS13114" s="47"/>
    </row>
    <row r="13115" spans="45:45">
      <c r="AS13115" s="47"/>
    </row>
    <row r="13116" spans="45:45">
      <c r="AS13116" s="47"/>
    </row>
    <row r="13117" spans="45:45">
      <c r="AS13117" s="47"/>
    </row>
    <row r="13118" spans="45:45">
      <c r="AS13118" s="47"/>
    </row>
    <row r="13119" spans="45:45">
      <c r="AS13119" s="47"/>
    </row>
    <row r="13120" spans="45:45">
      <c r="AS13120" s="47"/>
    </row>
    <row r="13121" spans="45:45">
      <c r="AS13121" s="47"/>
    </row>
    <row r="13122" spans="45:45">
      <c r="AS13122" s="47"/>
    </row>
    <row r="13123" spans="45:45">
      <c r="AS13123" s="47"/>
    </row>
    <row r="13124" spans="45:45">
      <c r="AS13124" s="47"/>
    </row>
    <row r="13125" spans="45:45">
      <c r="AS13125" s="47"/>
    </row>
    <row r="13126" spans="45:45">
      <c r="AS13126" s="47"/>
    </row>
    <row r="13127" spans="45:45">
      <c r="AS13127" s="47"/>
    </row>
    <row r="13128" spans="45:45">
      <c r="AS13128" s="47"/>
    </row>
    <row r="13129" spans="45:45">
      <c r="AS13129" s="47"/>
    </row>
    <row r="13130" spans="45:45">
      <c r="AS13130" s="47"/>
    </row>
    <row r="13131" spans="45:45">
      <c r="AS13131" s="47"/>
    </row>
    <row r="13132" spans="45:45">
      <c r="AS13132" s="47"/>
    </row>
    <row r="13133" spans="45:45">
      <c r="AS13133" s="47"/>
    </row>
    <row r="13134" spans="45:45">
      <c r="AS13134" s="47"/>
    </row>
    <row r="13135" spans="45:45">
      <c r="AS13135" s="47"/>
    </row>
    <row r="13136" spans="45:45">
      <c r="AS13136" s="47"/>
    </row>
    <row r="13137" spans="45:45">
      <c r="AS13137" s="47"/>
    </row>
    <row r="13138" spans="45:45">
      <c r="AS13138" s="47"/>
    </row>
    <row r="13139" spans="45:45">
      <c r="AS13139" s="47"/>
    </row>
    <row r="13140" spans="45:45">
      <c r="AS13140" s="47"/>
    </row>
    <row r="13141" spans="45:45">
      <c r="AS13141" s="47"/>
    </row>
    <row r="13142" spans="45:45">
      <c r="AS13142" s="47"/>
    </row>
    <row r="13143" spans="45:45">
      <c r="AS13143" s="47"/>
    </row>
    <row r="13144" spans="45:45">
      <c r="AS13144" s="47"/>
    </row>
    <row r="13145" spans="45:45">
      <c r="AS13145" s="47"/>
    </row>
    <row r="13146" spans="45:45">
      <c r="AS13146" s="47"/>
    </row>
    <row r="13147" spans="45:45">
      <c r="AS13147" s="47"/>
    </row>
    <row r="13148" spans="45:45">
      <c r="AS13148" s="47"/>
    </row>
    <row r="13149" spans="45:45">
      <c r="AS13149" s="47"/>
    </row>
    <row r="13150" spans="45:45">
      <c r="AS13150" s="47"/>
    </row>
    <row r="13151" spans="45:45">
      <c r="AS13151" s="47"/>
    </row>
    <row r="13152" spans="45:45">
      <c r="AS13152" s="47"/>
    </row>
    <row r="13153" spans="45:45">
      <c r="AS13153" s="47"/>
    </row>
    <row r="13154" spans="45:45">
      <c r="AS13154" s="47"/>
    </row>
    <row r="13155" spans="45:45">
      <c r="AS13155" s="47"/>
    </row>
    <row r="13156" spans="45:45">
      <c r="AS13156" s="47"/>
    </row>
    <row r="13157" spans="45:45">
      <c r="AS13157" s="47"/>
    </row>
    <row r="13158" spans="45:45">
      <c r="AS13158" s="47"/>
    </row>
    <row r="13159" spans="45:45">
      <c r="AS13159" s="47"/>
    </row>
    <row r="13160" spans="45:45">
      <c r="AS13160" s="47"/>
    </row>
    <row r="13161" spans="45:45">
      <c r="AS13161" s="47"/>
    </row>
    <row r="13162" spans="45:45">
      <c r="AS13162" s="47"/>
    </row>
    <row r="13163" spans="45:45">
      <c r="AS13163" s="47"/>
    </row>
    <row r="13164" spans="45:45">
      <c r="AS13164" s="47"/>
    </row>
    <row r="13165" spans="45:45">
      <c r="AS13165" s="47"/>
    </row>
    <row r="13166" spans="45:45">
      <c r="AS13166" s="47"/>
    </row>
    <row r="13167" spans="45:45">
      <c r="AS13167" s="47"/>
    </row>
    <row r="13168" spans="45:45">
      <c r="AS13168" s="47"/>
    </row>
    <row r="13169" spans="45:45">
      <c r="AS13169" s="47"/>
    </row>
    <row r="13170" spans="45:45">
      <c r="AS13170" s="47"/>
    </row>
    <row r="13171" spans="45:45">
      <c r="AS13171" s="47"/>
    </row>
    <row r="13172" spans="45:45">
      <c r="AS13172" s="47"/>
    </row>
    <row r="13173" spans="45:45">
      <c r="AS13173" s="47"/>
    </row>
    <row r="13174" spans="45:45">
      <c r="AS13174" s="47"/>
    </row>
    <row r="13175" spans="45:45">
      <c r="AS13175" s="47"/>
    </row>
    <row r="13176" spans="45:45">
      <c r="AS13176" s="47"/>
    </row>
    <row r="13177" spans="45:45">
      <c r="AS13177" s="47"/>
    </row>
    <row r="13178" spans="45:45">
      <c r="AS13178" s="47"/>
    </row>
    <row r="13179" spans="45:45">
      <c r="AS13179" s="47"/>
    </row>
    <row r="13180" spans="45:45">
      <c r="AS13180" s="47"/>
    </row>
    <row r="13181" spans="45:45">
      <c r="AS13181" s="47"/>
    </row>
    <row r="13182" spans="45:45">
      <c r="AS13182" s="47"/>
    </row>
    <row r="13183" spans="45:45">
      <c r="AS13183" s="47"/>
    </row>
    <row r="13184" spans="45:45">
      <c r="AS13184" s="47"/>
    </row>
    <row r="13185" spans="45:45">
      <c r="AS13185" s="47"/>
    </row>
    <row r="13186" spans="45:45">
      <c r="AS13186" s="47"/>
    </row>
    <row r="13187" spans="45:45">
      <c r="AS13187" s="47"/>
    </row>
    <row r="13188" spans="45:45">
      <c r="AS13188" s="47"/>
    </row>
    <row r="13189" spans="45:45">
      <c r="AS13189" s="47"/>
    </row>
    <row r="13190" spans="45:45">
      <c r="AS13190" s="47"/>
    </row>
    <row r="13191" spans="45:45">
      <c r="AS13191" s="47"/>
    </row>
    <row r="13192" spans="45:45">
      <c r="AS13192" s="47"/>
    </row>
    <row r="13193" spans="45:45">
      <c r="AS13193" s="47"/>
    </row>
    <row r="13194" spans="45:45">
      <c r="AS13194" s="47"/>
    </row>
    <row r="13195" spans="45:45">
      <c r="AS13195" s="47"/>
    </row>
    <row r="13196" spans="45:45">
      <c r="AS13196" s="47"/>
    </row>
    <row r="13197" spans="45:45">
      <c r="AS13197" s="47"/>
    </row>
    <row r="13198" spans="45:45">
      <c r="AS13198" s="47"/>
    </row>
    <row r="13199" spans="45:45">
      <c r="AS13199" s="47"/>
    </row>
    <row r="13200" spans="45:45">
      <c r="AS13200" s="47"/>
    </row>
    <row r="13201" spans="45:45">
      <c r="AS13201" s="47"/>
    </row>
    <row r="13202" spans="45:45">
      <c r="AS13202" s="47"/>
    </row>
    <row r="13203" spans="45:45">
      <c r="AS13203" s="47"/>
    </row>
    <row r="13204" spans="45:45">
      <c r="AS13204" s="47"/>
    </row>
    <row r="13205" spans="45:45">
      <c r="AS13205" s="47"/>
    </row>
    <row r="13206" spans="45:45">
      <c r="AS13206" s="47"/>
    </row>
    <row r="13207" spans="45:45">
      <c r="AS13207" s="47"/>
    </row>
    <row r="13208" spans="45:45">
      <c r="AS13208" s="47"/>
    </row>
    <row r="13209" spans="45:45">
      <c r="AS13209" s="47"/>
    </row>
    <row r="13210" spans="45:45">
      <c r="AS13210" s="47"/>
    </row>
    <row r="13211" spans="45:45">
      <c r="AS13211" s="47"/>
    </row>
    <row r="13212" spans="45:45">
      <c r="AS13212" s="47"/>
    </row>
    <row r="13213" spans="45:45">
      <c r="AS13213" s="47"/>
    </row>
    <row r="13214" spans="45:45">
      <c r="AS13214" s="47"/>
    </row>
    <row r="13215" spans="45:45">
      <c r="AS13215" s="47"/>
    </row>
    <row r="13216" spans="45:45">
      <c r="AS13216" s="47"/>
    </row>
    <row r="13217" spans="45:45">
      <c r="AS13217" s="47"/>
    </row>
    <row r="13218" spans="45:45">
      <c r="AS13218" s="47"/>
    </row>
    <row r="13219" spans="45:45">
      <c r="AS13219" s="47"/>
    </row>
    <row r="13220" spans="45:45">
      <c r="AS13220" s="47"/>
    </row>
    <row r="13221" spans="45:45">
      <c r="AS13221" s="47"/>
    </row>
    <row r="13222" spans="45:45">
      <c r="AS13222" s="47"/>
    </row>
    <row r="13223" spans="45:45">
      <c r="AS13223" s="47"/>
    </row>
    <row r="13224" spans="45:45">
      <c r="AS13224" s="47"/>
    </row>
    <row r="13225" spans="45:45">
      <c r="AS13225" s="47"/>
    </row>
    <row r="13226" spans="45:45">
      <c r="AS13226" s="47"/>
    </row>
    <row r="13227" spans="45:45">
      <c r="AS13227" s="47"/>
    </row>
    <row r="13228" spans="45:45">
      <c r="AS13228" s="47"/>
    </row>
    <row r="13229" spans="45:45">
      <c r="AS13229" s="47"/>
    </row>
    <row r="13230" spans="45:45">
      <c r="AS13230" s="47"/>
    </row>
    <row r="13231" spans="45:45">
      <c r="AS13231" s="47"/>
    </row>
    <row r="13232" spans="45:45">
      <c r="AS13232" s="47"/>
    </row>
    <row r="13233" spans="45:45">
      <c r="AS13233" s="47"/>
    </row>
    <row r="13234" spans="45:45">
      <c r="AS13234" s="47"/>
    </row>
    <row r="13235" spans="45:45">
      <c r="AS13235" s="47"/>
    </row>
    <row r="13236" spans="45:45">
      <c r="AS13236" s="47"/>
    </row>
    <row r="13237" spans="45:45">
      <c r="AS13237" s="47"/>
    </row>
    <row r="13238" spans="45:45">
      <c r="AS13238" s="47"/>
    </row>
    <row r="13239" spans="45:45">
      <c r="AS13239" s="47"/>
    </row>
    <row r="13240" spans="45:45">
      <c r="AS13240" s="47"/>
    </row>
    <row r="13241" spans="45:45">
      <c r="AS13241" s="47"/>
    </row>
    <row r="13242" spans="45:45">
      <c r="AS13242" s="47"/>
    </row>
    <row r="13243" spans="45:45">
      <c r="AS13243" s="47"/>
    </row>
    <row r="13244" spans="45:45">
      <c r="AS13244" s="47"/>
    </row>
    <row r="13245" spans="45:45">
      <c r="AS13245" s="47"/>
    </row>
    <row r="13246" spans="45:45">
      <c r="AS13246" s="47"/>
    </row>
    <row r="13247" spans="45:45">
      <c r="AS13247" s="47"/>
    </row>
    <row r="13248" spans="45:45">
      <c r="AS13248" s="47"/>
    </row>
    <row r="13249" spans="45:45">
      <c r="AS13249" s="47"/>
    </row>
    <row r="13250" spans="45:45">
      <c r="AS13250" s="47"/>
    </row>
    <row r="13251" spans="45:45">
      <c r="AS13251" s="47"/>
    </row>
    <row r="13252" spans="45:45">
      <c r="AS13252" s="47"/>
    </row>
    <row r="13253" spans="45:45">
      <c r="AS13253" s="47"/>
    </row>
    <row r="13254" spans="45:45">
      <c r="AS13254" s="47"/>
    </row>
    <row r="13255" spans="45:45">
      <c r="AS13255" s="47"/>
    </row>
    <row r="13256" spans="45:45">
      <c r="AS13256" s="47"/>
    </row>
    <row r="13257" spans="45:45">
      <c r="AS13257" s="47"/>
    </row>
    <row r="13258" spans="45:45">
      <c r="AS13258" s="47"/>
    </row>
    <row r="13259" spans="45:45">
      <c r="AS13259" s="47"/>
    </row>
    <row r="13260" spans="45:45">
      <c r="AS13260" s="47"/>
    </row>
    <row r="13261" spans="45:45">
      <c r="AS13261" s="47"/>
    </row>
    <row r="13262" spans="45:45">
      <c r="AS13262" s="47"/>
    </row>
    <row r="13263" spans="45:45">
      <c r="AS13263" s="47"/>
    </row>
    <row r="13264" spans="45:45">
      <c r="AS13264" s="47"/>
    </row>
    <row r="13265" spans="45:45">
      <c r="AS13265" s="47"/>
    </row>
    <row r="13266" spans="45:45">
      <c r="AS13266" s="47"/>
    </row>
    <row r="13267" spans="45:45">
      <c r="AS13267" s="47"/>
    </row>
    <row r="13268" spans="45:45">
      <c r="AS13268" s="47"/>
    </row>
    <row r="13269" spans="45:45">
      <c r="AS13269" s="47"/>
    </row>
    <row r="13270" spans="45:45">
      <c r="AS13270" s="47"/>
    </row>
    <row r="13271" spans="45:45">
      <c r="AS13271" s="47"/>
    </row>
    <row r="13272" spans="45:45">
      <c r="AS13272" s="47"/>
    </row>
    <row r="13273" spans="45:45">
      <c r="AS13273" s="47"/>
    </row>
    <row r="13274" spans="45:45">
      <c r="AS13274" s="47"/>
    </row>
    <row r="13275" spans="45:45">
      <c r="AS13275" s="47"/>
    </row>
    <row r="13276" spans="45:45">
      <c r="AS13276" s="47"/>
    </row>
    <row r="13277" spans="45:45">
      <c r="AS13277" s="47"/>
    </row>
    <row r="13278" spans="45:45">
      <c r="AS13278" s="47"/>
    </row>
    <row r="13279" spans="45:45">
      <c r="AS13279" s="47"/>
    </row>
    <row r="13280" spans="45:45">
      <c r="AS13280" s="47"/>
    </row>
    <row r="13281" spans="45:45">
      <c r="AS13281" s="47"/>
    </row>
    <row r="13282" spans="45:45">
      <c r="AS13282" s="47"/>
    </row>
    <row r="13283" spans="45:45">
      <c r="AS13283" s="47"/>
    </row>
    <row r="13284" spans="45:45">
      <c r="AS13284" s="47"/>
    </row>
    <row r="13285" spans="45:45">
      <c r="AS13285" s="47"/>
    </row>
    <row r="13286" spans="45:45">
      <c r="AS13286" s="47"/>
    </row>
    <row r="13287" spans="45:45">
      <c r="AS13287" s="47"/>
    </row>
    <row r="13288" spans="45:45">
      <c r="AS13288" s="47"/>
    </row>
    <row r="13289" spans="45:45">
      <c r="AS13289" s="47"/>
    </row>
    <row r="13290" spans="45:45">
      <c r="AS13290" s="47"/>
    </row>
    <row r="13291" spans="45:45">
      <c r="AS13291" s="47"/>
    </row>
    <row r="13292" spans="45:45">
      <c r="AS13292" s="47"/>
    </row>
    <row r="13293" spans="45:45">
      <c r="AS13293" s="47"/>
    </row>
    <row r="13294" spans="45:45">
      <c r="AS13294" s="47"/>
    </row>
    <row r="13295" spans="45:45">
      <c r="AS13295" s="47"/>
    </row>
    <row r="13296" spans="45:45">
      <c r="AS13296" s="47"/>
    </row>
    <row r="13297" spans="45:45">
      <c r="AS13297" s="47"/>
    </row>
    <row r="13298" spans="45:45">
      <c r="AS13298" s="47"/>
    </row>
    <row r="13299" spans="45:45">
      <c r="AS13299" s="47"/>
    </row>
    <row r="13300" spans="45:45">
      <c r="AS13300" s="47"/>
    </row>
    <row r="13301" spans="45:45">
      <c r="AS13301" s="47"/>
    </row>
    <row r="13302" spans="45:45">
      <c r="AS13302" s="47"/>
    </row>
    <row r="13303" spans="45:45">
      <c r="AS13303" s="47"/>
    </row>
    <row r="13304" spans="45:45">
      <c r="AS13304" s="47"/>
    </row>
    <row r="13305" spans="45:45">
      <c r="AS13305" s="47"/>
    </row>
    <row r="13306" spans="45:45">
      <c r="AS13306" s="47"/>
    </row>
    <row r="13307" spans="45:45">
      <c r="AS13307" s="47"/>
    </row>
    <row r="13308" spans="45:45">
      <c r="AS13308" s="47"/>
    </row>
    <row r="13309" spans="45:45">
      <c r="AS13309" s="47"/>
    </row>
    <row r="13310" spans="45:45">
      <c r="AS13310" s="47"/>
    </row>
    <row r="13311" spans="45:45">
      <c r="AS13311" s="47"/>
    </row>
    <row r="13312" spans="45:45">
      <c r="AS13312" s="47"/>
    </row>
    <row r="13313" spans="45:45">
      <c r="AS13313" s="47"/>
    </row>
    <row r="13314" spans="45:45">
      <c r="AS13314" s="47"/>
    </row>
    <row r="13315" spans="45:45">
      <c r="AS13315" s="47"/>
    </row>
    <row r="13316" spans="45:45">
      <c r="AS13316" s="47"/>
    </row>
    <row r="13317" spans="45:45">
      <c r="AS13317" s="47"/>
    </row>
    <row r="13318" spans="45:45">
      <c r="AS13318" s="47"/>
    </row>
    <row r="13319" spans="45:45">
      <c r="AS13319" s="47"/>
    </row>
    <row r="13320" spans="45:45">
      <c r="AS13320" s="47"/>
    </row>
    <row r="13321" spans="45:45">
      <c r="AS13321" s="47"/>
    </row>
    <row r="13322" spans="45:45">
      <c r="AS13322" s="47"/>
    </row>
    <row r="13323" spans="45:45">
      <c r="AS13323" s="47"/>
    </row>
    <row r="13324" spans="45:45">
      <c r="AS13324" s="47"/>
    </row>
    <row r="13325" spans="45:45">
      <c r="AS13325" s="47"/>
    </row>
    <row r="13326" spans="45:45">
      <c r="AS13326" s="47"/>
    </row>
    <row r="13327" spans="45:45">
      <c r="AS13327" s="47"/>
    </row>
    <row r="13328" spans="45:45">
      <c r="AS13328" s="47"/>
    </row>
    <row r="13329" spans="45:45">
      <c r="AS13329" s="47"/>
    </row>
    <row r="13330" spans="45:45">
      <c r="AS13330" s="47"/>
    </row>
    <row r="13331" spans="45:45">
      <c r="AS13331" s="47"/>
    </row>
    <row r="13332" spans="45:45">
      <c r="AS13332" s="47"/>
    </row>
    <row r="13333" spans="45:45">
      <c r="AS13333" s="47"/>
    </row>
    <row r="13334" spans="45:45">
      <c r="AS13334" s="47"/>
    </row>
    <row r="13335" spans="45:45">
      <c r="AS13335" s="47"/>
    </row>
    <row r="13336" spans="45:45">
      <c r="AS13336" s="47"/>
    </row>
    <row r="13337" spans="45:45">
      <c r="AS13337" s="47"/>
    </row>
    <row r="13338" spans="45:45">
      <c r="AS13338" s="47"/>
    </row>
    <row r="13339" spans="45:45">
      <c r="AS13339" s="47"/>
    </row>
    <row r="13340" spans="45:45">
      <c r="AS13340" s="47"/>
    </row>
    <row r="13341" spans="45:45">
      <c r="AS13341" s="47"/>
    </row>
    <row r="13342" spans="45:45">
      <c r="AS13342" s="47"/>
    </row>
    <row r="13343" spans="45:45">
      <c r="AS13343" s="47"/>
    </row>
    <row r="13344" spans="45:45">
      <c r="AS13344" s="47"/>
    </row>
    <row r="13345" spans="45:45">
      <c r="AS13345" s="47"/>
    </row>
    <row r="13346" spans="45:45">
      <c r="AS13346" s="47"/>
    </row>
    <row r="13347" spans="45:45">
      <c r="AS13347" s="47"/>
    </row>
    <row r="13348" spans="45:45">
      <c r="AS13348" s="47"/>
    </row>
    <row r="13349" spans="45:45">
      <c r="AS13349" s="47"/>
    </row>
    <row r="13350" spans="45:45">
      <c r="AS13350" s="47"/>
    </row>
    <row r="13351" spans="45:45">
      <c r="AS13351" s="47"/>
    </row>
    <row r="13352" spans="45:45">
      <c r="AS13352" s="47"/>
    </row>
    <row r="13353" spans="45:45">
      <c r="AS13353" s="47"/>
    </row>
    <row r="13354" spans="45:45">
      <c r="AS13354" s="47"/>
    </row>
    <row r="13355" spans="45:45">
      <c r="AS13355" s="47"/>
    </row>
    <row r="13356" spans="45:45">
      <c r="AS13356" s="47"/>
    </row>
    <row r="13357" spans="45:45">
      <c r="AS13357" s="47"/>
    </row>
    <row r="13358" spans="45:45">
      <c r="AS13358" s="47"/>
    </row>
    <row r="13359" spans="45:45">
      <c r="AS13359" s="47"/>
    </row>
    <row r="13360" spans="45:45">
      <c r="AS13360" s="47"/>
    </row>
    <row r="13361" spans="45:45">
      <c r="AS13361" s="47"/>
    </row>
    <row r="13362" spans="45:45">
      <c r="AS13362" s="47"/>
    </row>
    <row r="13363" spans="45:45">
      <c r="AS13363" s="47"/>
    </row>
    <row r="13364" spans="45:45">
      <c r="AS13364" s="47"/>
    </row>
    <row r="13365" spans="45:45">
      <c r="AS13365" s="47"/>
    </row>
    <row r="13366" spans="45:45">
      <c r="AS13366" s="47"/>
    </row>
    <row r="13367" spans="45:45">
      <c r="AS13367" s="47"/>
    </row>
    <row r="13368" spans="45:45">
      <c r="AS13368" s="47"/>
    </row>
    <row r="13369" spans="45:45">
      <c r="AS13369" s="47"/>
    </row>
    <row r="13370" spans="45:45">
      <c r="AS13370" s="47"/>
    </row>
    <row r="13371" spans="45:45">
      <c r="AS13371" s="47"/>
    </row>
    <row r="13372" spans="45:45">
      <c r="AS13372" s="47"/>
    </row>
    <row r="13373" spans="45:45">
      <c r="AS13373" s="47"/>
    </row>
    <row r="13374" spans="45:45">
      <c r="AS13374" s="47"/>
    </row>
    <row r="13375" spans="45:45">
      <c r="AS13375" s="47"/>
    </row>
    <row r="13376" spans="45:45">
      <c r="AS13376" s="47"/>
    </row>
    <row r="13377" spans="45:45">
      <c r="AS13377" s="47"/>
    </row>
    <row r="13378" spans="45:45">
      <c r="AS13378" s="47"/>
    </row>
    <row r="13379" spans="45:45">
      <c r="AS13379" s="47"/>
    </row>
    <row r="13380" spans="45:45">
      <c r="AS13380" s="47"/>
    </row>
    <row r="13381" spans="45:45">
      <c r="AS13381" s="47"/>
    </row>
    <row r="13382" spans="45:45">
      <c r="AS13382" s="47"/>
    </row>
    <row r="13383" spans="45:45">
      <c r="AS13383" s="47"/>
    </row>
    <row r="13384" spans="45:45">
      <c r="AS13384" s="47"/>
    </row>
    <row r="13385" spans="45:45">
      <c r="AS13385" s="47"/>
    </row>
    <row r="13386" spans="45:45">
      <c r="AS13386" s="47"/>
    </row>
    <row r="13387" spans="45:45">
      <c r="AS13387" s="47"/>
    </row>
    <row r="13388" spans="45:45">
      <c r="AS13388" s="47"/>
    </row>
    <row r="13389" spans="45:45">
      <c r="AS13389" s="47"/>
    </row>
    <row r="13390" spans="45:45">
      <c r="AS13390" s="47"/>
    </row>
    <row r="13391" spans="45:45">
      <c r="AS13391" s="47"/>
    </row>
    <row r="13392" spans="45:45">
      <c r="AS13392" s="47"/>
    </row>
    <row r="13393" spans="45:45">
      <c r="AS13393" s="47"/>
    </row>
    <row r="13394" spans="45:45">
      <c r="AS13394" s="47"/>
    </row>
    <row r="13395" spans="45:45">
      <c r="AS13395" s="47"/>
    </row>
    <row r="13396" spans="45:45">
      <c r="AS13396" s="47"/>
    </row>
    <row r="13397" spans="45:45">
      <c r="AS13397" s="47"/>
    </row>
    <row r="13398" spans="45:45">
      <c r="AS13398" s="47"/>
    </row>
    <row r="13399" spans="45:45">
      <c r="AS13399" s="47"/>
    </row>
    <row r="13400" spans="45:45">
      <c r="AS13400" s="47"/>
    </row>
    <row r="13401" spans="45:45">
      <c r="AS13401" s="47"/>
    </row>
    <row r="13402" spans="45:45">
      <c r="AS13402" s="47"/>
    </row>
    <row r="13403" spans="45:45">
      <c r="AS13403" s="47"/>
    </row>
    <row r="13404" spans="45:45">
      <c r="AS13404" s="47"/>
    </row>
    <row r="13405" spans="45:45">
      <c r="AS13405" s="47"/>
    </row>
    <row r="13406" spans="45:45">
      <c r="AS13406" s="47"/>
    </row>
    <row r="13407" spans="45:45">
      <c r="AS13407" s="47"/>
    </row>
    <row r="13408" spans="45:45">
      <c r="AS13408" s="47"/>
    </row>
    <row r="13409" spans="45:45">
      <c r="AS13409" s="47"/>
    </row>
    <row r="13410" spans="45:45">
      <c r="AS13410" s="47"/>
    </row>
    <row r="13411" spans="45:45">
      <c r="AS13411" s="47"/>
    </row>
    <row r="13412" spans="45:45">
      <c r="AS13412" s="47"/>
    </row>
    <row r="13413" spans="45:45">
      <c r="AS13413" s="47"/>
    </row>
    <row r="13414" spans="45:45">
      <c r="AS13414" s="47"/>
    </row>
    <row r="13415" spans="45:45">
      <c r="AS13415" s="47"/>
    </row>
    <row r="13416" spans="45:45">
      <c r="AS13416" s="47"/>
    </row>
    <row r="13417" spans="45:45">
      <c r="AS13417" s="47"/>
    </row>
    <row r="13418" spans="45:45">
      <c r="AS13418" s="47"/>
    </row>
    <row r="13419" spans="45:45">
      <c r="AS13419" s="47"/>
    </row>
    <row r="13420" spans="45:45">
      <c r="AS13420" s="47"/>
    </row>
    <row r="13421" spans="45:45">
      <c r="AS13421" s="47"/>
    </row>
    <row r="13422" spans="45:45">
      <c r="AS13422" s="47"/>
    </row>
    <row r="13423" spans="45:45">
      <c r="AS13423" s="47"/>
    </row>
    <row r="13424" spans="45:45">
      <c r="AS13424" s="47"/>
    </row>
    <row r="13425" spans="45:45">
      <c r="AS13425" s="47"/>
    </row>
    <row r="13426" spans="45:45">
      <c r="AS13426" s="47"/>
    </row>
    <row r="13427" spans="45:45">
      <c r="AS13427" s="47"/>
    </row>
    <row r="13428" spans="45:45">
      <c r="AS13428" s="47"/>
    </row>
    <row r="13429" spans="45:45">
      <c r="AS13429" s="47"/>
    </row>
    <row r="13430" spans="45:45">
      <c r="AS13430" s="47"/>
    </row>
    <row r="13431" spans="45:45">
      <c r="AS13431" s="47"/>
    </row>
    <row r="13432" spans="45:45">
      <c r="AS13432" s="47"/>
    </row>
    <row r="13433" spans="45:45">
      <c r="AS13433" s="47"/>
    </row>
    <row r="13434" spans="45:45">
      <c r="AS13434" s="47"/>
    </row>
    <row r="13435" spans="45:45">
      <c r="AS13435" s="47"/>
    </row>
    <row r="13436" spans="45:45">
      <c r="AS13436" s="47"/>
    </row>
    <row r="13437" spans="45:45">
      <c r="AS13437" s="47"/>
    </row>
    <row r="13438" spans="45:45">
      <c r="AS13438" s="47"/>
    </row>
    <row r="13439" spans="45:45">
      <c r="AS13439" s="47"/>
    </row>
    <row r="13440" spans="45:45">
      <c r="AS13440" s="47"/>
    </row>
    <row r="13441" spans="45:45">
      <c r="AS13441" s="47"/>
    </row>
    <row r="13442" spans="45:45">
      <c r="AS13442" s="47"/>
    </row>
    <row r="13443" spans="45:45">
      <c r="AS13443" s="47"/>
    </row>
    <row r="13444" spans="45:45">
      <c r="AS13444" s="47"/>
    </row>
    <row r="13445" spans="45:45">
      <c r="AS13445" s="47"/>
    </row>
    <row r="13446" spans="45:45">
      <c r="AS13446" s="47"/>
    </row>
    <row r="13447" spans="45:45">
      <c r="AS13447" s="47"/>
    </row>
    <row r="13448" spans="45:45">
      <c r="AS13448" s="47"/>
    </row>
    <row r="13449" spans="45:45">
      <c r="AS13449" s="47"/>
    </row>
    <row r="13450" spans="45:45">
      <c r="AS13450" s="47"/>
    </row>
    <row r="13451" spans="45:45">
      <c r="AS13451" s="47"/>
    </row>
    <row r="13452" spans="45:45">
      <c r="AS13452" s="47"/>
    </row>
    <row r="13453" spans="45:45">
      <c r="AS13453" s="47"/>
    </row>
    <row r="13454" spans="45:45">
      <c r="AS13454" s="47"/>
    </row>
    <row r="13455" spans="45:45">
      <c r="AS13455" s="47"/>
    </row>
    <row r="13456" spans="45:45">
      <c r="AS13456" s="47"/>
    </row>
    <row r="13457" spans="45:45">
      <c r="AS13457" s="47"/>
    </row>
    <row r="13458" spans="45:45">
      <c r="AS13458" s="47"/>
    </row>
    <row r="13459" spans="45:45">
      <c r="AS13459" s="47"/>
    </row>
    <row r="13460" spans="45:45">
      <c r="AS13460" s="47"/>
    </row>
    <row r="13461" spans="45:45">
      <c r="AS13461" s="47"/>
    </row>
    <row r="13462" spans="45:45">
      <c r="AS13462" s="47"/>
    </row>
    <row r="13463" spans="45:45">
      <c r="AS13463" s="47"/>
    </row>
    <row r="13464" spans="45:45">
      <c r="AS13464" s="47"/>
    </row>
    <row r="13465" spans="45:45">
      <c r="AS13465" s="47"/>
    </row>
    <row r="13466" spans="45:45">
      <c r="AS13466" s="47"/>
    </row>
    <row r="13467" spans="45:45">
      <c r="AS13467" s="47"/>
    </row>
    <row r="13468" spans="45:45">
      <c r="AS13468" s="47"/>
    </row>
    <row r="13469" spans="45:45">
      <c r="AS13469" s="47"/>
    </row>
    <row r="13470" spans="45:45">
      <c r="AS13470" s="47"/>
    </row>
    <row r="13471" spans="45:45">
      <c r="AS13471" s="47"/>
    </row>
    <row r="13472" spans="45:45">
      <c r="AS13472" s="47"/>
    </row>
    <row r="13473" spans="45:45">
      <c r="AS13473" s="47"/>
    </row>
    <row r="13474" spans="45:45">
      <c r="AS13474" s="47"/>
    </row>
    <row r="13475" spans="45:45">
      <c r="AS13475" s="47"/>
    </row>
    <row r="13476" spans="45:45">
      <c r="AS13476" s="47"/>
    </row>
    <row r="13477" spans="45:45">
      <c r="AS13477" s="47"/>
    </row>
    <row r="13478" spans="45:45">
      <c r="AS13478" s="47"/>
    </row>
    <row r="13479" spans="45:45">
      <c r="AS13479" s="47"/>
    </row>
    <row r="13480" spans="45:45">
      <c r="AS13480" s="47"/>
    </row>
    <row r="13481" spans="45:45">
      <c r="AS13481" s="47"/>
    </row>
    <row r="13482" spans="45:45">
      <c r="AS13482" s="47"/>
    </row>
    <row r="13483" spans="45:45">
      <c r="AS13483" s="47"/>
    </row>
    <row r="13484" spans="45:45">
      <c r="AS13484" s="47"/>
    </row>
    <row r="13485" spans="45:45">
      <c r="AS13485" s="47"/>
    </row>
    <row r="13486" spans="45:45">
      <c r="AS13486" s="47"/>
    </row>
    <row r="13487" spans="45:45">
      <c r="AS13487" s="47"/>
    </row>
    <row r="13488" spans="45:45">
      <c r="AS13488" s="47"/>
    </row>
    <row r="13489" spans="45:45">
      <c r="AS13489" s="47"/>
    </row>
    <row r="13490" spans="45:45">
      <c r="AS13490" s="47"/>
    </row>
    <row r="13491" spans="45:45">
      <c r="AS13491" s="47"/>
    </row>
    <row r="13492" spans="45:45">
      <c r="AS13492" s="47"/>
    </row>
    <row r="13493" spans="45:45">
      <c r="AS13493" s="47"/>
    </row>
    <row r="13494" spans="45:45">
      <c r="AS13494" s="47"/>
    </row>
    <row r="13495" spans="45:45">
      <c r="AS13495" s="47"/>
    </row>
    <row r="13496" spans="45:45">
      <c r="AS13496" s="47"/>
    </row>
    <row r="13497" spans="45:45">
      <c r="AS13497" s="47"/>
    </row>
    <row r="13498" spans="45:45">
      <c r="AS13498" s="47"/>
    </row>
    <row r="13499" spans="45:45">
      <c r="AS13499" s="47"/>
    </row>
    <row r="13500" spans="45:45">
      <c r="AS13500" s="47"/>
    </row>
    <row r="13501" spans="45:45">
      <c r="AS13501" s="47"/>
    </row>
    <row r="13502" spans="45:45">
      <c r="AS13502" s="47"/>
    </row>
    <row r="13503" spans="45:45">
      <c r="AS13503" s="47"/>
    </row>
    <row r="13504" spans="45:45">
      <c r="AS13504" s="47"/>
    </row>
    <row r="13505" spans="45:45">
      <c r="AS13505" s="47"/>
    </row>
    <row r="13506" spans="45:45">
      <c r="AS13506" s="47"/>
    </row>
    <row r="13507" spans="45:45">
      <c r="AS13507" s="47"/>
    </row>
    <row r="13508" spans="45:45">
      <c r="AS13508" s="47"/>
    </row>
    <row r="13509" spans="45:45">
      <c r="AS13509" s="47"/>
    </row>
    <row r="13510" spans="45:45">
      <c r="AS13510" s="47"/>
    </row>
    <row r="13511" spans="45:45">
      <c r="AS13511" s="47"/>
    </row>
    <row r="13512" spans="45:45">
      <c r="AS13512" s="47"/>
    </row>
    <row r="13513" spans="45:45">
      <c r="AS13513" s="47"/>
    </row>
    <row r="13514" spans="45:45">
      <c r="AS13514" s="47"/>
    </row>
    <row r="13515" spans="45:45">
      <c r="AS13515" s="47"/>
    </row>
    <row r="13516" spans="45:45">
      <c r="AS13516" s="47"/>
    </row>
    <row r="13517" spans="45:45">
      <c r="AS13517" s="47"/>
    </row>
    <row r="13518" spans="45:45">
      <c r="AS13518" s="47"/>
    </row>
    <row r="13519" spans="45:45">
      <c r="AS13519" s="47"/>
    </row>
    <row r="13520" spans="45:45">
      <c r="AS13520" s="47"/>
    </row>
    <row r="13521" spans="45:45">
      <c r="AS13521" s="47"/>
    </row>
    <row r="13522" spans="45:45">
      <c r="AS13522" s="47"/>
    </row>
    <row r="13523" spans="45:45">
      <c r="AS13523" s="47"/>
    </row>
    <row r="13524" spans="45:45">
      <c r="AS13524" s="47"/>
    </row>
    <row r="13525" spans="45:45">
      <c r="AS13525" s="47"/>
    </row>
    <row r="13526" spans="45:45">
      <c r="AS13526" s="47"/>
    </row>
    <row r="13527" spans="45:45">
      <c r="AS13527" s="47"/>
    </row>
    <row r="13528" spans="45:45">
      <c r="AS13528" s="47"/>
    </row>
    <row r="13529" spans="45:45">
      <c r="AS13529" s="47"/>
    </row>
    <row r="13530" spans="45:45">
      <c r="AS13530" s="47"/>
    </row>
    <row r="13531" spans="45:45">
      <c r="AS13531" s="47"/>
    </row>
    <row r="13532" spans="45:45">
      <c r="AS13532" s="47"/>
    </row>
    <row r="13533" spans="45:45">
      <c r="AS13533" s="47"/>
    </row>
    <row r="13534" spans="45:45">
      <c r="AS13534" s="47"/>
    </row>
    <row r="13535" spans="45:45">
      <c r="AS13535" s="47"/>
    </row>
    <row r="13536" spans="45:45">
      <c r="AS13536" s="47"/>
    </row>
    <row r="13537" spans="45:45">
      <c r="AS13537" s="47"/>
    </row>
    <row r="13538" spans="45:45">
      <c r="AS13538" s="47"/>
    </row>
    <row r="13539" spans="45:45">
      <c r="AS13539" s="47"/>
    </row>
    <row r="13540" spans="45:45">
      <c r="AS13540" s="47"/>
    </row>
    <row r="13541" spans="45:45">
      <c r="AS13541" s="47"/>
    </row>
    <row r="13542" spans="45:45">
      <c r="AS13542" s="47"/>
    </row>
    <row r="13543" spans="45:45">
      <c r="AS13543" s="47"/>
    </row>
    <row r="13544" spans="45:45">
      <c r="AS13544" s="47"/>
    </row>
    <row r="13545" spans="45:45">
      <c r="AS13545" s="47"/>
    </row>
    <row r="13546" spans="45:45">
      <c r="AS13546" s="47"/>
    </row>
    <row r="13547" spans="45:45">
      <c r="AS13547" s="47"/>
    </row>
    <row r="13548" spans="45:45">
      <c r="AS13548" s="47"/>
    </row>
    <row r="13549" spans="45:45">
      <c r="AS13549" s="47"/>
    </row>
    <row r="13550" spans="45:45">
      <c r="AS13550" s="47"/>
    </row>
    <row r="13551" spans="45:45">
      <c r="AS13551" s="47"/>
    </row>
    <row r="13552" spans="45:45">
      <c r="AS13552" s="47"/>
    </row>
    <row r="13553" spans="45:45">
      <c r="AS13553" s="47"/>
    </row>
    <row r="13554" spans="45:45">
      <c r="AS13554" s="47"/>
    </row>
    <row r="13555" spans="45:45">
      <c r="AS13555" s="47"/>
    </row>
    <row r="13556" spans="45:45">
      <c r="AS13556" s="47"/>
    </row>
    <row r="13557" spans="45:45">
      <c r="AS13557" s="47"/>
    </row>
    <row r="13558" spans="45:45">
      <c r="AS13558" s="47"/>
    </row>
    <row r="13559" spans="45:45">
      <c r="AS13559" s="47"/>
    </row>
    <row r="13560" spans="45:45">
      <c r="AS13560" s="47"/>
    </row>
    <row r="13561" spans="45:45">
      <c r="AS13561" s="47"/>
    </row>
    <row r="13562" spans="45:45">
      <c r="AS13562" s="47"/>
    </row>
    <row r="13563" spans="45:45">
      <c r="AS13563" s="47"/>
    </row>
    <row r="13564" spans="45:45">
      <c r="AS13564" s="47"/>
    </row>
    <row r="13565" spans="45:45">
      <c r="AS13565" s="47"/>
    </row>
    <row r="13566" spans="45:45">
      <c r="AS13566" s="47"/>
    </row>
    <row r="13567" spans="45:45">
      <c r="AS13567" s="47"/>
    </row>
    <row r="13568" spans="45:45">
      <c r="AS13568" s="47"/>
    </row>
    <row r="13569" spans="45:45">
      <c r="AS13569" s="47"/>
    </row>
    <row r="13570" spans="45:45">
      <c r="AS13570" s="47"/>
    </row>
    <row r="13571" spans="45:45">
      <c r="AS13571" s="47"/>
    </row>
    <row r="13572" spans="45:45">
      <c r="AS13572" s="47"/>
    </row>
    <row r="13573" spans="45:45">
      <c r="AS13573" s="47"/>
    </row>
    <row r="13574" spans="45:45">
      <c r="AS13574" s="47"/>
    </row>
    <row r="13575" spans="45:45">
      <c r="AS13575" s="47"/>
    </row>
    <row r="13576" spans="45:45">
      <c r="AS13576" s="47"/>
    </row>
    <row r="13577" spans="45:45">
      <c r="AS13577" s="47"/>
    </row>
    <row r="13578" spans="45:45">
      <c r="AS13578" s="47"/>
    </row>
    <row r="13579" spans="45:45">
      <c r="AS13579" s="47"/>
    </row>
    <row r="13580" spans="45:45">
      <c r="AS13580" s="47"/>
    </row>
    <row r="13581" spans="45:45">
      <c r="AS13581" s="47"/>
    </row>
    <row r="13582" spans="45:45">
      <c r="AS13582" s="47"/>
    </row>
    <row r="13583" spans="45:45">
      <c r="AS13583" s="47"/>
    </row>
    <row r="13584" spans="45:45">
      <c r="AS13584" s="47"/>
    </row>
    <row r="13585" spans="45:45">
      <c r="AS13585" s="47"/>
    </row>
    <row r="13586" spans="45:45">
      <c r="AS13586" s="47"/>
    </row>
    <row r="13587" spans="45:45">
      <c r="AS13587" s="47"/>
    </row>
    <row r="13588" spans="45:45">
      <c r="AS13588" s="47"/>
    </row>
    <row r="13589" spans="45:45">
      <c r="AS13589" s="47"/>
    </row>
    <row r="13590" spans="45:45">
      <c r="AS13590" s="47"/>
    </row>
    <row r="13591" spans="45:45">
      <c r="AS13591" s="47"/>
    </row>
    <row r="13592" spans="45:45">
      <c r="AS13592" s="47"/>
    </row>
    <row r="13593" spans="45:45">
      <c r="AS13593" s="47"/>
    </row>
    <row r="13594" spans="45:45">
      <c r="AS13594" s="47"/>
    </row>
    <row r="13595" spans="45:45">
      <c r="AS13595" s="47"/>
    </row>
    <row r="13596" spans="45:45">
      <c r="AS13596" s="47"/>
    </row>
    <row r="13597" spans="45:45">
      <c r="AS13597" s="47"/>
    </row>
    <row r="13598" spans="45:45">
      <c r="AS13598" s="47"/>
    </row>
    <row r="13599" spans="45:45">
      <c r="AS13599" s="47"/>
    </row>
    <row r="13600" spans="45:45">
      <c r="AS13600" s="47"/>
    </row>
    <row r="13601" spans="45:45">
      <c r="AS13601" s="47"/>
    </row>
    <row r="13602" spans="45:45">
      <c r="AS13602" s="47"/>
    </row>
    <row r="13603" spans="45:45">
      <c r="AS13603" s="47"/>
    </row>
    <row r="13604" spans="45:45">
      <c r="AS13604" s="47"/>
    </row>
    <row r="13605" spans="45:45">
      <c r="AS13605" s="47"/>
    </row>
    <row r="13606" spans="45:45">
      <c r="AS13606" s="47"/>
    </row>
    <row r="13607" spans="45:45">
      <c r="AS13607" s="47"/>
    </row>
    <row r="13608" spans="45:45">
      <c r="AS13608" s="47"/>
    </row>
    <row r="13609" spans="45:45">
      <c r="AS13609" s="47"/>
    </row>
    <row r="13610" spans="45:45">
      <c r="AS13610" s="47"/>
    </row>
    <row r="13611" spans="45:45">
      <c r="AS13611" s="47"/>
    </row>
    <row r="13612" spans="45:45">
      <c r="AS13612" s="47"/>
    </row>
    <row r="13613" spans="45:45">
      <c r="AS13613" s="47"/>
    </row>
    <row r="13614" spans="45:45">
      <c r="AS13614" s="47"/>
    </row>
    <row r="13615" spans="45:45">
      <c r="AS13615" s="47"/>
    </row>
    <row r="13616" spans="45:45">
      <c r="AS13616" s="47"/>
    </row>
    <row r="13617" spans="45:45">
      <c r="AS13617" s="47"/>
    </row>
    <row r="13618" spans="45:45">
      <c r="AS13618" s="47"/>
    </row>
    <row r="13619" spans="45:45">
      <c r="AS13619" s="47"/>
    </row>
    <row r="13620" spans="45:45">
      <c r="AS13620" s="47"/>
    </row>
    <row r="13621" spans="45:45">
      <c r="AS13621" s="47"/>
    </row>
    <row r="13622" spans="45:45">
      <c r="AS13622" s="47"/>
    </row>
    <row r="13623" spans="45:45">
      <c r="AS13623" s="47"/>
    </row>
    <row r="13624" spans="45:45">
      <c r="AS13624" s="47"/>
    </row>
    <row r="13625" spans="45:45">
      <c r="AS13625" s="47"/>
    </row>
    <row r="13626" spans="45:45">
      <c r="AS13626" s="47"/>
    </row>
    <row r="13627" spans="45:45">
      <c r="AS13627" s="47"/>
    </row>
    <row r="13628" spans="45:45">
      <c r="AS13628" s="47"/>
    </row>
    <row r="13629" spans="45:45">
      <c r="AS13629" s="47"/>
    </row>
    <row r="13630" spans="45:45">
      <c r="AS13630" s="47"/>
    </row>
    <row r="13631" spans="45:45">
      <c r="AS13631" s="47"/>
    </row>
    <row r="13632" spans="45:45">
      <c r="AS13632" s="47"/>
    </row>
    <row r="13633" spans="45:45">
      <c r="AS13633" s="47"/>
    </row>
    <row r="13634" spans="45:45">
      <c r="AS13634" s="47"/>
    </row>
    <row r="13635" spans="45:45">
      <c r="AS13635" s="47"/>
    </row>
    <row r="13636" spans="45:45">
      <c r="AS13636" s="47"/>
    </row>
    <row r="13637" spans="45:45">
      <c r="AS13637" s="47"/>
    </row>
    <row r="13638" spans="45:45">
      <c r="AS13638" s="47"/>
    </row>
    <row r="13639" spans="45:45">
      <c r="AS13639" s="47"/>
    </row>
    <row r="13640" spans="45:45">
      <c r="AS13640" s="47"/>
    </row>
    <row r="13641" spans="45:45">
      <c r="AS13641" s="47"/>
    </row>
    <row r="13642" spans="45:45">
      <c r="AS13642" s="47"/>
    </row>
    <row r="13643" spans="45:45">
      <c r="AS13643" s="47"/>
    </row>
    <row r="13644" spans="45:45">
      <c r="AS13644" s="47"/>
    </row>
    <row r="13645" spans="45:45">
      <c r="AS13645" s="47"/>
    </row>
    <row r="13646" spans="45:45">
      <c r="AS13646" s="47"/>
    </row>
    <row r="13647" spans="45:45">
      <c r="AS13647" s="47"/>
    </row>
    <row r="13648" spans="45:45">
      <c r="AS13648" s="47"/>
    </row>
    <row r="13649" spans="45:45">
      <c r="AS13649" s="47"/>
    </row>
    <row r="13650" spans="45:45">
      <c r="AS13650" s="47"/>
    </row>
    <row r="13651" spans="45:45">
      <c r="AS13651" s="47"/>
    </row>
    <row r="13652" spans="45:45">
      <c r="AS13652" s="47"/>
    </row>
    <row r="13653" spans="45:45">
      <c r="AS13653" s="47"/>
    </row>
    <row r="13654" spans="45:45">
      <c r="AS13654" s="47"/>
    </row>
    <row r="13655" spans="45:45">
      <c r="AS13655" s="47"/>
    </row>
    <row r="13656" spans="45:45">
      <c r="AS13656" s="47"/>
    </row>
    <row r="13657" spans="45:45">
      <c r="AS13657" s="47"/>
    </row>
    <row r="13658" spans="45:45">
      <c r="AS13658" s="47"/>
    </row>
    <row r="13659" spans="45:45">
      <c r="AS13659" s="47"/>
    </row>
    <row r="13660" spans="45:45">
      <c r="AS13660" s="47"/>
    </row>
    <row r="13661" spans="45:45">
      <c r="AS13661" s="47"/>
    </row>
    <row r="13662" spans="45:45">
      <c r="AS13662" s="47"/>
    </row>
    <row r="13663" spans="45:45">
      <c r="AS13663" s="47"/>
    </row>
    <row r="13664" spans="45:45">
      <c r="AS13664" s="47"/>
    </row>
    <row r="13665" spans="45:45">
      <c r="AS13665" s="47"/>
    </row>
    <row r="13666" spans="45:45">
      <c r="AS13666" s="47"/>
    </row>
    <row r="13667" spans="45:45">
      <c r="AS13667" s="47"/>
    </row>
    <row r="13668" spans="45:45">
      <c r="AS13668" s="47"/>
    </row>
    <row r="13669" spans="45:45">
      <c r="AS13669" s="47"/>
    </row>
    <row r="13670" spans="45:45">
      <c r="AS13670" s="47"/>
    </row>
    <row r="13671" spans="45:45">
      <c r="AS13671" s="47"/>
    </row>
    <row r="13672" spans="45:45">
      <c r="AS13672" s="47"/>
    </row>
    <row r="13673" spans="45:45">
      <c r="AS13673" s="47"/>
    </row>
    <row r="13674" spans="45:45">
      <c r="AS13674" s="47"/>
    </row>
    <row r="13675" spans="45:45">
      <c r="AS13675" s="47"/>
    </row>
    <row r="13676" spans="45:45">
      <c r="AS13676" s="47"/>
    </row>
    <row r="13677" spans="45:45">
      <c r="AS13677" s="47"/>
    </row>
    <row r="13678" spans="45:45">
      <c r="AS13678" s="47"/>
    </row>
    <row r="13679" spans="45:45">
      <c r="AS13679" s="47"/>
    </row>
    <row r="13680" spans="45:45">
      <c r="AS13680" s="47"/>
    </row>
    <row r="13681" spans="45:45">
      <c r="AS13681" s="47"/>
    </row>
    <row r="13682" spans="45:45">
      <c r="AS13682" s="47"/>
    </row>
    <row r="13683" spans="45:45">
      <c r="AS13683" s="47"/>
    </row>
    <row r="13684" spans="45:45">
      <c r="AS13684" s="47"/>
    </row>
    <row r="13685" spans="45:45">
      <c r="AS13685" s="47"/>
    </row>
    <row r="13686" spans="45:45">
      <c r="AS13686" s="47"/>
    </row>
    <row r="13687" spans="45:45">
      <c r="AS13687" s="47"/>
    </row>
    <row r="13688" spans="45:45">
      <c r="AS13688" s="47"/>
    </row>
    <row r="13689" spans="45:45">
      <c r="AS13689" s="47"/>
    </row>
    <row r="13690" spans="45:45">
      <c r="AS13690" s="47"/>
    </row>
    <row r="13691" spans="45:45">
      <c r="AS13691" s="47"/>
    </row>
    <row r="13692" spans="45:45">
      <c r="AS13692" s="47"/>
    </row>
    <row r="13693" spans="45:45">
      <c r="AS13693" s="47"/>
    </row>
    <row r="13694" spans="45:45">
      <c r="AS13694" s="47"/>
    </row>
    <row r="13695" spans="45:45">
      <c r="AS13695" s="47"/>
    </row>
    <row r="13696" spans="45:45">
      <c r="AS13696" s="47"/>
    </row>
    <row r="13697" spans="45:45">
      <c r="AS13697" s="47"/>
    </row>
    <row r="13698" spans="45:45">
      <c r="AS13698" s="47"/>
    </row>
    <row r="13699" spans="45:45">
      <c r="AS13699" s="47"/>
    </row>
    <row r="13700" spans="45:45">
      <c r="AS13700" s="47"/>
    </row>
    <row r="13701" spans="45:45">
      <c r="AS13701" s="47"/>
    </row>
    <row r="13702" spans="45:45">
      <c r="AS13702" s="47"/>
    </row>
    <row r="13703" spans="45:45">
      <c r="AS13703" s="47"/>
    </row>
    <row r="13704" spans="45:45">
      <c r="AS13704" s="47"/>
    </row>
    <row r="13705" spans="45:45">
      <c r="AS13705" s="47"/>
    </row>
    <row r="13706" spans="45:45">
      <c r="AS13706" s="47"/>
    </row>
    <row r="13707" spans="45:45">
      <c r="AS13707" s="47"/>
    </row>
    <row r="13708" spans="45:45">
      <c r="AS13708" s="47"/>
    </row>
    <row r="13709" spans="45:45">
      <c r="AS13709" s="47"/>
    </row>
    <row r="13710" spans="45:45">
      <c r="AS13710" s="47"/>
    </row>
    <row r="13711" spans="45:45">
      <c r="AS13711" s="47"/>
    </row>
    <row r="13712" spans="45:45">
      <c r="AS13712" s="47"/>
    </row>
    <row r="13713" spans="45:45">
      <c r="AS13713" s="47"/>
    </row>
    <row r="13714" spans="45:45">
      <c r="AS13714" s="47"/>
    </row>
    <row r="13715" spans="45:45">
      <c r="AS13715" s="47"/>
    </row>
    <row r="13716" spans="45:45">
      <c r="AS13716" s="47"/>
    </row>
    <row r="13717" spans="45:45">
      <c r="AS13717" s="47"/>
    </row>
    <row r="13718" spans="45:45">
      <c r="AS13718" s="47"/>
    </row>
    <row r="13719" spans="45:45">
      <c r="AS13719" s="47"/>
    </row>
    <row r="13720" spans="45:45">
      <c r="AS13720" s="47"/>
    </row>
    <row r="13721" spans="45:45">
      <c r="AS13721" s="47"/>
    </row>
    <row r="13722" spans="45:45">
      <c r="AS13722" s="47"/>
    </row>
    <row r="13723" spans="45:45">
      <c r="AS13723" s="47"/>
    </row>
    <row r="13724" spans="45:45">
      <c r="AS13724" s="47"/>
    </row>
    <row r="13725" spans="45:45">
      <c r="AS13725" s="47"/>
    </row>
    <row r="13726" spans="45:45">
      <c r="AS13726" s="47"/>
    </row>
    <row r="13727" spans="45:45">
      <c r="AS13727" s="47"/>
    </row>
    <row r="13728" spans="45:45">
      <c r="AS13728" s="47"/>
    </row>
    <row r="13729" spans="45:45">
      <c r="AS13729" s="47"/>
    </row>
    <row r="13730" spans="45:45">
      <c r="AS13730" s="47"/>
    </row>
    <row r="13731" spans="45:45">
      <c r="AS13731" s="47"/>
    </row>
    <row r="13732" spans="45:45">
      <c r="AS13732" s="47"/>
    </row>
    <row r="13733" spans="45:45">
      <c r="AS13733" s="47"/>
    </row>
    <row r="13734" spans="45:45">
      <c r="AS13734" s="47"/>
    </row>
    <row r="13735" spans="45:45">
      <c r="AS13735" s="47"/>
    </row>
    <row r="13736" spans="45:45">
      <c r="AS13736" s="47"/>
    </row>
    <row r="13737" spans="45:45">
      <c r="AS13737" s="47"/>
    </row>
    <row r="13738" spans="45:45">
      <c r="AS13738" s="47"/>
    </row>
    <row r="13739" spans="45:45">
      <c r="AS13739" s="47"/>
    </row>
    <row r="13740" spans="45:45">
      <c r="AS13740" s="47"/>
    </row>
    <row r="13741" spans="45:45">
      <c r="AS13741" s="47"/>
    </row>
    <row r="13742" spans="45:45">
      <c r="AS13742" s="47"/>
    </row>
    <row r="13743" spans="45:45">
      <c r="AS13743" s="47"/>
    </row>
    <row r="13744" spans="45:45">
      <c r="AS13744" s="47"/>
    </row>
    <row r="13745" spans="45:45">
      <c r="AS13745" s="47"/>
    </row>
    <row r="13746" spans="45:45">
      <c r="AS13746" s="47"/>
    </row>
    <row r="13747" spans="45:45">
      <c r="AS13747" s="47"/>
    </row>
    <row r="13748" spans="45:45">
      <c r="AS13748" s="47"/>
    </row>
    <row r="13749" spans="45:45">
      <c r="AS13749" s="47"/>
    </row>
    <row r="13750" spans="45:45">
      <c r="AS13750" s="47"/>
    </row>
    <row r="13751" spans="45:45">
      <c r="AS13751" s="47"/>
    </row>
    <row r="13752" spans="45:45">
      <c r="AS13752" s="47"/>
    </row>
    <row r="13753" spans="45:45">
      <c r="AS13753" s="47"/>
    </row>
    <row r="13754" spans="45:45">
      <c r="AS13754" s="47"/>
    </row>
    <row r="13755" spans="45:45">
      <c r="AS13755" s="47"/>
    </row>
    <row r="13756" spans="45:45">
      <c r="AS13756" s="47"/>
    </row>
    <row r="13757" spans="45:45">
      <c r="AS13757" s="47"/>
    </row>
    <row r="13758" spans="45:45">
      <c r="AS13758" s="47"/>
    </row>
    <row r="13759" spans="45:45">
      <c r="AS13759" s="47"/>
    </row>
    <row r="13760" spans="45:45">
      <c r="AS13760" s="47"/>
    </row>
    <row r="13761" spans="45:45">
      <c r="AS13761" s="47"/>
    </row>
    <row r="13762" spans="45:45">
      <c r="AS13762" s="47"/>
    </row>
    <row r="13763" spans="45:45">
      <c r="AS13763" s="47"/>
    </row>
    <row r="13764" spans="45:45">
      <c r="AS13764" s="47"/>
    </row>
    <row r="13765" spans="45:45">
      <c r="AS13765" s="47"/>
    </row>
    <row r="13766" spans="45:45">
      <c r="AS13766" s="47"/>
    </row>
    <row r="13767" spans="45:45">
      <c r="AS13767" s="47"/>
    </row>
    <row r="13768" spans="45:45">
      <c r="AS13768" s="47"/>
    </row>
    <row r="13769" spans="45:45">
      <c r="AS13769" s="47"/>
    </row>
    <row r="13770" spans="45:45">
      <c r="AS13770" s="47"/>
    </row>
    <row r="13771" spans="45:45">
      <c r="AS13771" s="47"/>
    </row>
    <row r="13772" spans="45:45">
      <c r="AS13772" s="47"/>
    </row>
    <row r="13773" spans="45:45">
      <c r="AS13773" s="47"/>
    </row>
    <row r="13774" spans="45:45">
      <c r="AS13774" s="47"/>
    </row>
    <row r="13775" spans="45:45">
      <c r="AS13775" s="47"/>
    </row>
    <row r="13776" spans="45:45">
      <c r="AS13776" s="47"/>
    </row>
    <row r="13777" spans="45:45">
      <c r="AS13777" s="47"/>
    </row>
    <row r="13778" spans="45:45">
      <c r="AS13778" s="47"/>
    </row>
    <row r="13779" spans="45:45">
      <c r="AS13779" s="47"/>
    </row>
    <row r="13780" spans="45:45">
      <c r="AS13780" s="47"/>
    </row>
    <row r="13781" spans="45:45">
      <c r="AS13781" s="47"/>
    </row>
    <row r="13782" spans="45:45">
      <c r="AS13782" s="47"/>
    </row>
    <row r="13783" spans="45:45">
      <c r="AS13783" s="47"/>
    </row>
    <row r="13784" spans="45:45">
      <c r="AS13784" s="47"/>
    </row>
    <row r="13785" spans="45:45">
      <c r="AS13785" s="47"/>
    </row>
    <row r="13786" spans="45:45">
      <c r="AS13786" s="47"/>
    </row>
    <row r="13787" spans="45:45">
      <c r="AS13787" s="47"/>
    </row>
    <row r="13788" spans="45:45">
      <c r="AS13788" s="47"/>
    </row>
    <row r="13789" spans="45:45">
      <c r="AS13789" s="47"/>
    </row>
    <row r="13790" spans="45:45">
      <c r="AS13790" s="47"/>
    </row>
    <row r="13791" spans="45:45">
      <c r="AS13791" s="47"/>
    </row>
    <row r="13792" spans="45:45">
      <c r="AS13792" s="47"/>
    </row>
    <row r="13793" spans="45:45">
      <c r="AS13793" s="47"/>
    </row>
    <row r="13794" spans="45:45">
      <c r="AS13794" s="47"/>
    </row>
    <row r="13795" spans="45:45">
      <c r="AS13795" s="47"/>
    </row>
    <row r="13796" spans="45:45">
      <c r="AS13796" s="47"/>
    </row>
    <row r="13797" spans="45:45">
      <c r="AS13797" s="47"/>
    </row>
    <row r="13798" spans="45:45">
      <c r="AS13798" s="47"/>
    </row>
    <row r="13799" spans="45:45">
      <c r="AS13799" s="47"/>
    </row>
    <row r="13800" spans="45:45">
      <c r="AS13800" s="47"/>
    </row>
    <row r="13801" spans="45:45">
      <c r="AS13801" s="47"/>
    </row>
    <row r="13802" spans="45:45">
      <c r="AS13802" s="47"/>
    </row>
    <row r="13803" spans="45:45">
      <c r="AS13803" s="47"/>
    </row>
    <row r="13804" spans="45:45">
      <c r="AS13804" s="47"/>
    </row>
    <row r="13805" spans="45:45">
      <c r="AS13805" s="47"/>
    </row>
    <row r="13806" spans="45:45">
      <c r="AS13806" s="47"/>
    </row>
    <row r="13807" spans="45:45">
      <c r="AS13807" s="47"/>
    </row>
    <row r="13808" spans="45:45">
      <c r="AS13808" s="47"/>
    </row>
    <row r="13809" spans="45:45">
      <c r="AS13809" s="47"/>
    </row>
    <row r="13810" spans="45:45">
      <c r="AS13810" s="47"/>
    </row>
    <row r="13811" spans="45:45">
      <c r="AS13811" s="47"/>
    </row>
    <row r="13812" spans="45:45">
      <c r="AS13812" s="47"/>
    </row>
    <row r="13813" spans="45:45">
      <c r="AS13813" s="47"/>
    </row>
    <row r="13814" spans="45:45">
      <c r="AS13814" s="47"/>
    </row>
    <row r="13815" spans="45:45">
      <c r="AS13815" s="47"/>
    </row>
    <row r="13816" spans="45:45">
      <c r="AS13816" s="47"/>
    </row>
    <row r="13817" spans="45:45">
      <c r="AS13817" s="47"/>
    </row>
    <row r="13818" spans="45:45">
      <c r="AS13818" s="47"/>
    </row>
    <row r="13819" spans="45:45">
      <c r="AS13819" s="47"/>
    </row>
    <row r="13820" spans="45:45">
      <c r="AS13820" s="47"/>
    </row>
    <row r="13821" spans="45:45">
      <c r="AS13821" s="47"/>
    </row>
    <row r="13822" spans="45:45">
      <c r="AS13822" s="47"/>
    </row>
    <row r="13823" spans="45:45">
      <c r="AS13823" s="47"/>
    </row>
    <row r="13824" spans="45:45">
      <c r="AS13824" s="47"/>
    </row>
    <row r="13825" spans="45:45">
      <c r="AS13825" s="47"/>
    </row>
    <row r="13826" spans="45:45">
      <c r="AS13826" s="47"/>
    </row>
    <row r="13827" spans="45:45">
      <c r="AS13827" s="47"/>
    </row>
    <row r="13828" spans="45:45">
      <c r="AS13828" s="47"/>
    </row>
    <row r="13829" spans="45:45">
      <c r="AS13829" s="47"/>
    </row>
    <row r="13830" spans="45:45">
      <c r="AS13830" s="47"/>
    </row>
    <row r="13831" spans="45:45">
      <c r="AS13831" s="47"/>
    </row>
    <row r="13832" spans="45:45">
      <c r="AS13832" s="47"/>
    </row>
    <row r="13833" spans="45:45">
      <c r="AS13833" s="47"/>
    </row>
    <row r="13834" spans="45:45">
      <c r="AS13834" s="47"/>
    </row>
    <row r="13835" spans="45:45">
      <c r="AS13835" s="47"/>
    </row>
    <row r="13836" spans="45:45">
      <c r="AS13836" s="47"/>
    </row>
    <row r="13837" spans="45:45">
      <c r="AS13837" s="47"/>
    </row>
    <row r="13838" spans="45:45">
      <c r="AS13838" s="47"/>
    </row>
    <row r="13839" spans="45:45">
      <c r="AS13839" s="47"/>
    </row>
    <row r="13840" spans="45:45">
      <c r="AS13840" s="47"/>
    </row>
    <row r="13841" spans="45:45">
      <c r="AS13841" s="47"/>
    </row>
    <row r="13842" spans="45:45">
      <c r="AS13842" s="47"/>
    </row>
    <row r="13843" spans="45:45">
      <c r="AS13843" s="47"/>
    </row>
    <row r="13844" spans="45:45">
      <c r="AS13844" s="47"/>
    </row>
    <row r="13845" spans="45:45">
      <c r="AS13845" s="47"/>
    </row>
    <row r="13846" spans="45:45">
      <c r="AS13846" s="47"/>
    </row>
    <row r="13847" spans="45:45">
      <c r="AS13847" s="47"/>
    </row>
    <row r="13848" spans="45:45">
      <c r="AS13848" s="47"/>
    </row>
    <row r="13849" spans="45:45">
      <c r="AS13849" s="47"/>
    </row>
    <row r="13850" spans="45:45">
      <c r="AS13850" s="47"/>
    </row>
    <row r="13851" spans="45:45">
      <c r="AS13851" s="47"/>
    </row>
    <row r="13852" spans="45:45">
      <c r="AS13852" s="47"/>
    </row>
    <row r="13853" spans="45:45">
      <c r="AS13853" s="47"/>
    </row>
    <row r="13854" spans="45:45">
      <c r="AS13854" s="47"/>
    </row>
    <row r="13855" spans="45:45">
      <c r="AS13855" s="47"/>
    </row>
    <row r="13856" spans="45:45">
      <c r="AS13856" s="47"/>
    </row>
    <row r="13857" spans="45:45">
      <c r="AS13857" s="47"/>
    </row>
    <row r="13858" spans="45:45">
      <c r="AS13858" s="47"/>
    </row>
    <row r="13859" spans="45:45">
      <c r="AS13859" s="47"/>
    </row>
    <row r="13860" spans="45:45">
      <c r="AS13860" s="47"/>
    </row>
    <row r="13861" spans="45:45">
      <c r="AS13861" s="47"/>
    </row>
    <row r="13862" spans="45:45">
      <c r="AS13862" s="47"/>
    </row>
    <row r="13863" spans="45:45">
      <c r="AS13863" s="47"/>
    </row>
    <row r="13864" spans="45:45">
      <c r="AS13864" s="47"/>
    </row>
    <row r="13865" spans="45:45">
      <c r="AS13865" s="47"/>
    </row>
    <row r="13866" spans="45:45">
      <c r="AS13866" s="47"/>
    </row>
    <row r="13867" spans="45:45">
      <c r="AS13867" s="47"/>
    </row>
    <row r="13868" spans="45:45">
      <c r="AS13868" s="47"/>
    </row>
    <row r="13869" spans="45:45">
      <c r="AS13869" s="47"/>
    </row>
    <row r="13870" spans="45:45">
      <c r="AS13870" s="47"/>
    </row>
    <row r="13871" spans="45:45">
      <c r="AS13871" s="47"/>
    </row>
    <row r="13872" spans="45:45">
      <c r="AS13872" s="47"/>
    </row>
    <row r="13873" spans="45:45">
      <c r="AS13873" s="47"/>
    </row>
    <row r="13874" spans="45:45">
      <c r="AS13874" s="47"/>
    </row>
    <row r="13875" spans="45:45">
      <c r="AS13875" s="47"/>
    </row>
    <row r="13876" spans="45:45">
      <c r="AS13876" s="47"/>
    </row>
    <row r="13877" spans="45:45">
      <c r="AS13877" s="47"/>
    </row>
    <row r="13878" spans="45:45">
      <c r="AS13878" s="47"/>
    </row>
    <row r="13879" spans="45:45">
      <c r="AS13879" s="47"/>
    </row>
    <row r="13880" spans="45:45">
      <c r="AS13880" s="47"/>
    </row>
    <row r="13881" spans="45:45">
      <c r="AS13881" s="47"/>
    </row>
    <row r="13882" spans="45:45">
      <c r="AS13882" s="47"/>
    </row>
    <row r="13883" spans="45:45">
      <c r="AS13883" s="47"/>
    </row>
    <row r="13884" spans="45:45">
      <c r="AS13884" s="47"/>
    </row>
    <row r="13885" spans="45:45">
      <c r="AS13885" s="47"/>
    </row>
    <row r="13886" spans="45:45">
      <c r="AS13886" s="47"/>
    </row>
    <row r="13887" spans="45:45">
      <c r="AS13887" s="47"/>
    </row>
    <row r="13888" spans="45:45">
      <c r="AS13888" s="47"/>
    </row>
    <row r="13889" spans="45:45">
      <c r="AS13889" s="47"/>
    </row>
    <row r="13890" spans="45:45">
      <c r="AS13890" s="47"/>
    </row>
    <row r="13891" spans="45:45">
      <c r="AS13891" s="47"/>
    </row>
    <row r="13892" spans="45:45">
      <c r="AS13892" s="47"/>
    </row>
    <row r="13893" spans="45:45">
      <c r="AS13893" s="47"/>
    </row>
    <row r="13894" spans="45:45">
      <c r="AS13894" s="47"/>
    </row>
    <row r="13895" spans="45:45">
      <c r="AS13895" s="47"/>
    </row>
    <row r="13896" spans="45:45">
      <c r="AS13896" s="47"/>
    </row>
    <row r="13897" spans="45:45">
      <c r="AS13897" s="47"/>
    </row>
    <row r="13898" spans="45:45">
      <c r="AS13898" s="47"/>
    </row>
    <row r="13899" spans="45:45">
      <c r="AS13899" s="47"/>
    </row>
    <row r="13900" spans="45:45">
      <c r="AS13900" s="47"/>
    </row>
    <row r="13901" spans="45:45">
      <c r="AS13901" s="47"/>
    </row>
    <row r="13902" spans="45:45">
      <c r="AS13902" s="47"/>
    </row>
    <row r="13903" spans="45:45">
      <c r="AS13903" s="47"/>
    </row>
    <row r="13904" spans="45:45">
      <c r="AS13904" s="47"/>
    </row>
    <row r="13905" spans="45:45">
      <c r="AS13905" s="47"/>
    </row>
    <row r="13906" spans="45:45">
      <c r="AS13906" s="47"/>
    </row>
    <row r="13907" spans="45:45">
      <c r="AS13907" s="47"/>
    </row>
    <row r="13908" spans="45:45">
      <c r="AS13908" s="47"/>
    </row>
    <row r="13909" spans="45:45">
      <c r="AS13909" s="47"/>
    </row>
    <row r="13910" spans="45:45">
      <c r="AS13910" s="47"/>
    </row>
    <row r="13911" spans="45:45">
      <c r="AS13911" s="47"/>
    </row>
    <row r="13912" spans="45:45">
      <c r="AS13912" s="47"/>
    </row>
    <row r="13913" spans="45:45">
      <c r="AS13913" s="47"/>
    </row>
    <row r="13914" spans="45:45">
      <c r="AS13914" s="47"/>
    </row>
    <row r="13915" spans="45:45">
      <c r="AS13915" s="47"/>
    </row>
    <row r="13916" spans="45:45">
      <c r="AS13916" s="47"/>
    </row>
    <row r="13917" spans="45:45">
      <c r="AS13917" s="47"/>
    </row>
    <row r="13918" spans="45:45">
      <c r="AS13918" s="47"/>
    </row>
    <row r="13919" spans="45:45">
      <c r="AS13919" s="47"/>
    </row>
    <row r="13920" spans="45:45">
      <c r="AS13920" s="47"/>
    </row>
    <row r="13921" spans="45:45">
      <c r="AS13921" s="47"/>
    </row>
    <row r="13922" spans="45:45">
      <c r="AS13922" s="47"/>
    </row>
    <row r="13923" spans="45:45">
      <c r="AS13923" s="47"/>
    </row>
    <row r="13924" spans="45:45">
      <c r="AS13924" s="47"/>
    </row>
    <row r="13925" spans="45:45">
      <c r="AS13925" s="47"/>
    </row>
    <row r="13926" spans="45:45">
      <c r="AS13926" s="47"/>
    </row>
    <row r="13927" spans="45:45">
      <c r="AS13927" s="47"/>
    </row>
    <row r="13928" spans="45:45">
      <c r="AS13928" s="47"/>
    </row>
    <row r="13929" spans="45:45">
      <c r="AS13929" s="47"/>
    </row>
    <row r="13930" spans="45:45">
      <c r="AS13930" s="47"/>
    </row>
    <row r="13931" spans="45:45">
      <c r="AS13931" s="47"/>
    </row>
    <row r="13932" spans="45:45">
      <c r="AS13932" s="47"/>
    </row>
    <row r="13933" spans="45:45">
      <c r="AS13933" s="47"/>
    </row>
    <row r="13934" spans="45:45">
      <c r="AS13934" s="47"/>
    </row>
    <row r="13935" spans="45:45">
      <c r="AS13935" s="47"/>
    </row>
    <row r="13936" spans="45:45">
      <c r="AS13936" s="47"/>
    </row>
    <row r="13937" spans="45:45">
      <c r="AS13937" s="47"/>
    </row>
    <row r="13938" spans="45:45">
      <c r="AS13938" s="47"/>
    </row>
    <row r="13939" spans="45:45">
      <c r="AS13939" s="47"/>
    </row>
    <row r="13940" spans="45:45">
      <c r="AS13940" s="47"/>
    </row>
    <row r="13941" spans="45:45">
      <c r="AS13941" s="47"/>
    </row>
    <row r="13942" spans="45:45">
      <c r="AS13942" s="47"/>
    </row>
    <row r="13943" spans="45:45">
      <c r="AS13943" s="47"/>
    </row>
    <row r="13944" spans="45:45">
      <c r="AS13944" s="47"/>
    </row>
    <row r="13945" spans="45:45">
      <c r="AS13945" s="47"/>
    </row>
    <row r="13946" spans="45:45">
      <c r="AS13946" s="47"/>
    </row>
    <row r="13947" spans="45:45">
      <c r="AS13947" s="47"/>
    </row>
    <row r="13948" spans="45:45">
      <c r="AS13948" s="47"/>
    </row>
    <row r="13949" spans="45:45">
      <c r="AS13949" s="47"/>
    </row>
    <row r="13950" spans="45:45">
      <c r="AS13950" s="47"/>
    </row>
    <row r="13951" spans="45:45">
      <c r="AS13951" s="47"/>
    </row>
    <row r="13952" spans="45:45">
      <c r="AS13952" s="47"/>
    </row>
    <row r="13953" spans="45:45">
      <c r="AS13953" s="47"/>
    </row>
    <row r="13954" spans="45:45">
      <c r="AS13954" s="47"/>
    </row>
    <row r="13955" spans="45:45">
      <c r="AS13955" s="47"/>
    </row>
    <row r="13956" spans="45:45">
      <c r="AS13956" s="47"/>
    </row>
    <row r="13957" spans="45:45">
      <c r="AS13957" s="47"/>
    </row>
    <row r="13958" spans="45:45">
      <c r="AS13958" s="47"/>
    </row>
    <row r="13959" spans="45:45">
      <c r="AS13959" s="47"/>
    </row>
    <row r="13960" spans="45:45">
      <c r="AS13960" s="47"/>
    </row>
    <row r="13961" spans="45:45">
      <c r="AS13961" s="47"/>
    </row>
    <row r="13962" spans="45:45">
      <c r="AS13962" s="47"/>
    </row>
    <row r="13963" spans="45:45">
      <c r="AS13963" s="47"/>
    </row>
    <row r="13964" spans="45:45">
      <c r="AS13964" s="47"/>
    </row>
    <row r="13965" spans="45:45">
      <c r="AS13965" s="47"/>
    </row>
    <row r="13966" spans="45:45">
      <c r="AS13966" s="47"/>
    </row>
    <row r="13967" spans="45:45">
      <c r="AS13967" s="47"/>
    </row>
    <row r="13968" spans="45:45">
      <c r="AS13968" s="47"/>
    </row>
    <row r="13969" spans="45:45">
      <c r="AS13969" s="47"/>
    </row>
    <row r="13970" spans="45:45">
      <c r="AS13970" s="47"/>
    </row>
    <row r="13971" spans="45:45">
      <c r="AS13971" s="47"/>
    </row>
    <row r="13972" spans="45:45">
      <c r="AS13972" s="47"/>
    </row>
    <row r="13973" spans="45:45">
      <c r="AS13973" s="47"/>
    </row>
    <row r="13974" spans="45:45">
      <c r="AS13974" s="47"/>
    </row>
    <row r="13975" spans="45:45">
      <c r="AS13975" s="47"/>
    </row>
    <row r="13976" spans="45:45">
      <c r="AS13976" s="47"/>
    </row>
    <row r="13977" spans="45:45">
      <c r="AS13977" s="47"/>
    </row>
    <row r="13978" spans="45:45">
      <c r="AS13978" s="47"/>
    </row>
    <row r="13979" spans="45:45">
      <c r="AS13979" s="47"/>
    </row>
    <row r="13980" spans="45:45">
      <c r="AS13980" s="47"/>
    </row>
    <row r="13981" spans="45:45">
      <c r="AS13981" s="47"/>
    </row>
    <row r="13982" spans="45:45">
      <c r="AS13982" s="47"/>
    </row>
    <row r="13983" spans="45:45">
      <c r="AS13983" s="47"/>
    </row>
    <row r="13984" spans="45:45">
      <c r="AS13984" s="47"/>
    </row>
    <row r="13985" spans="45:45">
      <c r="AS13985" s="47"/>
    </row>
    <row r="13986" spans="45:45">
      <c r="AS13986" s="47"/>
    </row>
    <row r="13987" spans="45:45">
      <c r="AS13987" s="47"/>
    </row>
    <row r="13988" spans="45:45">
      <c r="AS13988" s="47"/>
    </row>
    <row r="13989" spans="45:45">
      <c r="AS13989" s="47"/>
    </row>
    <row r="13990" spans="45:45">
      <c r="AS13990" s="47"/>
    </row>
    <row r="13991" spans="45:45">
      <c r="AS13991" s="47"/>
    </row>
    <row r="13992" spans="45:45">
      <c r="AS13992" s="47"/>
    </row>
    <row r="13993" spans="45:45">
      <c r="AS13993" s="47"/>
    </row>
    <row r="13994" spans="45:45">
      <c r="AS13994" s="47"/>
    </row>
    <row r="13995" spans="45:45">
      <c r="AS13995" s="47"/>
    </row>
    <row r="13996" spans="45:45">
      <c r="AS13996" s="47"/>
    </row>
    <row r="13997" spans="45:45">
      <c r="AS13997" s="47"/>
    </row>
    <row r="13998" spans="45:45">
      <c r="AS13998" s="47"/>
    </row>
    <row r="13999" spans="45:45">
      <c r="AS13999" s="47"/>
    </row>
    <row r="14000" spans="45:45">
      <c r="AS14000" s="47"/>
    </row>
    <row r="14001" spans="45:45">
      <c r="AS14001" s="47"/>
    </row>
    <row r="14002" spans="45:45">
      <c r="AS14002" s="47"/>
    </row>
    <row r="14003" spans="45:45">
      <c r="AS14003" s="47"/>
    </row>
    <row r="14004" spans="45:45">
      <c r="AS14004" s="47"/>
    </row>
    <row r="14005" spans="45:45">
      <c r="AS14005" s="47"/>
    </row>
    <row r="14006" spans="45:45">
      <c r="AS14006" s="47"/>
    </row>
    <row r="14007" spans="45:45">
      <c r="AS14007" s="47"/>
    </row>
    <row r="14008" spans="45:45">
      <c r="AS14008" s="47"/>
    </row>
    <row r="14009" spans="45:45">
      <c r="AS14009" s="47"/>
    </row>
    <row r="14010" spans="45:45">
      <c r="AS14010" s="47"/>
    </row>
    <row r="14011" spans="45:45">
      <c r="AS14011" s="47"/>
    </row>
    <row r="14012" spans="45:45">
      <c r="AS14012" s="47"/>
    </row>
    <row r="14013" spans="45:45">
      <c r="AS14013" s="47"/>
    </row>
    <row r="14014" spans="45:45">
      <c r="AS14014" s="47"/>
    </row>
    <row r="14015" spans="45:45">
      <c r="AS14015" s="47"/>
    </row>
    <row r="14016" spans="45:45">
      <c r="AS14016" s="47"/>
    </row>
    <row r="14017" spans="45:45">
      <c r="AS14017" s="47"/>
    </row>
    <row r="14018" spans="45:45">
      <c r="AS14018" s="47"/>
    </row>
    <row r="14019" spans="45:45">
      <c r="AS14019" s="47"/>
    </row>
    <row r="14020" spans="45:45">
      <c r="AS14020" s="47"/>
    </row>
    <row r="14021" spans="45:45">
      <c r="AS14021" s="47"/>
    </row>
    <row r="14022" spans="45:45">
      <c r="AS14022" s="47"/>
    </row>
    <row r="14023" spans="45:45">
      <c r="AS14023" s="47"/>
    </row>
    <row r="14024" spans="45:45">
      <c r="AS14024" s="47"/>
    </row>
    <row r="14025" spans="45:45">
      <c r="AS14025" s="47"/>
    </row>
    <row r="14026" spans="45:45">
      <c r="AS14026" s="47"/>
    </row>
    <row r="14027" spans="45:45">
      <c r="AS14027" s="47"/>
    </row>
    <row r="14028" spans="45:45">
      <c r="AS14028" s="47"/>
    </row>
    <row r="14029" spans="45:45">
      <c r="AS14029" s="47"/>
    </row>
    <row r="14030" spans="45:45">
      <c r="AS14030" s="47"/>
    </row>
    <row r="14031" spans="45:45">
      <c r="AS14031" s="47"/>
    </row>
    <row r="14032" spans="45:45">
      <c r="AS14032" s="47"/>
    </row>
    <row r="14033" spans="45:45">
      <c r="AS14033" s="47"/>
    </row>
    <row r="14034" spans="45:45">
      <c r="AS14034" s="47"/>
    </row>
    <row r="14035" spans="45:45">
      <c r="AS14035" s="47"/>
    </row>
    <row r="14036" spans="45:45">
      <c r="AS14036" s="47"/>
    </row>
    <row r="14037" spans="45:45">
      <c r="AS14037" s="47"/>
    </row>
    <row r="14038" spans="45:45">
      <c r="AS14038" s="47"/>
    </row>
    <row r="14039" spans="45:45">
      <c r="AS14039" s="47"/>
    </row>
    <row r="14040" spans="45:45">
      <c r="AS14040" s="47"/>
    </row>
    <row r="14041" spans="45:45">
      <c r="AS14041" s="47"/>
    </row>
    <row r="14042" spans="45:45">
      <c r="AS14042" s="47"/>
    </row>
    <row r="14043" spans="45:45">
      <c r="AS14043" s="47"/>
    </row>
    <row r="14044" spans="45:45">
      <c r="AS14044" s="47"/>
    </row>
    <row r="14045" spans="45:45">
      <c r="AS14045" s="47"/>
    </row>
    <row r="14046" spans="45:45">
      <c r="AS14046" s="47"/>
    </row>
    <row r="14047" spans="45:45">
      <c r="AS14047" s="47"/>
    </row>
    <row r="14048" spans="45:45">
      <c r="AS14048" s="47"/>
    </row>
    <row r="14049" spans="45:45">
      <c r="AS14049" s="47"/>
    </row>
    <row r="14050" spans="45:45">
      <c r="AS14050" s="47"/>
    </row>
    <row r="14051" spans="45:45">
      <c r="AS14051" s="47"/>
    </row>
    <row r="14052" spans="45:45">
      <c r="AS14052" s="47"/>
    </row>
    <row r="14053" spans="45:45">
      <c r="AS14053" s="47"/>
    </row>
    <row r="14054" spans="45:45">
      <c r="AS14054" s="47"/>
    </row>
    <row r="14055" spans="45:45">
      <c r="AS14055" s="47"/>
    </row>
    <row r="14056" spans="45:45">
      <c r="AS14056" s="47"/>
    </row>
    <row r="14057" spans="45:45">
      <c r="AS14057" s="47"/>
    </row>
    <row r="14058" spans="45:45">
      <c r="AS14058" s="47"/>
    </row>
    <row r="14059" spans="45:45">
      <c r="AS14059" s="47"/>
    </row>
    <row r="14060" spans="45:45">
      <c r="AS14060" s="47"/>
    </row>
    <row r="14061" spans="45:45">
      <c r="AS14061" s="47"/>
    </row>
    <row r="14062" spans="45:45">
      <c r="AS14062" s="47"/>
    </row>
    <row r="14063" spans="45:45">
      <c r="AS14063" s="47"/>
    </row>
    <row r="14064" spans="45:45">
      <c r="AS14064" s="47"/>
    </row>
    <row r="14065" spans="45:45">
      <c r="AS14065" s="47"/>
    </row>
    <row r="14066" spans="45:45">
      <c r="AS14066" s="47"/>
    </row>
    <row r="14067" spans="45:45">
      <c r="AS14067" s="47"/>
    </row>
    <row r="14068" spans="45:45">
      <c r="AS14068" s="47"/>
    </row>
    <row r="14069" spans="45:45">
      <c r="AS14069" s="47"/>
    </row>
    <row r="14070" spans="45:45">
      <c r="AS14070" s="47"/>
    </row>
    <row r="14071" spans="45:45">
      <c r="AS14071" s="47"/>
    </row>
    <row r="14072" spans="45:45">
      <c r="AS14072" s="47"/>
    </row>
    <row r="14073" spans="45:45">
      <c r="AS14073" s="47"/>
    </row>
    <row r="14074" spans="45:45">
      <c r="AS14074" s="47"/>
    </row>
    <row r="14075" spans="45:45">
      <c r="AS14075" s="47"/>
    </row>
    <row r="14076" spans="45:45">
      <c r="AS14076" s="47"/>
    </row>
    <row r="14077" spans="45:45">
      <c r="AS14077" s="47"/>
    </row>
    <row r="14078" spans="45:45">
      <c r="AS14078" s="47"/>
    </row>
    <row r="14079" spans="45:45">
      <c r="AS14079" s="47"/>
    </row>
    <row r="14080" spans="45:45">
      <c r="AS14080" s="47"/>
    </row>
    <row r="14081" spans="45:45">
      <c r="AS14081" s="47"/>
    </row>
    <row r="14082" spans="45:45">
      <c r="AS14082" s="47"/>
    </row>
    <row r="14083" spans="45:45">
      <c r="AS14083" s="47"/>
    </row>
    <row r="14084" spans="45:45">
      <c r="AS14084" s="47"/>
    </row>
    <row r="14085" spans="45:45">
      <c r="AS14085" s="47"/>
    </row>
    <row r="14086" spans="45:45">
      <c r="AS14086" s="47"/>
    </row>
    <row r="14087" spans="45:45">
      <c r="AS14087" s="47"/>
    </row>
    <row r="14088" spans="45:45">
      <c r="AS14088" s="47"/>
    </row>
    <row r="14089" spans="45:45">
      <c r="AS14089" s="47"/>
    </row>
    <row r="14090" spans="45:45">
      <c r="AS14090" s="47"/>
    </row>
    <row r="14091" spans="45:45">
      <c r="AS14091" s="47"/>
    </row>
    <row r="14092" spans="45:45">
      <c r="AS14092" s="47"/>
    </row>
    <row r="14093" spans="45:45">
      <c r="AS14093" s="47"/>
    </row>
    <row r="14094" spans="45:45">
      <c r="AS14094" s="47"/>
    </row>
    <row r="14095" spans="45:45">
      <c r="AS14095" s="47"/>
    </row>
    <row r="14096" spans="45:45">
      <c r="AS14096" s="47"/>
    </row>
    <row r="14097" spans="45:45">
      <c r="AS14097" s="47"/>
    </row>
    <row r="14098" spans="45:45">
      <c r="AS14098" s="47"/>
    </row>
    <row r="14099" spans="45:45">
      <c r="AS14099" s="47"/>
    </row>
    <row r="14100" spans="45:45">
      <c r="AS14100" s="47"/>
    </row>
    <row r="14101" spans="45:45">
      <c r="AS14101" s="47"/>
    </row>
    <row r="14102" spans="45:45">
      <c r="AS14102" s="47"/>
    </row>
    <row r="14103" spans="45:45">
      <c r="AS14103" s="47"/>
    </row>
    <row r="14104" spans="45:45">
      <c r="AS14104" s="47"/>
    </row>
    <row r="14105" spans="45:45">
      <c r="AS14105" s="47"/>
    </row>
    <row r="14106" spans="45:45">
      <c r="AS14106" s="47"/>
    </row>
    <row r="14107" spans="45:45">
      <c r="AS14107" s="47"/>
    </row>
    <row r="14108" spans="45:45">
      <c r="AS14108" s="47"/>
    </row>
    <row r="14109" spans="45:45">
      <c r="AS14109" s="47"/>
    </row>
    <row r="14110" spans="45:45">
      <c r="AS14110" s="47"/>
    </row>
    <row r="14111" spans="45:45">
      <c r="AS14111" s="47"/>
    </row>
    <row r="14112" spans="45:45">
      <c r="AS14112" s="47"/>
    </row>
    <row r="14113" spans="45:45">
      <c r="AS14113" s="47"/>
    </row>
    <row r="14114" spans="45:45">
      <c r="AS14114" s="47"/>
    </row>
    <row r="14115" spans="45:45">
      <c r="AS14115" s="47"/>
    </row>
    <row r="14116" spans="45:45">
      <c r="AS14116" s="47"/>
    </row>
    <row r="14117" spans="45:45">
      <c r="AS14117" s="47"/>
    </row>
    <row r="14118" spans="45:45">
      <c r="AS14118" s="47"/>
    </row>
    <row r="14119" spans="45:45">
      <c r="AS14119" s="47"/>
    </row>
    <row r="14120" spans="45:45">
      <c r="AS14120" s="47"/>
    </row>
    <row r="14121" spans="45:45">
      <c r="AS14121" s="47"/>
    </row>
    <row r="14122" spans="45:45">
      <c r="AS14122" s="47"/>
    </row>
    <row r="14123" spans="45:45">
      <c r="AS14123" s="47"/>
    </row>
    <row r="14124" spans="45:45">
      <c r="AS14124" s="47"/>
    </row>
    <row r="14125" spans="45:45">
      <c r="AS14125" s="47"/>
    </row>
    <row r="14126" spans="45:45">
      <c r="AS14126" s="47"/>
    </row>
    <row r="14127" spans="45:45">
      <c r="AS14127" s="47"/>
    </row>
    <row r="14128" spans="45:45">
      <c r="AS14128" s="47"/>
    </row>
    <row r="14129" spans="45:45">
      <c r="AS14129" s="47"/>
    </row>
    <row r="14130" spans="45:45">
      <c r="AS14130" s="47"/>
    </row>
    <row r="14131" spans="45:45">
      <c r="AS14131" s="47"/>
    </row>
    <row r="14132" spans="45:45">
      <c r="AS14132" s="47"/>
    </row>
    <row r="14133" spans="45:45">
      <c r="AS14133" s="47"/>
    </row>
    <row r="14134" spans="45:45">
      <c r="AS14134" s="47"/>
    </row>
    <row r="14135" spans="45:45">
      <c r="AS14135" s="47"/>
    </row>
    <row r="14136" spans="45:45">
      <c r="AS14136" s="47"/>
    </row>
    <row r="14137" spans="45:45">
      <c r="AS14137" s="47"/>
    </row>
    <row r="14138" spans="45:45">
      <c r="AS14138" s="47"/>
    </row>
    <row r="14139" spans="45:45">
      <c r="AS14139" s="47"/>
    </row>
    <row r="14140" spans="45:45">
      <c r="AS14140" s="47"/>
    </row>
    <row r="14141" spans="45:45">
      <c r="AS14141" s="47"/>
    </row>
    <row r="14142" spans="45:45">
      <c r="AS14142" s="47"/>
    </row>
    <row r="14143" spans="45:45">
      <c r="AS14143" s="47"/>
    </row>
    <row r="14144" spans="45:45">
      <c r="AS14144" s="47"/>
    </row>
    <row r="14145" spans="45:45">
      <c r="AS14145" s="47"/>
    </row>
    <row r="14146" spans="45:45">
      <c r="AS14146" s="47"/>
    </row>
    <row r="14147" spans="45:45">
      <c r="AS14147" s="47"/>
    </row>
    <row r="14148" spans="45:45">
      <c r="AS14148" s="47"/>
    </row>
    <row r="14149" spans="45:45">
      <c r="AS14149" s="47"/>
    </row>
    <row r="14150" spans="45:45">
      <c r="AS14150" s="47"/>
    </row>
    <row r="14151" spans="45:45">
      <c r="AS14151" s="47"/>
    </row>
    <row r="14152" spans="45:45">
      <c r="AS14152" s="47"/>
    </row>
    <row r="14153" spans="45:45">
      <c r="AS14153" s="47"/>
    </row>
    <row r="14154" spans="45:45">
      <c r="AS14154" s="47"/>
    </row>
    <row r="14155" spans="45:45">
      <c r="AS14155" s="47"/>
    </row>
    <row r="14156" spans="45:45">
      <c r="AS14156" s="47"/>
    </row>
    <row r="14157" spans="45:45">
      <c r="AS14157" s="47"/>
    </row>
    <row r="14158" spans="45:45">
      <c r="AS14158" s="47"/>
    </row>
    <row r="14159" spans="45:45">
      <c r="AS14159" s="47"/>
    </row>
    <row r="14160" spans="45:45">
      <c r="AS14160" s="47"/>
    </row>
    <row r="14161" spans="45:45">
      <c r="AS14161" s="47"/>
    </row>
    <row r="14162" spans="45:45">
      <c r="AS14162" s="47"/>
    </row>
    <row r="14163" spans="45:45">
      <c r="AS14163" s="47"/>
    </row>
    <row r="14164" spans="45:45">
      <c r="AS14164" s="47"/>
    </row>
    <row r="14165" spans="45:45">
      <c r="AS14165" s="47"/>
    </row>
    <row r="14166" spans="45:45">
      <c r="AS14166" s="47"/>
    </row>
    <row r="14167" spans="45:45">
      <c r="AS14167" s="47"/>
    </row>
    <row r="14168" spans="45:45">
      <c r="AS14168" s="47"/>
    </row>
    <row r="14169" spans="45:45">
      <c r="AS14169" s="47"/>
    </row>
    <row r="14170" spans="45:45">
      <c r="AS14170" s="47"/>
    </row>
    <row r="14171" spans="45:45">
      <c r="AS14171" s="47"/>
    </row>
    <row r="14172" spans="45:45">
      <c r="AS14172" s="47"/>
    </row>
    <row r="14173" spans="45:45">
      <c r="AS14173" s="47"/>
    </row>
    <row r="14174" spans="45:45">
      <c r="AS14174" s="47"/>
    </row>
    <row r="14175" spans="45:45">
      <c r="AS14175" s="47"/>
    </row>
    <row r="14176" spans="45:45">
      <c r="AS14176" s="47"/>
    </row>
    <row r="14177" spans="45:45">
      <c r="AS14177" s="47"/>
    </row>
    <row r="14178" spans="45:45">
      <c r="AS14178" s="47"/>
    </row>
    <row r="14179" spans="45:45">
      <c r="AS14179" s="47"/>
    </row>
    <row r="14180" spans="45:45">
      <c r="AS14180" s="47"/>
    </row>
    <row r="14181" spans="45:45">
      <c r="AS14181" s="47"/>
    </row>
    <row r="14182" spans="45:45">
      <c r="AS14182" s="47"/>
    </row>
    <row r="14183" spans="45:45">
      <c r="AS14183" s="47"/>
    </row>
    <row r="14184" spans="45:45">
      <c r="AS14184" s="47"/>
    </row>
    <row r="14185" spans="45:45">
      <c r="AS14185" s="47"/>
    </row>
    <row r="14186" spans="45:45">
      <c r="AS14186" s="47"/>
    </row>
    <row r="14187" spans="45:45">
      <c r="AS14187" s="47"/>
    </row>
    <row r="14188" spans="45:45">
      <c r="AS14188" s="47"/>
    </row>
    <row r="14189" spans="45:45">
      <c r="AS14189" s="47"/>
    </row>
    <row r="14190" spans="45:45">
      <c r="AS14190" s="47"/>
    </row>
    <row r="14191" spans="45:45">
      <c r="AS14191" s="47"/>
    </row>
    <row r="14192" spans="45:45">
      <c r="AS14192" s="47"/>
    </row>
    <row r="14193" spans="45:45">
      <c r="AS14193" s="47"/>
    </row>
    <row r="14194" spans="45:45">
      <c r="AS14194" s="47"/>
    </row>
    <row r="14195" spans="45:45">
      <c r="AS14195" s="47"/>
    </row>
    <row r="14196" spans="45:45">
      <c r="AS14196" s="47"/>
    </row>
    <row r="14197" spans="45:45">
      <c r="AS14197" s="47"/>
    </row>
    <row r="14198" spans="45:45">
      <c r="AS14198" s="47"/>
    </row>
    <row r="14199" spans="45:45">
      <c r="AS14199" s="47"/>
    </row>
    <row r="14200" spans="45:45">
      <c r="AS14200" s="47"/>
    </row>
    <row r="14201" spans="45:45">
      <c r="AS14201" s="47"/>
    </row>
    <row r="14202" spans="45:45">
      <c r="AS14202" s="47"/>
    </row>
    <row r="14203" spans="45:45">
      <c r="AS14203" s="47"/>
    </row>
    <row r="14204" spans="45:45">
      <c r="AS14204" s="47"/>
    </row>
    <row r="14205" spans="45:45">
      <c r="AS14205" s="47"/>
    </row>
    <row r="14206" spans="45:45">
      <c r="AS14206" s="47"/>
    </row>
    <row r="14207" spans="45:45">
      <c r="AS14207" s="47"/>
    </row>
    <row r="14208" spans="45:45">
      <c r="AS14208" s="47"/>
    </row>
    <row r="14209" spans="45:45">
      <c r="AS14209" s="47"/>
    </row>
    <row r="14210" spans="45:45">
      <c r="AS14210" s="47"/>
    </row>
    <row r="14211" spans="45:45">
      <c r="AS14211" s="47"/>
    </row>
    <row r="14212" spans="45:45">
      <c r="AS14212" s="47"/>
    </row>
    <row r="14213" spans="45:45">
      <c r="AS14213" s="47"/>
    </row>
    <row r="14214" spans="45:45">
      <c r="AS14214" s="47"/>
    </row>
    <row r="14215" spans="45:45">
      <c r="AS14215" s="47"/>
    </row>
    <row r="14216" spans="45:45">
      <c r="AS14216" s="47"/>
    </row>
    <row r="14217" spans="45:45">
      <c r="AS14217" s="47"/>
    </row>
    <row r="14218" spans="45:45">
      <c r="AS14218" s="47"/>
    </row>
    <row r="14219" spans="45:45">
      <c r="AS14219" s="47"/>
    </row>
    <row r="14220" spans="45:45">
      <c r="AS14220" s="47"/>
    </row>
    <row r="14221" spans="45:45">
      <c r="AS14221" s="47"/>
    </row>
    <row r="14222" spans="45:45">
      <c r="AS14222" s="47"/>
    </row>
    <row r="14223" spans="45:45">
      <c r="AS14223" s="47"/>
    </row>
    <row r="14224" spans="45:45">
      <c r="AS14224" s="47"/>
    </row>
    <row r="14225" spans="45:45">
      <c r="AS14225" s="47"/>
    </row>
    <row r="14226" spans="45:45">
      <c r="AS14226" s="47"/>
    </row>
    <row r="14227" spans="45:45">
      <c r="AS14227" s="47"/>
    </row>
    <row r="14228" spans="45:45">
      <c r="AS14228" s="47"/>
    </row>
    <row r="14229" spans="45:45">
      <c r="AS14229" s="47"/>
    </row>
    <row r="14230" spans="45:45">
      <c r="AS14230" s="47"/>
    </row>
    <row r="14231" spans="45:45">
      <c r="AS14231" s="47"/>
    </row>
    <row r="14232" spans="45:45">
      <c r="AS14232" s="47"/>
    </row>
    <row r="14233" spans="45:45">
      <c r="AS14233" s="47"/>
    </row>
    <row r="14234" spans="45:45">
      <c r="AS14234" s="47"/>
    </row>
    <row r="14235" spans="45:45">
      <c r="AS14235" s="47"/>
    </row>
    <row r="14236" spans="45:45">
      <c r="AS14236" s="47"/>
    </row>
    <row r="14237" spans="45:45">
      <c r="AS14237" s="47"/>
    </row>
    <row r="14238" spans="45:45">
      <c r="AS14238" s="47"/>
    </row>
    <row r="14239" spans="45:45">
      <c r="AS14239" s="47"/>
    </row>
    <row r="14240" spans="45:45">
      <c r="AS14240" s="47"/>
    </row>
    <row r="14241" spans="45:45">
      <c r="AS14241" s="47"/>
    </row>
    <row r="14242" spans="45:45">
      <c r="AS14242" s="47"/>
    </row>
    <row r="14243" spans="45:45">
      <c r="AS14243" s="47"/>
    </row>
    <row r="14244" spans="45:45">
      <c r="AS14244" s="47"/>
    </row>
    <row r="14245" spans="45:45">
      <c r="AS14245" s="47"/>
    </row>
    <row r="14246" spans="45:45">
      <c r="AS14246" s="47"/>
    </row>
    <row r="14247" spans="45:45">
      <c r="AS14247" s="47"/>
    </row>
    <row r="14248" spans="45:45">
      <c r="AS14248" s="47"/>
    </row>
    <row r="14249" spans="45:45">
      <c r="AS14249" s="47"/>
    </row>
    <row r="14250" spans="45:45">
      <c r="AS14250" s="47"/>
    </row>
    <row r="14251" spans="45:45">
      <c r="AS14251" s="47"/>
    </row>
    <row r="14252" spans="45:45">
      <c r="AS14252" s="47"/>
    </row>
    <row r="14253" spans="45:45">
      <c r="AS14253" s="47"/>
    </row>
    <row r="14254" spans="45:45">
      <c r="AS14254" s="47"/>
    </row>
    <row r="14255" spans="45:45">
      <c r="AS14255" s="47"/>
    </row>
    <row r="14256" spans="45:45">
      <c r="AS14256" s="47"/>
    </row>
    <row r="14257" spans="45:45">
      <c r="AS14257" s="47"/>
    </row>
    <row r="14258" spans="45:45">
      <c r="AS14258" s="47"/>
    </row>
    <row r="14259" spans="45:45">
      <c r="AS14259" s="47"/>
    </row>
    <row r="14260" spans="45:45">
      <c r="AS14260" s="47"/>
    </row>
    <row r="14261" spans="45:45">
      <c r="AS14261" s="47"/>
    </row>
    <row r="14262" spans="45:45">
      <c r="AS14262" s="47"/>
    </row>
    <row r="14263" spans="45:45">
      <c r="AS14263" s="47"/>
    </row>
    <row r="14264" spans="45:45">
      <c r="AS14264" s="47"/>
    </row>
    <row r="14265" spans="45:45">
      <c r="AS14265" s="47"/>
    </row>
    <row r="14266" spans="45:45">
      <c r="AS14266" s="47"/>
    </row>
    <row r="14267" spans="45:45">
      <c r="AS14267" s="47"/>
    </row>
    <row r="14268" spans="45:45">
      <c r="AS14268" s="47"/>
    </row>
    <row r="14269" spans="45:45">
      <c r="AS14269" s="47"/>
    </row>
    <row r="14270" spans="45:45">
      <c r="AS14270" s="47"/>
    </row>
    <row r="14271" spans="45:45">
      <c r="AS14271" s="47"/>
    </row>
    <row r="14272" spans="45:45">
      <c r="AS14272" s="47"/>
    </row>
    <row r="14273" spans="45:45">
      <c r="AS14273" s="47"/>
    </row>
    <row r="14274" spans="45:45">
      <c r="AS14274" s="47"/>
    </row>
    <row r="14275" spans="45:45">
      <c r="AS14275" s="47"/>
    </row>
    <row r="14276" spans="45:45">
      <c r="AS14276" s="47"/>
    </row>
    <row r="14277" spans="45:45">
      <c r="AS14277" s="47"/>
    </row>
    <row r="14278" spans="45:45">
      <c r="AS14278" s="47"/>
    </row>
    <row r="14279" spans="45:45">
      <c r="AS14279" s="47"/>
    </row>
    <row r="14280" spans="45:45">
      <c r="AS14280" s="47"/>
    </row>
    <row r="14281" spans="45:45">
      <c r="AS14281" s="47"/>
    </row>
    <row r="14282" spans="45:45">
      <c r="AS14282" s="47"/>
    </row>
    <row r="14283" spans="45:45">
      <c r="AS14283" s="47"/>
    </row>
    <row r="14284" spans="45:45">
      <c r="AS14284" s="47"/>
    </row>
    <row r="14285" spans="45:45">
      <c r="AS14285" s="47"/>
    </row>
    <row r="14286" spans="45:45">
      <c r="AS14286" s="47"/>
    </row>
    <row r="14287" spans="45:45">
      <c r="AS14287" s="47"/>
    </row>
    <row r="14288" spans="45:45">
      <c r="AS14288" s="47"/>
    </row>
    <row r="14289" spans="45:45">
      <c r="AS14289" s="47"/>
    </row>
    <row r="14290" spans="45:45">
      <c r="AS14290" s="47"/>
    </row>
    <row r="14291" spans="45:45">
      <c r="AS14291" s="47"/>
    </row>
    <row r="14292" spans="45:45">
      <c r="AS14292" s="47"/>
    </row>
    <row r="14293" spans="45:45">
      <c r="AS14293" s="47"/>
    </row>
    <row r="14294" spans="45:45">
      <c r="AS14294" s="47"/>
    </row>
    <row r="14295" spans="45:45">
      <c r="AS14295" s="47"/>
    </row>
    <row r="14296" spans="45:45">
      <c r="AS14296" s="47"/>
    </row>
    <row r="14297" spans="45:45">
      <c r="AS14297" s="47"/>
    </row>
    <row r="14298" spans="45:45">
      <c r="AS14298" s="47"/>
    </row>
    <row r="14299" spans="45:45">
      <c r="AS14299" s="47"/>
    </row>
    <row r="14300" spans="45:45">
      <c r="AS14300" s="47"/>
    </row>
    <row r="14301" spans="45:45">
      <c r="AS14301" s="47"/>
    </row>
    <row r="14302" spans="45:45">
      <c r="AS14302" s="47"/>
    </row>
    <row r="14303" spans="45:45">
      <c r="AS14303" s="47"/>
    </row>
    <row r="14304" spans="45:45">
      <c r="AS14304" s="47"/>
    </row>
    <row r="14305" spans="45:45">
      <c r="AS14305" s="47"/>
    </row>
    <row r="14306" spans="45:45">
      <c r="AS14306" s="47"/>
    </row>
    <row r="14307" spans="45:45">
      <c r="AS14307" s="47"/>
    </row>
    <row r="14308" spans="45:45">
      <c r="AS14308" s="47"/>
    </row>
    <row r="14309" spans="45:45">
      <c r="AS14309" s="47"/>
    </row>
    <row r="14310" spans="45:45">
      <c r="AS14310" s="47"/>
    </row>
    <row r="14311" spans="45:45">
      <c r="AS14311" s="47"/>
    </row>
    <row r="14312" spans="45:45">
      <c r="AS14312" s="47"/>
    </row>
    <row r="14313" spans="45:45">
      <c r="AS14313" s="47"/>
    </row>
    <row r="14314" spans="45:45">
      <c r="AS14314" s="47"/>
    </row>
    <row r="14315" spans="45:45">
      <c r="AS14315" s="47"/>
    </row>
    <row r="14316" spans="45:45">
      <c r="AS14316" s="47"/>
    </row>
    <row r="14317" spans="45:45">
      <c r="AS14317" s="47"/>
    </row>
    <row r="14318" spans="45:45">
      <c r="AS14318" s="47"/>
    </row>
    <row r="14319" spans="45:45">
      <c r="AS14319" s="47"/>
    </row>
    <row r="14320" spans="45:45">
      <c r="AS14320" s="47"/>
    </row>
    <row r="14321" spans="45:45">
      <c r="AS14321" s="47"/>
    </row>
    <row r="14322" spans="45:45">
      <c r="AS14322" s="47"/>
    </row>
    <row r="14323" spans="45:45">
      <c r="AS14323" s="47"/>
    </row>
    <row r="14324" spans="45:45">
      <c r="AS14324" s="47"/>
    </row>
    <row r="14325" spans="45:45">
      <c r="AS14325" s="47"/>
    </row>
    <row r="14326" spans="45:45">
      <c r="AS14326" s="47"/>
    </row>
    <row r="14327" spans="45:45">
      <c r="AS14327" s="47"/>
    </row>
    <row r="14328" spans="45:45">
      <c r="AS14328" s="47"/>
    </row>
    <row r="14329" spans="45:45">
      <c r="AS14329" s="47"/>
    </row>
    <row r="14330" spans="45:45">
      <c r="AS14330" s="47"/>
    </row>
    <row r="14331" spans="45:45">
      <c r="AS14331" s="47"/>
    </row>
    <row r="14332" spans="45:45">
      <c r="AS14332" s="47"/>
    </row>
    <row r="14333" spans="45:45">
      <c r="AS14333" s="47"/>
    </row>
    <row r="14334" spans="45:45">
      <c r="AS14334" s="47"/>
    </row>
    <row r="14335" spans="45:45">
      <c r="AS14335" s="47"/>
    </row>
    <row r="14336" spans="45:45">
      <c r="AS14336" s="47"/>
    </row>
    <row r="14337" spans="45:45">
      <c r="AS14337" s="47"/>
    </row>
    <row r="14338" spans="45:45">
      <c r="AS14338" s="47"/>
    </row>
    <row r="14339" spans="45:45">
      <c r="AS14339" s="47"/>
    </row>
    <row r="14340" spans="45:45">
      <c r="AS14340" s="47"/>
    </row>
    <row r="14341" spans="45:45">
      <c r="AS14341" s="47"/>
    </row>
    <row r="14342" spans="45:45">
      <c r="AS14342" s="47"/>
    </row>
    <row r="14343" spans="45:45">
      <c r="AS14343" s="47"/>
    </row>
    <row r="14344" spans="45:45">
      <c r="AS14344" s="47"/>
    </row>
    <row r="14345" spans="45:45">
      <c r="AS14345" s="47"/>
    </row>
    <row r="14346" spans="45:45">
      <c r="AS14346" s="47"/>
    </row>
    <row r="14347" spans="45:45">
      <c r="AS14347" s="47"/>
    </row>
    <row r="14348" spans="45:45">
      <c r="AS14348" s="47"/>
    </row>
    <row r="14349" spans="45:45">
      <c r="AS14349" s="47"/>
    </row>
    <row r="14350" spans="45:45">
      <c r="AS14350" s="47"/>
    </row>
    <row r="14351" spans="45:45">
      <c r="AS14351" s="47"/>
    </row>
    <row r="14352" spans="45:45">
      <c r="AS14352" s="47"/>
    </row>
    <row r="14353" spans="45:45">
      <c r="AS14353" s="47"/>
    </row>
    <row r="14354" spans="45:45">
      <c r="AS14354" s="47"/>
    </row>
    <row r="14355" spans="45:45">
      <c r="AS14355" s="47"/>
    </row>
    <row r="14356" spans="45:45">
      <c r="AS14356" s="47"/>
    </row>
    <row r="14357" spans="45:45">
      <c r="AS14357" s="47"/>
    </row>
    <row r="14358" spans="45:45">
      <c r="AS14358" s="47"/>
    </row>
    <row r="14359" spans="45:45">
      <c r="AS14359" s="47"/>
    </row>
    <row r="14360" spans="45:45">
      <c r="AS14360" s="47"/>
    </row>
    <row r="14361" spans="45:45">
      <c r="AS14361" s="47"/>
    </row>
    <row r="14362" spans="45:45">
      <c r="AS14362" s="47"/>
    </row>
    <row r="14363" spans="45:45">
      <c r="AS14363" s="47"/>
    </row>
    <row r="14364" spans="45:45">
      <c r="AS14364" s="47"/>
    </row>
    <row r="14365" spans="45:45">
      <c r="AS14365" s="47"/>
    </row>
    <row r="14366" spans="45:45">
      <c r="AS14366" s="47"/>
    </row>
    <row r="14367" spans="45:45">
      <c r="AS14367" s="47"/>
    </row>
    <row r="14368" spans="45:45">
      <c r="AS14368" s="47"/>
    </row>
    <row r="14369" spans="45:45">
      <c r="AS14369" s="47"/>
    </row>
    <row r="14370" spans="45:45">
      <c r="AS14370" s="47"/>
    </row>
    <row r="14371" spans="45:45">
      <c r="AS14371" s="47"/>
    </row>
    <row r="14372" spans="45:45">
      <c r="AS14372" s="47"/>
    </row>
    <row r="14373" spans="45:45">
      <c r="AS14373" s="47"/>
    </row>
    <row r="14374" spans="45:45">
      <c r="AS14374" s="47"/>
    </row>
    <row r="14375" spans="45:45">
      <c r="AS14375" s="47"/>
    </row>
    <row r="14376" spans="45:45">
      <c r="AS14376" s="47"/>
    </row>
    <row r="14377" spans="45:45">
      <c r="AS14377" s="47"/>
    </row>
    <row r="14378" spans="45:45">
      <c r="AS14378" s="47"/>
    </row>
    <row r="14379" spans="45:45">
      <c r="AS14379" s="47"/>
    </row>
    <row r="14380" spans="45:45">
      <c r="AS14380" s="47"/>
    </row>
    <row r="14381" spans="45:45">
      <c r="AS14381" s="47"/>
    </row>
    <row r="14382" spans="45:45">
      <c r="AS14382" s="47"/>
    </row>
    <row r="14383" spans="45:45">
      <c r="AS14383" s="47"/>
    </row>
    <row r="14384" spans="45:45">
      <c r="AS14384" s="47"/>
    </row>
    <row r="14385" spans="45:45">
      <c r="AS14385" s="47"/>
    </row>
    <row r="14386" spans="45:45">
      <c r="AS14386" s="47"/>
    </row>
    <row r="14387" spans="45:45">
      <c r="AS14387" s="47"/>
    </row>
    <row r="14388" spans="45:45">
      <c r="AS14388" s="47"/>
    </row>
    <row r="14389" spans="45:45">
      <c r="AS14389" s="47"/>
    </row>
    <row r="14390" spans="45:45">
      <c r="AS14390" s="47"/>
    </row>
    <row r="14391" spans="45:45">
      <c r="AS14391" s="47"/>
    </row>
    <row r="14392" spans="45:45">
      <c r="AS14392" s="47"/>
    </row>
    <row r="14393" spans="45:45">
      <c r="AS14393" s="47"/>
    </row>
    <row r="14394" spans="45:45">
      <c r="AS14394" s="47"/>
    </row>
    <row r="14395" spans="45:45">
      <c r="AS14395" s="47"/>
    </row>
    <row r="14396" spans="45:45">
      <c r="AS14396" s="47"/>
    </row>
    <row r="14397" spans="45:45">
      <c r="AS14397" s="47"/>
    </row>
    <row r="14398" spans="45:45">
      <c r="AS14398" s="47"/>
    </row>
    <row r="14399" spans="45:45">
      <c r="AS14399" s="47"/>
    </row>
    <row r="14400" spans="45:45">
      <c r="AS14400" s="47"/>
    </row>
    <row r="14401" spans="45:45">
      <c r="AS14401" s="47"/>
    </row>
    <row r="14402" spans="45:45">
      <c r="AS14402" s="47"/>
    </row>
    <row r="14403" spans="45:45">
      <c r="AS14403" s="47"/>
    </row>
    <row r="14404" spans="45:45">
      <c r="AS14404" s="47"/>
    </row>
    <row r="14405" spans="45:45">
      <c r="AS14405" s="47"/>
    </row>
    <row r="14406" spans="45:45">
      <c r="AS14406" s="47"/>
    </row>
    <row r="14407" spans="45:45">
      <c r="AS14407" s="47"/>
    </row>
    <row r="14408" spans="45:45">
      <c r="AS14408" s="47"/>
    </row>
    <row r="14409" spans="45:45">
      <c r="AS14409" s="47"/>
    </row>
    <row r="14410" spans="45:45">
      <c r="AS14410" s="47"/>
    </row>
    <row r="14411" spans="45:45">
      <c r="AS14411" s="47"/>
    </row>
    <row r="14412" spans="45:45">
      <c r="AS14412" s="47"/>
    </row>
    <row r="14413" spans="45:45">
      <c r="AS14413" s="47"/>
    </row>
    <row r="14414" spans="45:45">
      <c r="AS14414" s="47"/>
    </row>
    <row r="14415" spans="45:45">
      <c r="AS14415" s="47"/>
    </row>
    <row r="14416" spans="45:45">
      <c r="AS14416" s="47"/>
    </row>
    <row r="14417" spans="45:45">
      <c r="AS14417" s="47"/>
    </row>
    <row r="14418" spans="45:45">
      <c r="AS14418" s="47"/>
    </row>
    <row r="14419" spans="45:45">
      <c r="AS14419" s="47"/>
    </row>
    <row r="14420" spans="45:45">
      <c r="AS14420" s="47"/>
    </row>
    <row r="14421" spans="45:45">
      <c r="AS14421" s="47"/>
    </row>
    <row r="14422" spans="45:45">
      <c r="AS14422" s="47"/>
    </row>
    <row r="14423" spans="45:45">
      <c r="AS14423" s="47"/>
    </row>
    <row r="14424" spans="45:45">
      <c r="AS14424" s="47"/>
    </row>
    <row r="14425" spans="45:45">
      <c r="AS14425" s="47"/>
    </row>
    <row r="14426" spans="45:45">
      <c r="AS14426" s="47"/>
    </row>
    <row r="14427" spans="45:45">
      <c r="AS14427" s="47"/>
    </row>
    <row r="14428" spans="45:45">
      <c r="AS14428" s="47"/>
    </row>
    <row r="14429" spans="45:45">
      <c r="AS14429" s="47"/>
    </row>
    <row r="14430" spans="45:45">
      <c r="AS14430" s="47"/>
    </row>
    <row r="14431" spans="45:45">
      <c r="AS14431" s="47"/>
    </row>
    <row r="14432" spans="45:45">
      <c r="AS14432" s="47"/>
    </row>
    <row r="14433" spans="45:45">
      <c r="AS14433" s="47"/>
    </row>
    <row r="14434" spans="45:45">
      <c r="AS14434" s="47"/>
    </row>
    <row r="14435" spans="45:45">
      <c r="AS14435" s="47"/>
    </row>
    <row r="14436" spans="45:45">
      <c r="AS14436" s="47"/>
    </row>
    <row r="14437" spans="45:45">
      <c r="AS14437" s="47"/>
    </row>
    <row r="14438" spans="45:45">
      <c r="AS14438" s="47"/>
    </row>
    <row r="14439" spans="45:45">
      <c r="AS14439" s="47"/>
    </row>
    <row r="14440" spans="45:45">
      <c r="AS14440" s="47"/>
    </row>
    <row r="14441" spans="45:45">
      <c r="AS14441" s="47"/>
    </row>
    <row r="14442" spans="45:45">
      <c r="AS14442" s="47"/>
    </row>
    <row r="14443" spans="45:45">
      <c r="AS14443" s="47"/>
    </row>
    <row r="14444" spans="45:45">
      <c r="AS14444" s="47"/>
    </row>
    <row r="14445" spans="45:45">
      <c r="AS14445" s="47"/>
    </row>
    <row r="14446" spans="45:45">
      <c r="AS14446" s="47"/>
    </row>
    <row r="14447" spans="45:45">
      <c r="AS14447" s="47"/>
    </row>
    <row r="14448" spans="45:45">
      <c r="AS14448" s="47"/>
    </row>
    <row r="14449" spans="45:45">
      <c r="AS14449" s="47"/>
    </row>
    <row r="14450" spans="45:45">
      <c r="AS14450" s="47"/>
    </row>
    <row r="14451" spans="45:45">
      <c r="AS14451" s="47"/>
    </row>
    <row r="14452" spans="45:45">
      <c r="AS14452" s="47"/>
    </row>
    <row r="14453" spans="45:45">
      <c r="AS14453" s="47"/>
    </row>
    <row r="14454" spans="45:45">
      <c r="AS14454" s="47"/>
    </row>
    <row r="14455" spans="45:45">
      <c r="AS14455" s="47"/>
    </row>
    <row r="14456" spans="45:45">
      <c r="AS14456" s="47"/>
    </row>
    <row r="14457" spans="45:45">
      <c r="AS14457" s="47"/>
    </row>
    <row r="14458" spans="45:45">
      <c r="AS14458" s="47"/>
    </row>
    <row r="14459" spans="45:45">
      <c r="AS14459" s="47"/>
    </row>
    <row r="14460" spans="45:45">
      <c r="AS14460" s="47"/>
    </row>
    <row r="14461" spans="45:45">
      <c r="AS14461" s="47"/>
    </row>
    <row r="14462" spans="45:45">
      <c r="AS14462" s="47"/>
    </row>
    <row r="14463" spans="45:45">
      <c r="AS14463" s="47"/>
    </row>
    <row r="14464" spans="45:45">
      <c r="AS14464" s="47"/>
    </row>
    <row r="14465" spans="45:45">
      <c r="AS14465" s="47"/>
    </row>
    <row r="14466" spans="45:45">
      <c r="AS14466" s="47"/>
    </row>
    <row r="14467" spans="45:45">
      <c r="AS14467" s="47"/>
    </row>
    <row r="14468" spans="45:45">
      <c r="AS14468" s="47"/>
    </row>
    <row r="14469" spans="45:45">
      <c r="AS14469" s="47"/>
    </row>
    <row r="14470" spans="45:45">
      <c r="AS14470" s="47"/>
    </row>
    <row r="14471" spans="45:45">
      <c r="AS14471" s="47"/>
    </row>
    <row r="14472" spans="45:45">
      <c r="AS14472" s="47"/>
    </row>
    <row r="14473" spans="45:45">
      <c r="AS14473" s="47"/>
    </row>
    <row r="14474" spans="45:45">
      <c r="AS14474" s="47"/>
    </row>
    <row r="14475" spans="45:45">
      <c r="AS14475" s="47"/>
    </row>
    <row r="14476" spans="45:45">
      <c r="AS14476" s="47"/>
    </row>
    <row r="14477" spans="45:45">
      <c r="AS14477" s="47"/>
    </row>
    <row r="14478" spans="45:45">
      <c r="AS14478" s="47"/>
    </row>
    <row r="14479" spans="45:45">
      <c r="AS14479" s="47"/>
    </row>
    <row r="14480" spans="45:45">
      <c r="AS14480" s="47"/>
    </row>
    <row r="14481" spans="45:45">
      <c r="AS14481" s="47"/>
    </row>
    <row r="14482" spans="45:45">
      <c r="AS14482" s="47"/>
    </row>
    <row r="14483" spans="45:45">
      <c r="AS14483" s="47"/>
    </row>
    <row r="14484" spans="45:45">
      <c r="AS14484" s="47"/>
    </row>
    <row r="14485" spans="45:45">
      <c r="AS14485" s="47"/>
    </row>
    <row r="14486" spans="45:45">
      <c r="AS14486" s="47"/>
    </row>
    <row r="14487" spans="45:45">
      <c r="AS14487" s="47"/>
    </row>
    <row r="14488" spans="45:45">
      <c r="AS14488" s="47"/>
    </row>
    <row r="14489" spans="45:45">
      <c r="AS14489" s="47"/>
    </row>
    <row r="14490" spans="45:45">
      <c r="AS14490" s="47"/>
    </row>
    <row r="14491" spans="45:45">
      <c r="AS14491" s="47"/>
    </row>
    <row r="14492" spans="45:45">
      <c r="AS14492" s="47"/>
    </row>
    <row r="14493" spans="45:45">
      <c r="AS14493" s="47"/>
    </row>
    <row r="14494" spans="45:45">
      <c r="AS14494" s="47"/>
    </row>
    <row r="14495" spans="45:45">
      <c r="AS14495" s="47"/>
    </row>
    <row r="14496" spans="45:45">
      <c r="AS14496" s="47"/>
    </row>
    <row r="14497" spans="45:45">
      <c r="AS14497" s="47"/>
    </row>
    <row r="14498" spans="45:45">
      <c r="AS14498" s="47"/>
    </row>
    <row r="14499" spans="45:45">
      <c r="AS14499" s="47"/>
    </row>
    <row r="14500" spans="45:45">
      <c r="AS14500" s="47"/>
    </row>
    <row r="14501" spans="45:45">
      <c r="AS14501" s="47"/>
    </row>
    <row r="14502" spans="45:45">
      <c r="AS14502" s="47"/>
    </row>
    <row r="14503" spans="45:45">
      <c r="AS14503" s="47"/>
    </row>
    <row r="14504" spans="45:45">
      <c r="AS14504" s="47"/>
    </row>
    <row r="14505" spans="45:45">
      <c r="AS14505" s="47"/>
    </row>
    <row r="14506" spans="45:45">
      <c r="AS14506" s="47"/>
    </row>
    <row r="14507" spans="45:45">
      <c r="AS14507" s="47"/>
    </row>
    <row r="14508" spans="45:45">
      <c r="AS14508" s="47"/>
    </row>
    <row r="14509" spans="45:45">
      <c r="AS14509" s="47"/>
    </row>
    <row r="14510" spans="45:45">
      <c r="AS14510" s="47"/>
    </row>
    <row r="14511" spans="45:45">
      <c r="AS14511" s="47"/>
    </row>
    <row r="14512" spans="45:45">
      <c r="AS14512" s="47"/>
    </row>
    <row r="14513" spans="45:45">
      <c r="AS14513" s="47"/>
    </row>
    <row r="14514" spans="45:45">
      <c r="AS14514" s="47"/>
    </row>
    <row r="14515" spans="45:45">
      <c r="AS14515" s="47"/>
    </row>
    <row r="14516" spans="45:45">
      <c r="AS14516" s="47"/>
    </row>
    <row r="14517" spans="45:45">
      <c r="AS14517" s="47"/>
    </row>
    <row r="14518" spans="45:45">
      <c r="AS14518" s="47"/>
    </row>
    <row r="14519" spans="45:45">
      <c r="AS14519" s="47"/>
    </row>
    <row r="14520" spans="45:45">
      <c r="AS14520" s="47"/>
    </row>
    <row r="14521" spans="45:45">
      <c r="AS14521" s="47"/>
    </row>
    <row r="14522" spans="45:45">
      <c r="AS14522" s="47"/>
    </row>
    <row r="14523" spans="45:45">
      <c r="AS14523" s="47"/>
    </row>
    <row r="14524" spans="45:45">
      <c r="AS14524" s="47"/>
    </row>
    <row r="14525" spans="45:45">
      <c r="AS14525" s="47"/>
    </row>
    <row r="14526" spans="45:45">
      <c r="AS14526" s="47"/>
    </row>
    <row r="14527" spans="45:45">
      <c r="AS14527" s="47"/>
    </row>
    <row r="14528" spans="45:45">
      <c r="AS14528" s="47"/>
    </row>
    <row r="14529" spans="45:45">
      <c r="AS14529" s="47"/>
    </row>
    <row r="14530" spans="45:45">
      <c r="AS14530" s="47"/>
    </row>
    <row r="14531" spans="45:45">
      <c r="AS14531" s="47"/>
    </row>
    <row r="14532" spans="45:45">
      <c r="AS14532" s="47"/>
    </row>
    <row r="14533" spans="45:45">
      <c r="AS14533" s="47"/>
    </row>
    <row r="14534" spans="45:45">
      <c r="AS14534" s="47"/>
    </row>
    <row r="14535" spans="45:45">
      <c r="AS14535" s="47"/>
    </row>
    <row r="14536" spans="45:45">
      <c r="AS14536" s="47"/>
    </row>
    <row r="14537" spans="45:45">
      <c r="AS14537" s="47"/>
    </row>
    <row r="14538" spans="45:45">
      <c r="AS14538" s="47"/>
    </row>
    <row r="14539" spans="45:45">
      <c r="AS14539" s="47"/>
    </row>
    <row r="14540" spans="45:45">
      <c r="AS14540" s="47"/>
    </row>
    <row r="14541" spans="45:45">
      <c r="AS14541" s="47"/>
    </row>
    <row r="14542" spans="45:45">
      <c r="AS14542" s="47"/>
    </row>
    <row r="14543" spans="45:45">
      <c r="AS14543" s="47"/>
    </row>
    <row r="14544" spans="45:45">
      <c r="AS14544" s="47"/>
    </row>
    <row r="14545" spans="45:45">
      <c r="AS14545" s="47"/>
    </row>
    <row r="14546" spans="45:45">
      <c r="AS14546" s="47"/>
    </row>
    <row r="14547" spans="45:45">
      <c r="AS14547" s="47"/>
    </row>
    <row r="14548" spans="45:45">
      <c r="AS14548" s="47"/>
    </row>
    <row r="14549" spans="45:45">
      <c r="AS14549" s="47"/>
    </row>
    <row r="14550" spans="45:45">
      <c r="AS14550" s="47"/>
    </row>
    <row r="14551" spans="45:45">
      <c r="AS14551" s="47"/>
    </row>
    <row r="14552" spans="45:45">
      <c r="AS14552" s="47"/>
    </row>
    <row r="14553" spans="45:45">
      <c r="AS14553" s="47"/>
    </row>
    <row r="14554" spans="45:45">
      <c r="AS14554" s="47"/>
    </row>
    <row r="14555" spans="45:45">
      <c r="AS14555" s="47"/>
    </row>
    <row r="14556" spans="45:45">
      <c r="AS14556" s="47"/>
    </row>
    <row r="14557" spans="45:45">
      <c r="AS14557" s="47"/>
    </row>
    <row r="14558" spans="45:45">
      <c r="AS14558" s="47"/>
    </row>
    <row r="14559" spans="45:45">
      <c r="AS14559" s="47"/>
    </row>
    <row r="14560" spans="45:45">
      <c r="AS14560" s="47"/>
    </row>
    <row r="14561" spans="45:45">
      <c r="AS14561" s="47"/>
    </row>
    <row r="14562" spans="45:45">
      <c r="AS14562" s="47"/>
    </row>
    <row r="14563" spans="45:45">
      <c r="AS14563" s="47"/>
    </row>
    <row r="14564" spans="45:45">
      <c r="AS14564" s="47"/>
    </row>
    <row r="14565" spans="45:45">
      <c r="AS14565" s="47"/>
    </row>
    <row r="14566" spans="45:45">
      <c r="AS14566" s="47"/>
    </row>
    <row r="14567" spans="45:45">
      <c r="AS14567" s="47"/>
    </row>
    <row r="14568" spans="45:45">
      <c r="AS14568" s="47"/>
    </row>
    <row r="14569" spans="45:45">
      <c r="AS14569" s="47"/>
    </row>
    <row r="14570" spans="45:45">
      <c r="AS14570" s="47"/>
    </row>
    <row r="14571" spans="45:45">
      <c r="AS14571" s="47"/>
    </row>
    <row r="14572" spans="45:45">
      <c r="AS14572" s="47"/>
    </row>
    <row r="14573" spans="45:45">
      <c r="AS14573" s="47"/>
    </row>
    <row r="14574" spans="45:45">
      <c r="AS14574" s="47"/>
    </row>
    <row r="14575" spans="45:45">
      <c r="AS14575" s="47"/>
    </row>
    <row r="14576" spans="45:45">
      <c r="AS14576" s="47"/>
    </row>
    <row r="14577" spans="45:45">
      <c r="AS14577" s="47"/>
    </row>
    <row r="14578" spans="45:45">
      <c r="AS14578" s="47"/>
    </row>
    <row r="14579" spans="45:45">
      <c r="AS14579" s="47"/>
    </row>
    <row r="14580" spans="45:45">
      <c r="AS14580" s="47"/>
    </row>
    <row r="14581" spans="45:45">
      <c r="AS14581" s="47"/>
    </row>
    <row r="14582" spans="45:45">
      <c r="AS14582" s="47"/>
    </row>
    <row r="14583" spans="45:45">
      <c r="AS14583" s="47"/>
    </row>
    <row r="14584" spans="45:45">
      <c r="AS14584" s="47"/>
    </row>
    <row r="14585" spans="45:45">
      <c r="AS14585" s="47"/>
    </row>
    <row r="14586" spans="45:45">
      <c r="AS14586" s="47"/>
    </row>
    <row r="14587" spans="45:45">
      <c r="AS14587" s="47"/>
    </row>
    <row r="14588" spans="45:45">
      <c r="AS14588" s="47"/>
    </row>
    <row r="14589" spans="45:45">
      <c r="AS14589" s="47"/>
    </row>
    <row r="14590" spans="45:45">
      <c r="AS14590" s="47"/>
    </row>
    <row r="14591" spans="45:45">
      <c r="AS14591" s="47"/>
    </row>
    <row r="14592" spans="45:45">
      <c r="AS14592" s="47"/>
    </row>
    <row r="14593" spans="45:45">
      <c r="AS14593" s="47"/>
    </row>
    <row r="14594" spans="45:45">
      <c r="AS14594" s="47"/>
    </row>
    <row r="14595" spans="45:45">
      <c r="AS14595" s="47"/>
    </row>
    <row r="14596" spans="45:45">
      <c r="AS14596" s="47"/>
    </row>
    <row r="14597" spans="45:45">
      <c r="AS14597" s="47"/>
    </row>
    <row r="14598" spans="45:45">
      <c r="AS14598" s="47"/>
    </row>
    <row r="14599" spans="45:45">
      <c r="AS14599" s="47"/>
    </row>
    <row r="14600" spans="45:45">
      <c r="AS14600" s="47"/>
    </row>
    <row r="14601" spans="45:45">
      <c r="AS14601" s="47"/>
    </row>
    <row r="14602" spans="45:45">
      <c r="AS14602" s="47"/>
    </row>
    <row r="14603" spans="45:45">
      <c r="AS14603" s="47"/>
    </row>
    <row r="14604" spans="45:45">
      <c r="AS14604" s="47"/>
    </row>
    <row r="14605" spans="45:45">
      <c r="AS14605" s="47"/>
    </row>
    <row r="14606" spans="45:45">
      <c r="AS14606" s="47"/>
    </row>
    <row r="14607" spans="45:45">
      <c r="AS14607" s="47"/>
    </row>
    <row r="14608" spans="45:45">
      <c r="AS14608" s="47"/>
    </row>
    <row r="14609" spans="45:45">
      <c r="AS14609" s="47"/>
    </row>
    <row r="14610" spans="45:45">
      <c r="AS14610" s="47"/>
    </row>
    <row r="14611" spans="45:45">
      <c r="AS14611" s="47"/>
    </row>
    <row r="14612" spans="45:45">
      <c r="AS14612" s="47"/>
    </row>
    <row r="14613" spans="45:45">
      <c r="AS14613" s="47"/>
    </row>
    <row r="14614" spans="45:45">
      <c r="AS14614" s="47"/>
    </row>
    <row r="14615" spans="45:45">
      <c r="AS14615" s="47"/>
    </row>
    <row r="14616" spans="45:45">
      <c r="AS14616" s="47"/>
    </row>
    <row r="14617" spans="45:45">
      <c r="AS14617" s="47"/>
    </row>
    <row r="14618" spans="45:45">
      <c r="AS14618" s="47"/>
    </row>
    <row r="14619" spans="45:45">
      <c r="AS14619" s="47"/>
    </row>
    <row r="14620" spans="45:45">
      <c r="AS14620" s="47"/>
    </row>
    <row r="14621" spans="45:45">
      <c r="AS14621" s="47"/>
    </row>
    <row r="14622" spans="45:45">
      <c r="AS14622" s="47"/>
    </row>
    <row r="14623" spans="45:45">
      <c r="AS14623" s="47"/>
    </row>
    <row r="14624" spans="45:45">
      <c r="AS14624" s="47"/>
    </row>
    <row r="14625" spans="45:45">
      <c r="AS14625" s="47"/>
    </row>
    <row r="14626" spans="45:45">
      <c r="AS14626" s="47"/>
    </row>
    <row r="14627" spans="45:45">
      <c r="AS14627" s="47"/>
    </row>
    <row r="14628" spans="45:45">
      <c r="AS14628" s="47"/>
    </row>
    <row r="14629" spans="45:45">
      <c r="AS14629" s="47"/>
    </row>
    <row r="14630" spans="45:45">
      <c r="AS14630" s="47"/>
    </row>
    <row r="14631" spans="45:45">
      <c r="AS14631" s="47"/>
    </row>
    <row r="14632" spans="45:45">
      <c r="AS14632" s="47"/>
    </row>
    <row r="14633" spans="45:45">
      <c r="AS14633" s="47"/>
    </row>
    <row r="14634" spans="45:45">
      <c r="AS14634" s="47"/>
    </row>
    <row r="14635" spans="45:45">
      <c r="AS14635" s="47"/>
    </row>
    <row r="14636" spans="45:45">
      <c r="AS14636" s="47"/>
    </row>
    <row r="14637" spans="45:45">
      <c r="AS14637" s="47"/>
    </row>
    <row r="14638" spans="45:45">
      <c r="AS14638" s="47"/>
    </row>
    <row r="14639" spans="45:45">
      <c r="AS14639" s="47"/>
    </row>
    <row r="14640" spans="45:45">
      <c r="AS14640" s="47"/>
    </row>
    <row r="14641" spans="45:45">
      <c r="AS14641" s="47"/>
    </row>
    <row r="14642" spans="45:45">
      <c r="AS14642" s="47"/>
    </row>
    <row r="14643" spans="45:45">
      <c r="AS14643" s="47"/>
    </row>
    <row r="14644" spans="45:45">
      <c r="AS14644" s="47"/>
    </row>
    <row r="14645" spans="45:45">
      <c r="AS14645" s="47"/>
    </row>
    <row r="14646" spans="45:45">
      <c r="AS14646" s="47"/>
    </row>
    <row r="14647" spans="45:45">
      <c r="AS14647" s="47"/>
    </row>
    <row r="14648" spans="45:45">
      <c r="AS14648" s="47"/>
    </row>
    <row r="14649" spans="45:45">
      <c r="AS14649" s="47"/>
    </row>
    <row r="14650" spans="45:45">
      <c r="AS14650" s="47"/>
    </row>
    <row r="14651" spans="45:45">
      <c r="AS14651" s="47"/>
    </row>
    <row r="14652" spans="45:45">
      <c r="AS14652" s="47"/>
    </row>
    <row r="14653" spans="45:45">
      <c r="AS14653" s="47"/>
    </row>
    <row r="14654" spans="45:45">
      <c r="AS14654" s="47"/>
    </row>
    <row r="14655" spans="45:45">
      <c r="AS14655" s="47"/>
    </row>
    <row r="14656" spans="45:45">
      <c r="AS14656" s="47"/>
    </row>
    <row r="14657" spans="45:45">
      <c r="AS14657" s="47"/>
    </row>
    <row r="14658" spans="45:45">
      <c r="AS14658" s="47"/>
    </row>
    <row r="14659" spans="45:45">
      <c r="AS14659" s="47"/>
    </row>
    <row r="14660" spans="45:45">
      <c r="AS14660" s="47"/>
    </row>
    <row r="14661" spans="45:45">
      <c r="AS14661" s="47"/>
    </row>
    <row r="14662" spans="45:45">
      <c r="AS14662" s="47"/>
    </row>
    <row r="14663" spans="45:45">
      <c r="AS14663" s="47"/>
    </row>
    <row r="14664" spans="45:45">
      <c r="AS14664" s="47"/>
    </row>
    <row r="14665" spans="45:45">
      <c r="AS14665" s="47"/>
    </row>
    <row r="14666" spans="45:45">
      <c r="AS14666" s="47"/>
    </row>
    <row r="14667" spans="45:45">
      <c r="AS14667" s="47"/>
    </row>
    <row r="14668" spans="45:45">
      <c r="AS14668" s="47"/>
    </row>
    <row r="14669" spans="45:45">
      <c r="AS14669" s="47"/>
    </row>
    <row r="14670" spans="45:45">
      <c r="AS14670" s="47"/>
    </row>
    <row r="14671" spans="45:45">
      <c r="AS14671" s="47"/>
    </row>
    <row r="14672" spans="45:45">
      <c r="AS14672" s="47"/>
    </row>
    <row r="14673" spans="45:45">
      <c r="AS14673" s="47"/>
    </row>
    <row r="14674" spans="45:45">
      <c r="AS14674" s="47"/>
    </row>
    <row r="14675" spans="45:45">
      <c r="AS14675" s="47"/>
    </row>
    <row r="14676" spans="45:45">
      <c r="AS14676" s="47"/>
    </row>
    <row r="14677" spans="45:45">
      <c r="AS14677" s="47"/>
    </row>
    <row r="14678" spans="45:45">
      <c r="AS14678" s="47"/>
    </row>
    <row r="14679" spans="45:45">
      <c r="AS14679" s="47"/>
    </row>
    <row r="14680" spans="45:45">
      <c r="AS14680" s="47"/>
    </row>
    <row r="14681" spans="45:45">
      <c r="AS14681" s="47"/>
    </row>
    <row r="14682" spans="45:45">
      <c r="AS14682" s="47"/>
    </row>
    <row r="14683" spans="45:45">
      <c r="AS14683" s="47"/>
    </row>
    <row r="14684" spans="45:45">
      <c r="AS14684" s="47"/>
    </row>
    <row r="14685" spans="45:45">
      <c r="AS14685" s="47"/>
    </row>
    <row r="14686" spans="45:45">
      <c r="AS14686" s="47"/>
    </row>
    <row r="14687" spans="45:45">
      <c r="AS14687" s="47"/>
    </row>
    <row r="14688" spans="45:45">
      <c r="AS14688" s="47"/>
    </row>
    <row r="14689" spans="45:45">
      <c r="AS14689" s="47"/>
    </row>
    <row r="14690" spans="45:45">
      <c r="AS14690" s="47"/>
    </row>
    <row r="14691" spans="45:45">
      <c r="AS14691" s="47"/>
    </row>
    <row r="14692" spans="45:45">
      <c r="AS14692" s="47"/>
    </row>
    <row r="14693" spans="45:45">
      <c r="AS14693" s="47"/>
    </row>
    <row r="14694" spans="45:45">
      <c r="AS14694" s="47"/>
    </row>
    <row r="14695" spans="45:45">
      <c r="AS14695" s="47"/>
    </row>
    <row r="14696" spans="45:45">
      <c r="AS14696" s="47"/>
    </row>
    <row r="14697" spans="45:45">
      <c r="AS14697" s="47"/>
    </row>
    <row r="14698" spans="45:45">
      <c r="AS14698" s="47"/>
    </row>
    <row r="14699" spans="45:45">
      <c r="AS14699" s="47"/>
    </row>
    <row r="14700" spans="45:45">
      <c r="AS14700" s="47"/>
    </row>
    <row r="14701" spans="45:45">
      <c r="AS14701" s="47"/>
    </row>
    <row r="14702" spans="45:45">
      <c r="AS14702" s="47"/>
    </row>
    <row r="14703" spans="45:45">
      <c r="AS14703" s="47"/>
    </row>
    <row r="14704" spans="45:45">
      <c r="AS14704" s="47"/>
    </row>
    <row r="14705" spans="45:45">
      <c r="AS14705" s="47"/>
    </row>
    <row r="14706" spans="45:45">
      <c r="AS14706" s="47"/>
    </row>
    <row r="14707" spans="45:45">
      <c r="AS14707" s="47"/>
    </row>
    <row r="14708" spans="45:45">
      <c r="AS14708" s="47"/>
    </row>
    <row r="14709" spans="45:45">
      <c r="AS14709" s="47"/>
    </row>
    <row r="14710" spans="45:45">
      <c r="AS14710" s="47"/>
    </row>
    <row r="14711" spans="45:45">
      <c r="AS14711" s="47"/>
    </row>
    <row r="14712" spans="45:45">
      <c r="AS14712" s="47"/>
    </row>
    <row r="14713" spans="45:45">
      <c r="AS14713" s="47"/>
    </row>
    <row r="14714" spans="45:45">
      <c r="AS14714" s="47"/>
    </row>
    <row r="14715" spans="45:45">
      <c r="AS14715" s="47"/>
    </row>
    <row r="14716" spans="45:45">
      <c r="AS14716" s="47"/>
    </row>
    <row r="14717" spans="45:45">
      <c r="AS14717" s="47"/>
    </row>
    <row r="14718" spans="45:45">
      <c r="AS14718" s="47"/>
    </row>
    <row r="14719" spans="45:45">
      <c r="AS14719" s="47"/>
    </row>
    <row r="14720" spans="45:45">
      <c r="AS14720" s="47"/>
    </row>
    <row r="14721" spans="45:45">
      <c r="AS14721" s="47"/>
    </row>
    <row r="14722" spans="45:45">
      <c r="AS14722" s="47"/>
    </row>
    <row r="14723" spans="45:45">
      <c r="AS14723" s="47"/>
    </row>
    <row r="14724" spans="45:45">
      <c r="AS14724" s="47"/>
    </row>
    <row r="14725" spans="45:45">
      <c r="AS14725" s="47"/>
    </row>
    <row r="14726" spans="45:45">
      <c r="AS14726" s="47"/>
    </row>
    <row r="14727" spans="45:45">
      <c r="AS14727" s="47"/>
    </row>
    <row r="14728" spans="45:45">
      <c r="AS14728" s="47"/>
    </row>
    <row r="14729" spans="45:45">
      <c r="AS14729" s="47"/>
    </row>
    <row r="14730" spans="45:45">
      <c r="AS14730" s="47"/>
    </row>
    <row r="14731" spans="45:45">
      <c r="AS14731" s="47"/>
    </row>
    <row r="14732" spans="45:45">
      <c r="AS14732" s="47"/>
    </row>
    <row r="14733" spans="45:45">
      <c r="AS14733" s="47"/>
    </row>
    <row r="14734" spans="45:45">
      <c r="AS14734" s="47"/>
    </row>
    <row r="14735" spans="45:45">
      <c r="AS14735" s="47"/>
    </row>
    <row r="14736" spans="45:45">
      <c r="AS14736" s="47"/>
    </row>
    <row r="14737" spans="45:45">
      <c r="AS14737" s="47"/>
    </row>
    <row r="14738" spans="45:45">
      <c r="AS14738" s="47"/>
    </row>
    <row r="14739" spans="45:45">
      <c r="AS14739" s="47"/>
    </row>
    <row r="14740" spans="45:45">
      <c r="AS14740" s="47"/>
    </row>
    <row r="14741" spans="45:45">
      <c r="AS14741" s="47"/>
    </row>
    <row r="14742" spans="45:45">
      <c r="AS14742" s="47"/>
    </row>
    <row r="14743" spans="45:45">
      <c r="AS14743" s="47"/>
    </row>
    <row r="14744" spans="45:45">
      <c r="AS14744" s="47"/>
    </row>
    <row r="14745" spans="45:45">
      <c r="AS14745" s="47"/>
    </row>
    <row r="14746" spans="45:45">
      <c r="AS14746" s="47"/>
    </row>
    <row r="14747" spans="45:45">
      <c r="AS14747" s="47"/>
    </row>
    <row r="14748" spans="45:45">
      <c r="AS14748" s="47"/>
    </row>
    <row r="14749" spans="45:45">
      <c r="AS14749" s="47"/>
    </row>
    <row r="14750" spans="45:45">
      <c r="AS14750" s="47"/>
    </row>
    <row r="14751" spans="45:45">
      <c r="AS14751" s="47"/>
    </row>
    <row r="14752" spans="45:45">
      <c r="AS14752" s="47"/>
    </row>
    <row r="14753" spans="45:45">
      <c r="AS14753" s="47"/>
    </row>
    <row r="14754" spans="45:45">
      <c r="AS14754" s="47"/>
    </row>
    <row r="14755" spans="45:45">
      <c r="AS14755" s="47"/>
    </row>
    <row r="14756" spans="45:45">
      <c r="AS14756" s="47"/>
    </row>
    <row r="14757" spans="45:45">
      <c r="AS14757" s="47"/>
    </row>
    <row r="14758" spans="45:45">
      <c r="AS14758" s="47"/>
    </row>
    <row r="14759" spans="45:45">
      <c r="AS14759" s="47"/>
    </row>
    <row r="14760" spans="45:45">
      <c r="AS14760" s="47"/>
    </row>
    <row r="14761" spans="45:45">
      <c r="AS14761" s="47"/>
    </row>
    <row r="14762" spans="45:45">
      <c r="AS14762" s="47"/>
    </row>
    <row r="14763" spans="45:45">
      <c r="AS14763" s="47"/>
    </row>
    <row r="14764" spans="45:45">
      <c r="AS14764" s="47"/>
    </row>
    <row r="14765" spans="45:45">
      <c r="AS14765" s="47"/>
    </row>
    <row r="14766" spans="45:45">
      <c r="AS14766" s="47"/>
    </row>
    <row r="14767" spans="45:45">
      <c r="AS14767" s="47"/>
    </row>
    <row r="14768" spans="45:45">
      <c r="AS14768" s="47"/>
    </row>
    <row r="14769" spans="45:45">
      <c r="AS14769" s="47"/>
    </row>
    <row r="14770" spans="45:45">
      <c r="AS14770" s="47"/>
    </row>
    <row r="14771" spans="45:45">
      <c r="AS14771" s="47"/>
    </row>
    <row r="14772" spans="45:45">
      <c r="AS14772" s="47"/>
    </row>
    <row r="14773" spans="45:45">
      <c r="AS14773" s="47"/>
    </row>
    <row r="14774" spans="45:45">
      <c r="AS14774" s="47"/>
    </row>
    <row r="14775" spans="45:45">
      <c r="AS14775" s="47"/>
    </row>
    <row r="14776" spans="45:45">
      <c r="AS14776" s="47"/>
    </row>
    <row r="14777" spans="45:45">
      <c r="AS14777" s="47"/>
    </row>
    <row r="14778" spans="45:45">
      <c r="AS14778" s="47"/>
    </row>
    <row r="14779" spans="45:45">
      <c r="AS14779" s="47"/>
    </row>
    <row r="14780" spans="45:45">
      <c r="AS14780" s="47"/>
    </row>
    <row r="14781" spans="45:45">
      <c r="AS14781" s="47"/>
    </row>
    <row r="14782" spans="45:45">
      <c r="AS14782" s="47"/>
    </row>
    <row r="14783" spans="45:45">
      <c r="AS14783" s="47"/>
    </row>
    <row r="14784" spans="45:45">
      <c r="AS14784" s="47"/>
    </row>
    <row r="14785" spans="45:45">
      <c r="AS14785" s="47"/>
    </row>
    <row r="14786" spans="45:45">
      <c r="AS14786" s="47"/>
    </row>
    <row r="14787" spans="45:45">
      <c r="AS14787" s="47"/>
    </row>
    <row r="14788" spans="45:45">
      <c r="AS14788" s="47"/>
    </row>
    <row r="14789" spans="45:45">
      <c r="AS14789" s="47"/>
    </row>
    <row r="14790" spans="45:45">
      <c r="AS14790" s="47"/>
    </row>
    <row r="14791" spans="45:45">
      <c r="AS14791" s="47"/>
    </row>
    <row r="14792" spans="45:45">
      <c r="AS14792" s="47"/>
    </row>
    <row r="14793" spans="45:45">
      <c r="AS14793" s="47"/>
    </row>
    <row r="14794" spans="45:45">
      <c r="AS14794" s="47"/>
    </row>
    <row r="14795" spans="45:45">
      <c r="AS14795" s="47"/>
    </row>
    <row r="14796" spans="45:45">
      <c r="AS14796" s="47"/>
    </row>
    <row r="14797" spans="45:45">
      <c r="AS14797" s="47"/>
    </row>
    <row r="14798" spans="45:45">
      <c r="AS14798" s="47"/>
    </row>
    <row r="14799" spans="45:45">
      <c r="AS14799" s="47"/>
    </row>
    <row r="14800" spans="45:45">
      <c r="AS14800" s="47"/>
    </row>
    <row r="14801" spans="45:45">
      <c r="AS14801" s="47"/>
    </row>
    <row r="14802" spans="45:45">
      <c r="AS14802" s="47"/>
    </row>
    <row r="14803" spans="45:45">
      <c r="AS14803" s="47"/>
    </row>
    <row r="14804" spans="45:45">
      <c r="AS14804" s="47"/>
    </row>
    <row r="14805" spans="45:45">
      <c r="AS14805" s="47"/>
    </row>
    <row r="14806" spans="45:45">
      <c r="AS14806" s="47"/>
    </row>
    <row r="14807" spans="45:45">
      <c r="AS14807" s="47"/>
    </row>
    <row r="14808" spans="45:45">
      <c r="AS14808" s="47"/>
    </row>
    <row r="14809" spans="45:45">
      <c r="AS14809" s="47"/>
    </row>
    <row r="14810" spans="45:45">
      <c r="AS14810" s="47"/>
    </row>
    <row r="14811" spans="45:45">
      <c r="AS14811" s="47"/>
    </row>
    <row r="14812" spans="45:45">
      <c r="AS14812" s="47"/>
    </row>
    <row r="14813" spans="45:45">
      <c r="AS14813" s="47"/>
    </row>
    <row r="14814" spans="45:45">
      <c r="AS14814" s="47"/>
    </row>
    <row r="14815" spans="45:45">
      <c r="AS14815" s="47"/>
    </row>
    <row r="14816" spans="45:45">
      <c r="AS14816" s="47"/>
    </row>
    <row r="14817" spans="45:45">
      <c r="AS14817" s="47"/>
    </row>
    <row r="14818" spans="45:45">
      <c r="AS14818" s="47"/>
    </row>
    <row r="14819" spans="45:45">
      <c r="AS14819" s="47"/>
    </row>
    <row r="14820" spans="45:45">
      <c r="AS14820" s="47"/>
    </row>
    <row r="14821" spans="45:45">
      <c r="AS14821" s="47"/>
    </row>
    <row r="14822" spans="45:45">
      <c r="AS14822" s="47"/>
    </row>
    <row r="14823" spans="45:45">
      <c r="AS14823" s="47"/>
    </row>
    <row r="14824" spans="45:45">
      <c r="AS14824" s="47"/>
    </row>
    <row r="14825" spans="45:45">
      <c r="AS14825" s="47"/>
    </row>
    <row r="14826" spans="45:45">
      <c r="AS14826" s="47"/>
    </row>
    <row r="14827" spans="45:45">
      <c r="AS14827" s="47"/>
    </row>
    <row r="14828" spans="45:45">
      <c r="AS14828" s="47"/>
    </row>
    <row r="14829" spans="45:45">
      <c r="AS14829" s="47"/>
    </row>
    <row r="14830" spans="45:45">
      <c r="AS14830" s="47"/>
    </row>
    <row r="14831" spans="45:45">
      <c r="AS14831" s="47"/>
    </row>
    <row r="14832" spans="45:45">
      <c r="AS14832" s="47"/>
    </row>
    <row r="14833" spans="45:45">
      <c r="AS14833" s="47"/>
    </row>
    <row r="14834" spans="45:45">
      <c r="AS14834" s="47"/>
    </row>
    <row r="14835" spans="45:45">
      <c r="AS14835" s="47"/>
    </row>
    <row r="14836" spans="45:45">
      <c r="AS14836" s="47"/>
    </row>
    <row r="14837" spans="45:45">
      <c r="AS14837" s="47"/>
    </row>
    <row r="14838" spans="45:45">
      <c r="AS14838" s="47"/>
    </row>
    <row r="14839" spans="45:45">
      <c r="AS14839" s="47"/>
    </row>
    <row r="14840" spans="45:45">
      <c r="AS14840" s="47"/>
    </row>
    <row r="14841" spans="45:45">
      <c r="AS14841" s="47"/>
    </row>
    <row r="14842" spans="45:45">
      <c r="AS14842" s="47"/>
    </row>
    <row r="14843" spans="45:45">
      <c r="AS14843" s="47"/>
    </row>
    <row r="14844" spans="45:45">
      <c r="AS14844" s="47"/>
    </row>
    <row r="14845" spans="45:45">
      <c r="AS14845" s="47"/>
    </row>
    <row r="14846" spans="45:45">
      <c r="AS14846" s="47"/>
    </row>
    <row r="14847" spans="45:45">
      <c r="AS14847" s="47"/>
    </row>
    <row r="14848" spans="45:45">
      <c r="AS14848" s="47"/>
    </row>
    <row r="14849" spans="45:45">
      <c r="AS14849" s="47"/>
    </row>
    <row r="14850" spans="45:45">
      <c r="AS14850" s="47"/>
    </row>
    <row r="14851" spans="45:45">
      <c r="AS14851" s="47"/>
    </row>
    <row r="14852" spans="45:45">
      <c r="AS14852" s="47"/>
    </row>
    <row r="14853" spans="45:45">
      <c r="AS14853" s="47"/>
    </row>
    <row r="14854" spans="45:45">
      <c r="AS14854" s="47"/>
    </row>
    <row r="14855" spans="45:45">
      <c r="AS14855" s="47"/>
    </row>
    <row r="14856" spans="45:45">
      <c r="AS14856" s="47"/>
    </row>
    <row r="14857" spans="45:45">
      <c r="AS14857" s="47"/>
    </row>
    <row r="14858" spans="45:45">
      <c r="AS14858" s="47"/>
    </row>
    <row r="14859" spans="45:45">
      <c r="AS14859" s="47"/>
    </row>
    <row r="14860" spans="45:45">
      <c r="AS14860" s="47"/>
    </row>
    <row r="14861" spans="45:45">
      <c r="AS14861" s="47"/>
    </row>
    <row r="14862" spans="45:45">
      <c r="AS14862" s="47"/>
    </row>
    <row r="14863" spans="45:45">
      <c r="AS14863" s="47"/>
    </row>
    <row r="14864" spans="45:45">
      <c r="AS14864" s="47"/>
    </row>
    <row r="14865" spans="45:45">
      <c r="AS14865" s="47"/>
    </row>
    <row r="14866" spans="45:45">
      <c r="AS14866" s="47"/>
    </row>
    <row r="14867" spans="45:45">
      <c r="AS14867" s="47"/>
    </row>
    <row r="14868" spans="45:45">
      <c r="AS14868" s="47"/>
    </row>
    <row r="14869" spans="45:45">
      <c r="AS14869" s="47"/>
    </row>
    <row r="14870" spans="45:45">
      <c r="AS14870" s="47"/>
    </row>
    <row r="14871" spans="45:45">
      <c r="AS14871" s="47"/>
    </row>
    <row r="14872" spans="45:45">
      <c r="AS14872" s="47"/>
    </row>
    <row r="14873" spans="45:45">
      <c r="AS14873" s="47"/>
    </row>
    <row r="14874" spans="45:45">
      <c r="AS14874" s="47"/>
    </row>
    <row r="14875" spans="45:45">
      <c r="AS14875" s="47"/>
    </row>
    <row r="14876" spans="45:45">
      <c r="AS14876" s="47"/>
    </row>
    <row r="14877" spans="45:45">
      <c r="AS14877" s="47"/>
    </row>
    <row r="14878" spans="45:45">
      <c r="AS14878" s="47"/>
    </row>
    <row r="14879" spans="45:45">
      <c r="AS14879" s="47"/>
    </row>
    <row r="14880" spans="45:45">
      <c r="AS14880" s="47"/>
    </row>
    <row r="14881" spans="45:45">
      <c r="AS14881" s="47"/>
    </row>
    <row r="14882" spans="45:45">
      <c r="AS14882" s="47"/>
    </row>
    <row r="14883" spans="45:45">
      <c r="AS14883" s="47"/>
    </row>
    <row r="14884" spans="45:45">
      <c r="AS14884" s="47"/>
    </row>
    <row r="14885" spans="45:45">
      <c r="AS14885" s="47"/>
    </row>
    <row r="14886" spans="45:45">
      <c r="AS14886" s="47"/>
    </row>
    <row r="14887" spans="45:45">
      <c r="AS14887" s="47"/>
    </row>
    <row r="14888" spans="45:45">
      <c r="AS14888" s="47"/>
    </row>
    <row r="14889" spans="45:45">
      <c r="AS14889" s="47"/>
    </row>
    <row r="14890" spans="45:45">
      <c r="AS14890" s="47"/>
    </row>
    <row r="14891" spans="45:45">
      <c r="AS14891" s="47"/>
    </row>
    <row r="14892" spans="45:45">
      <c r="AS14892" s="47"/>
    </row>
    <row r="14893" spans="45:45">
      <c r="AS14893" s="47"/>
    </row>
    <row r="14894" spans="45:45">
      <c r="AS14894" s="47"/>
    </row>
    <row r="14895" spans="45:45">
      <c r="AS14895" s="47"/>
    </row>
    <row r="14896" spans="45:45">
      <c r="AS14896" s="47"/>
    </row>
    <row r="14897" spans="45:45">
      <c r="AS14897" s="47"/>
    </row>
    <row r="14898" spans="45:45">
      <c r="AS14898" s="47"/>
    </row>
    <row r="14899" spans="45:45">
      <c r="AS14899" s="47"/>
    </row>
    <row r="14900" spans="45:45">
      <c r="AS14900" s="47"/>
    </row>
    <row r="14901" spans="45:45">
      <c r="AS14901" s="47"/>
    </row>
    <row r="14902" spans="45:45">
      <c r="AS14902" s="47"/>
    </row>
    <row r="14903" spans="45:45">
      <c r="AS14903" s="47"/>
    </row>
    <row r="14904" spans="45:45">
      <c r="AS14904" s="47"/>
    </row>
    <row r="14905" spans="45:45">
      <c r="AS14905" s="47"/>
    </row>
    <row r="14906" spans="45:45">
      <c r="AS14906" s="47"/>
    </row>
    <row r="14907" spans="45:45">
      <c r="AS14907" s="47"/>
    </row>
    <row r="14908" spans="45:45">
      <c r="AS14908" s="47"/>
    </row>
    <row r="14909" spans="45:45">
      <c r="AS14909" s="47"/>
    </row>
    <row r="14910" spans="45:45">
      <c r="AS14910" s="47"/>
    </row>
    <row r="14911" spans="45:45">
      <c r="AS14911" s="47"/>
    </row>
    <row r="14912" spans="45:45">
      <c r="AS14912" s="47"/>
    </row>
    <row r="14913" spans="45:45">
      <c r="AS14913" s="47"/>
    </row>
    <row r="14914" spans="45:45">
      <c r="AS14914" s="47"/>
    </row>
    <row r="14915" spans="45:45">
      <c r="AS14915" s="47"/>
    </row>
    <row r="14916" spans="45:45">
      <c r="AS14916" s="47"/>
    </row>
    <row r="14917" spans="45:45">
      <c r="AS14917" s="47"/>
    </row>
    <row r="14918" spans="45:45">
      <c r="AS14918" s="47"/>
    </row>
    <row r="14919" spans="45:45">
      <c r="AS14919" s="47"/>
    </row>
    <row r="14920" spans="45:45">
      <c r="AS14920" s="47"/>
    </row>
    <row r="14921" spans="45:45">
      <c r="AS14921" s="47"/>
    </row>
    <row r="14922" spans="45:45">
      <c r="AS14922" s="47"/>
    </row>
    <row r="14923" spans="45:45">
      <c r="AS14923" s="47"/>
    </row>
    <row r="14924" spans="45:45">
      <c r="AS14924" s="47"/>
    </row>
    <row r="14925" spans="45:45">
      <c r="AS14925" s="47"/>
    </row>
    <row r="14926" spans="45:45">
      <c r="AS14926" s="47"/>
    </row>
    <row r="14927" spans="45:45">
      <c r="AS14927" s="47"/>
    </row>
    <row r="14928" spans="45:45">
      <c r="AS14928" s="47"/>
    </row>
    <row r="14929" spans="45:45">
      <c r="AS14929" s="47"/>
    </row>
    <row r="14930" spans="45:45">
      <c r="AS14930" s="47"/>
    </row>
    <row r="14931" spans="45:45">
      <c r="AS14931" s="47"/>
    </row>
    <row r="14932" spans="45:45">
      <c r="AS14932" s="47"/>
    </row>
    <row r="14933" spans="45:45">
      <c r="AS14933" s="47"/>
    </row>
    <row r="14934" spans="45:45">
      <c r="AS14934" s="47"/>
    </row>
    <row r="14935" spans="45:45">
      <c r="AS14935" s="47"/>
    </row>
    <row r="14936" spans="45:45">
      <c r="AS14936" s="47"/>
    </row>
    <row r="14937" spans="45:45">
      <c r="AS14937" s="47"/>
    </row>
    <row r="14938" spans="45:45">
      <c r="AS14938" s="47"/>
    </row>
    <row r="14939" spans="45:45">
      <c r="AS14939" s="47"/>
    </row>
    <row r="14940" spans="45:45">
      <c r="AS14940" s="47"/>
    </row>
    <row r="14941" spans="45:45">
      <c r="AS14941" s="47"/>
    </row>
    <row r="14942" spans="45:45">
      <c r="AS14942" s="47"/>
    </row>
    <row r="14943" spans="45:45">
      <c r="AS14943" s="47"/>
    </row>
    <row r="14944" spans="45:45">
      <c r="AS14944" s="47"/>
    </row>
    <row r="14945" spans="45:45">
      <c r="AS14945" s="47"/>
    </row>
    <row r="14946" spans="45:45">
      <c r="AS14946" s="47"/>
    </row>
    <row r="14947" spans="45:45">
      <c r="AS14947" s="47"/>
    </row>
    <row r="14948" spans="45:45">
      <c r="AS14948" s="47"/>
    </row>
    <row r="14949" spans="45:45">
      <c r="AS14949" s="47"/>
    </row>
    <row r="14950" spans="45:45">
      <c r="AS14950" s="47"/>
    </row>
    <row r="14951" spans="45:45">
      <c r="AS14951" s="47"/>
    </row>
    <row r="14952" spans="45:45">
      <c r="AS14952" s="47"/>
    </row>
    <row r="14953" spans="45:45">
      <c r="AS14953" s="47"/>
    </row>
    <row r="14954" spans="45:45">
      <c r="AS14954" s="47"/>
    </row>
    <row r="14955" spans="45:45">
      <c r="AS14955" s="47"/>
    </row>
    <row r="14956" spans="45:45">
      <c r="AS14956" s="47"/>
    </row>
    <row r="14957" spans="45:45">
      <c r="AS14957" s="47"/>
    </row>
    <row r="14958" spans="45:45">
      <c r="AS14958" s="47"/>
    </row>
    <row r="14959" spans="45:45">
      <c r="AS14959" s="47"/>
    </row>
    <row r="14960" spans="45:45">
      <c r="AS14960" s="47"/>
    </row>
    <row r="14961" spans="45:45">
      <c r="AS14961" s="47"/>
    </row>
    <row r="14962" spans="45:45">
      <c r="AS14962" s="47"/>
    </row>
    <row r="14963" spans="45:45">
      <c r="AS14963" s="47"/>
    </row>
    <row r="14964" spans="45:45">
      <c r="AS14964" s="47"/>
    </row>
    <row r="14965" spans="45:45">
      <c r="AS14965" s="47"/>
    </row>
    <row r="14966" spans="45:45">
      <c r="AS14966" s="47"/>
    </row>
    <row r="14967" spans="45:45">
      <c r="AS14967" s="47"/>
    </row>
    <row r="14968" spans="45:45">
      <c r="AS14968" s="47"/>
    </row>
    <row r="14969" spans="45:45">
      <c r="AS14969" s="47"/>
    </row>
    <row r="14970" spans="45:45">
      <c r="AS14970" s="47"/>
    </row>
    <row r="14971" spans="45:45">
      <c r="AS14971" s="47"/>
    </row>
    <row r="14972" spans="45:45">
      <c r="AS14972" s="47"/>
    </row>
    <row r="14973" spans="45:45">
      <c r="AS14973" s="47"/>
    </row>
    <row r="14974" spans="45:45">
      <c r="AS14974" s="47"/>
    </row>
    <row r="14975" spans="45:45">
      <c r="AS14975" s="47"/>
    </row>
    <row r="14976" spans="45:45">
      <c r="AS14976" s="47"/>
    </row>
    <row r="14977" spans="45:45">
      <c r="AS14977" s="47"/>
    </row>
    <row r="14978" spans="45:45">
      <c r="AS14978" s="47"/>
    </row>
    <row r="14979" spans="45:45">
      <c r="AS14979" s="47"/>
    </row>
    <row r="14980" spans="45:45">
      <c r="AS14980" s="47"/>
    </row>
    <row r="14981" spans="45:45">
      <c r="AS14981" s="47"/>
    </row>
    <row r="14982" spans="45:45">
      <c r="AS14982" s="47"/>
    </row>
    <row r="14983" spans="45:45">
      <c r="AS14983" s="47"/>
    </row>
    <row r="14984" spans="45:45">
      <c r="AS14984" s="47"/>
    </row>
    <row r="14985" spans="45:45">
      <c r="AS14985" s="47"/>
    </row>
    <row r="14986" spans="45:45">
      <c r="AS14986" s="47"/>
    </row>
    <row r="14987" spans="45:45">
      <c r="AS14987" s="47"/>
    </row>
    <row r="14988" spans="45:45">
      <c r="AS14988" s="47"/>
    </row>
    <row r="14989" spans="45:45">
      <c r="AS14989" s="47"/>
    </row>
    <row r="14990" spans="45:45">
      <c r="AS14990" s="47"/>
    </row>
    <row r="14991" spans="45:45">
      <c r="AS14991" s="47"/>
    </row>
    <row r="14992" spans="45:45">
      <c r="AS14992" s="47"/>
    </row>
    <row r="14993" spans="45:45">
      <c r="AS14993" s="47"/>
    </row>
    <row r="14994" spans="45:45">
      <c r="AS14994" s="47"/>
    </row>
    <row r="14995" spans="45:45">
      <c r="AS14995" s="47"/>
    </row>
    <row r="14996" spans="45:45">
      <c r="AS14996" s="47"/>
    </row>
    <row r="14997" spans="45:45">
      <c r="AS14997" s="47"/>
    </row>
    <row r="14998" spans="45:45">
      <c r="AS14998" s="47"/>
    </row>
    <row r="14999" spans="45:45">
      <c r="AS14999" s="47"/>
    </row>
    <row r="15000" spans="45:45">
      <c r="AS15000" s="47"/>
    </row>
    <row r="15001" spans="45:45">
      <c r="AS15001" s="47"/>
    </row>
    <row r="15002" spans="45:45">
      <c r="AS15002" s="47"/>
    </row>
    <row r="15003" spans="45:45">
      <c r="AS15003" s="47"/>
    </row>
    <row r="15004" spans="45:45">
      <c r="AS15004" s="47"/>
    </row>
    <row r="15005" spans="45:45">
      <c r="AS15005" s="47"/>
    </row>
    <row r="15006" spans="45:45">
      <c r="AS15006" s="47"/>
    </row>
    <row r="15007" spans="45:45">
      <c r="AS15007" s="47"/>
    </row>
    <row r="15008" spans="45:45">
      <c r="AS15008" s="47"/>
    </row>
    <row r="15009" spans="45:45">
      <c r="AS15009" s="47"/>
    </row>
    <row r="15010" spans="45:45">
      <c r="AS15010" s="47"/>
    </row>
    <row r="15011" spans="45:45">
      <c r="AS15011" s="47"/>
    </row>
    <row r="15012" spans="45:45">
      <c r="AS15012" s="47"/>
    </row>
    <row r="15013" spans="45:45">
      <c r="AS15013" s="47"/>
    </row>
    <row r="15014" spans="45:45">
      <c r="AS15014" s="47"/>
    </row>
    <row r="15015" spans="45:45">
      <c r="AS15015" s="47"/>
    </row>
    <row r="15016" spans="45:45">
      <c r="AS15016" s="47"/>
    </row>
    <row r="15017" spans="45:45">
      <c r="AS15017" s="47"/>
    </row>
    <row r="15018" spans="45:45">
      <c r="AS15018" s="47"/>
    </row>
    <row r="15019" spans="45:45">
      <c r="AS15019" s="47"/>
    </row>
    <row r="15020" spans="45:45">
      <c r="AS15020" s="47"/>
    </row>
    <row r="15021" spans="45:45">
      <c r="AS15021" s="47"/>
    </row>
    <row r="15022" spans="45:45">
      <c r="AS15022" s="47"/>
    </row>
    <row r="15023" spans="45:45">
      <c r="AS15023" s="47"/>
    </row>
    <row r="15024" spans="45:45">
      <c r="AS15024" s="47"/>
    </row>
    <row r="15025" spans="45:45">
      <c r="AS15025" s="47"/>
    </row>
    <row r="15026" spans="45:45">
      <c r="AS15026" s="47"/>
    </row>
    <row r="15027" spans="45:45">
      <c r="AS15027" s="47"/>
    </row>
    <row r="15028" spans="45:45">
      <c r="AS15028" s="47"/>
    </row>
    <row r="15029" spans="45:45">
      <c r="AS15029" s="47"/>
    </row>
    <row r="15030" spans="45:45">
      <c r="AS15030" s="47"/>
    </row>
    <row r="15031" spans="45:45">
      <c r="AS15031" s="47"/>
    </row>
    <row r="15032" spans="45:45">
      <c r="AS15032" s="47"/>
    </row>
    <row r="15033" spans="45:45">
      <c r="AS15033" s="47"/>
    </row>
    <row r="15034" spans="45:45">
      <c r="AS15034" s="47"/>
    </row>
    <row r="15035" spans="45:45">
      <c r="AS15035" s="47"/>
    </row>
    <row r="15036" spans="45:45">
      <c r="AS15036" s="47"/>
    </row>
    <row r="15037" spans="45:45">
      <c r="AS15037" s="47"/>
    </row>
    <row r="15038" spans="45:45">
      <c r="AS15038" s="47"/>
    </row>
    <row r="15039" spans="45:45">
      <c r="AS15039" s="47"/>
    </row>
    <row r="15040" spans="45:45">
      <c r="AS15040" s="47"/>
    </row>
    <row r="15041" spans="45:45">
      <c r="AS15041" s="47"/>
    </row>
    <row r="15042" spans="45:45">
      <c r="AS15042" s="47"/>
    </row>
    <row r="15043" spans="45:45">
      <c r="AS15043" s="47"/>
    </row>
    <row r="15044" spans="45:45">
      <c r="AS15044" s="47"/>
    </row>
    <row r="15045" spans="45:45">
      <c r="AS15045" s="47"/>
    </row>
    <row r="15046" spans="45:45">
      <c r="AS15046" s="47"/>
    </row>
    <row r="15047" spans="45:45">
      <c r="AS15047" s="47"/>
    </row>
    <row r="15048" spans="45:45">
      <c r="AS15048" s="47"/>
    </row>
    <row r="15049" spans="45:45">
      <c r="AS15049" s="47"/>
    </row>
    <row r="15050" spans="45:45">
      <c r="AS15050" s="47"/>
    </row>
    <row r="15051" spans="45:45">
      <c r="AS15051" s="47"/>
    </row>
    <row r="15052" spans="45:45">
      <c r="AS15052" s="47"/>
    </row>
    <row r="15053" spans="45:45">
      <c r="AS15053" s="47"/>
    </row>
    <row r="15054" spans="45:45">
      <c r="AS15054" s="47"/>
    </row>
    <row r="15055" spans="45:45">
      <c r="AS15055" s="47"/>
    </row>
    <row r="15056" spans="45:45">
      <c r="AS15056" s="47"/>
    </row>
    <row r="15057" spans="45:45">
      <c r="AS15057" s="47"/>
    </row>
    <row r="15058" spans="45:45">
      <c r="AS15058" s="47"/>
    </row>
    <row r="15059" spans="45:45">
      <c r="AS15059" s="47"/>
    </row>
    <row r="15060" spans="45:45">
      <c r="AS15060" s="47"/>
    </row>
    <row r="15061" spans="45:45">
      <c r="AS15061" s="47"/>
    </row>
    <row r="15062" spans="45:45">
      <c r="AS15062" s="47"/>
    </row>
    <row r="15063" spans="45:45">
      <c r="AS15063" s="47"/>
    </row>
    <row r="15064" spans="45:45">
      <c r="AS15064" s="47"/>
    </row>
    <row r="15065" spans="45:45">
      <c r="AS15065" s="47"/>
    </row>
    <row r="15066" spans="45:45">
      <c r="AS15066" s="47"/>
    </row>
    <row r="15067" spans="45:45">
      <c r="AS15067" s="47"/>
    </row>
    <row r="15068" spans="45:45">
      <c r="AS15068" s="47"/>
    </row>
    <row r="15069" spans="45:45">
      <c r="AS15069" s="47"/>
    </row>
    <row r="15070" spans="45:45">
      <c r="AS15070" s="47"/>
    </row>
    <row r="15071" spans="45:45">
      <c r="AS15071" s="47"/>
    </row>
    <row r="15072" spans="45:45">
      <c r="AS15072" s="47"/>
    </row>
    <row r="15073" spans="45:45">
      <c r="AS15073" s="47"/>
    </row>
    <row r="15074" spans="45:45">
      <c r="AS15074" s="47"/>
    </row>
    <row r="15075" spans="45:45">
      <c r="AS15075" s="47"/>
    </row>
    <row r="15076" spans="45:45">
      <c r="AS15076" s="47"/>
    </row>
    <row r="15077" spans="45:45">
      <c r="AS15077" s="47"/>
    </row>
    <row r="15078" spans="45:45">
      <c r="AS15078" s="47"/>
    </row>
    <row r="15079" spans="45:45">
      <c r="AS15079" s="47"/>
    </row>
    <row r="15080" spans="45:45">
      <c r="AS15080" s="47"/>
    </row>
    <row r="15081" spans="45:45">
      <c r="AS15081" s="47"/>
    </row>
    <row r="15082" spans="45:45">
      <c r="AS15082" s="47"/>
    </row>
    <row r="15083" spans="45:45">
      <c r="AS15083" s="47"/>
    </row>
    <row r="15084" spans="45:45">
      <c r="AS15084" s="47"/>
    </row>
    <row r="15085" spans="45:45">
      <c r="AS15085" s="47"/>
    </row>
    <row r="15086" spans="45:45">
      <c r="AS15086" s="47"/>
    </row>
    <row r="15087" spans="45:45">
      <c r="AS15087" s="47"/>
    </row>
    <row r="15088" spans="45:45">
      <c r="AS15088" s="47"/>
    </row>
    <row r="15089" spans="45:45">
      <c r="AS15089" s="47"/>
    </row>
    <row r="15090" spans="45:45">
      <c r="AS15090" s="47"/>
    </row>
    <row r="15091" spans="45:45">
      <c r="AS15091" s="47"/>
    </row>
    <row r="15092" spans="45:45">
      <c r="AS15092" s="47"/>
    </row>
    <row r="15093" spans="45:45">
      <c r="AS15093" s="47"/>
    </row>
    <row r="15094" spans="45:45">
      <c r="AS15094" s="47"/>
    </row>
    <row r="15095" spans="45:45">
      <c r="AS15095" s="47"/>
    </row>
    <row r="15096" spans="45:45">
      <c r="AS15096" s="47"/>
    </row>
    <row r="15097" spans="45:45">
      <c r="AS15097" s="47"/>
    </row>
    <row r="15098" spans="45:45">
      <c r="AS15098" s="47"/>
    </row>
    <row r="15099" spans="45:45">
      <c r="AS15099" s="47"/>
    </row>
    <row r="15100" spans="45:45">
      <c r="AS15100" s="47"/>
    </row>
    <row r="15101" spans="45:45">
      <c r="AS15101" s="47"/>
    </row>
    <row r="15102" spans="45:45">
      <c r="AS15102" s="47"/>
    </row>
    <row r="15103" spans="45:45">
      <c r="AS15103" s="47"/>
    </row>
    <row r="15104" spans="45:45">
      <c r="AS15104" s="47"/>
    </row>
    <row r="15105" spans="45:45">
      <c r="AS15105" s="47"/>
    </row>
    <row r="15106" spans="45:45">
      <c r="AS15106" s="47"/>
    </row>
    <row r="15107" spans="45:45">
      <c r="AS15107" s="47"/>
    </row>
    <row r="15108" spans="45:45">
      <c r="AS15108" s="47"/>
    </row>
    <row r="15109" spans="45:45">
      <c r="AS15109" s="47"/>
    </row>
    <row r="15110" spans="45:45">
      <c r="AS15110" s="47"/>
    </row>
    <row r="15111" spans="45:45">
      <c r="AS15111" s="47"/>
    </row>
    <row r="15112" spans="45:45">
      <c r="AS15112" s="47"/>
    </row>
    <row r="15113" spans="45:45">
      <c r="AS15113" s="47"/>
    </row>
    <row r="15114" spans="45:45">
      <c r="AS15114" s="47"/>
    </row>
    <row r="15115" spans="45:45">
      <c r="AS15115" s="47"/>
    </row>
    <row r="15116" spans="45:45">
      <c r="AS15116" s="47"/>
    </row>
    <row r="15117" spans="45:45">
      <c r="AS15117" s="47"/>
    </row>
    <row r="15118" spans="45:45">
      <c r="AS15118" s="47"/>
    </row>
    <row r="15119" spans="45:45">
      <c r="AS15119" s="47"/>
    </row>
    <row r="15120" spans="45:45">
      <c r="AS15120" s="47"/>
    </row>
    <row r="15121" spans="45:45">
      <c r="AS15121" s="47"/>
    </row>
    <row r="15122" spans="45:45">
      <c r="AS15122" s="47"/>
    </row>
    <row r="15123" spans="45:45">
      <c r="AS15123" s="47"/>
    </row>
    <row r="15124" spans="45:45">
      <c r="AS15124" s="47"/>
    </row>
    <row r="15125" spans="45:45">
      <c r="AS15125" s="47"/>
    </row>
    <row r="15126" spans="45:45">
      <c r="AS15126" s="47"/>
    </row>
    <row r="15127" spans="45:45">
      <c r="AS15127" s="47"/>
    </row>
    <row r="15128" spans="45:45">
      <c r="AS15128" s="47"/>
    </row>
    <row r="15129" spans="45:45">
      <c r="AS15129" s="47"/>
    </row>
    <row r="15130" spans="45:45">
      <c r="AS15130" s="47"/>
    </row>
    <row r="15131" spans="45:45">
      <c r="AS15131" s="47"/>
    </row>
    <row r="15132" spans="45:45">
      <c r="AS15132" s="47"/>
    </row>
    <row r="15133" spans="45:45">
      <c r="AS15133" s="47"/>
    </row>
    <row r="15134" spans="45:45">
      <c r="AS15134" s="47"/>
    </row>
    <row r="15135" spans="45:45">
      <c r="AS15135" s="47"/>
    </row>
    <row r="15136" spans="45:45">
      <c r="AS15136" s="47"/>
    </row>
    <row r="15137" spans="45:45">
      <c r="AS15137" s="47"/>
    </row>
    <row r="15138" spans="45:45">
      <c r="AS15138" s="47"/>
    </row>
    <row r="15139" spans="45:45">
      <c r="AS15139" s="47"/>
    </row>
    <row r="15140" spans="45:45">
      <c r="AS15140" s="47"/>
    </row>
    <row r="15141" spans="45:45">
      <c r="AS15141" s="47"/>
    </row>
    <row r="15142" spans="45:45">
      <c r="AS15142" s="47"/>
    </row>
    <row r="15143" spans="45:45">
      <c r="AS15143" s="47"/>
    </row>
    <row r="15144" spans="45:45">
      <c r="AS15144" s="47"/>
    </row>
    <row r="15145" spans="45:45">
      <c r="AS15145" s="47"/>
    </row>
    <row r="15146" spans="45:45">
      <c r="AS15146" s="47"/>
    </row>
    <row r="15147" spans="45:45">
      <c r="AS15147" s="47"/>
    </row>
    <row r="15148" spans="45:45">
      <c r="AS15148" s="47"/>
    </row>
    <row r="15149" spans="45:45">
      <c r="AS15149" s="47"/>
    </row>
    <row r="15150" spans="45:45">
      <c r="AS15150" s="47"/>
    </row>
    <row r="15151" spans="45:45">
      <c r="AS15151" s="47"/>
    </row>
    <row r="15152" spans="45:45">
      <c r="AS15152" s="47"/>
    </row>
    <row r="15153" spans="45:45">
      <c r="AS15153" s="47"/>
    </row>
    <row r="15154" spans="45:45">
      <c r="AS15154" s="47"/>
    </row>
    <row r="15155" spans="45:45">
      <c r="AS15155" s="47"/>
    </row>
    <row r="15156" spans="45:45">
      <c r="AS15156" s="47"/>
    </row>
    <row r="15157" spans="45:45">
      <c r="AS15157" s="47"/>
    </row>
    <row r="15158" spans="45:45">
      <c r="AS15158" s="47"/>
    </row>
    <row r="15159" spans="45:45">
      <c r="AS15159" s="47"/>
    </row>
    <row r="15160" spans="45:45">
      <c r="AS15160" s="47"/>
    </row>
    <row r="15161" spans="45:45">
      <c r="AS15161" s="47"/>
    </row>
    <row r="15162" spans="45:45">
      <c r="AS15162" s="47"/>
    </row>
    <row r="15163" spans="45:45">
      <c r="AS15163" s="47"/>
    </row>
    <row r="15164" spans="45:45">
      <c r="AS15164" s="47"/>
    </row>
    <row r="15165" spans="45:45">
      <c r="AS15165" s="47"/>
    </row>
    <row r="15166" spans="45:45">
      <c r="AS15166" s="47"/>
    </row>
    <row r="15167" spans="45:45">
      <c r="AS15167" s="47"/>
    </row>
    <row r="15168" spans="45:45">
      <c r="AS15168" s="47"/>
    </row>
    <row r="15169" spans="45:45">
      <c r="AS15169" s="47"/>
    </row>
    <row r="15170" spans="45:45">
      <c r="AS15170" s="47"/>
    </row>
    <row r="15171" spans="45:45">
      <c r="AS15171" s="47"/>
    </row>
    <row r="15172" spans="45:45">
      <c r="AS15172" s="47"/>
    </row>
    <row r="15173" spans="45:45">
      <c r="AS15173" s="47"/>
    </row>
    <row r="15174" spans="45:45">
      <c r="AS15174" s="47"/>
    </row>
    <row r="15175" spans="45:45">
      <c r="AS15175" s="47"/>
    </row>
    <row r="15176" spans="45:45">
      <c r="AS15176" s="47"/>
    </row>
    <row r="15177" spans="45:45">
      <c r="AS15177" s="47"/>
    </row>
    <row r="15178" spans="45:45">
      <c r="AS15178" s="47"/>
    </row>
    <row r="15179" spans="45:45">
      <c r="AS15179" s="47"/>
    </row>
    <row r="15180" spans="45:45">
      <c r="AS15180" s="47"/>
    </row>
    <row r="15181" spans="45:45">
      <c r="AS15181" s="47"/>
    </row>
    <row r="15182" spans="45:45">
      <c r="AS15182" s="47"/>
    </row>
    <row r="15183" spans="45:45">
      <c r="AS15183" s="47"/>
    </row>
    <row r="15184" spans="45:45">
      <c r="AS15184" s="47"/>
    </row>
    <row r="15185" spans="45:45">
      <c r="AS15185" s="47"/>
    </row>
    <row r="15186" spans="45:45">
      <c r="AS15186" s="47"/>
    </row>
    <row r="15187" spans="45:45">
      <c r="AS15187" s="47"/>
    </row>
    <row r="15188" spans="45:45">
      <c r="AS15188" s="47"/>
    </row>
    <row r="15189" spans="45:45">
      <c r="AS15189" s="47"/>
    </row>
    <row r="15190" spans="45:45">
      <c r="AS15190" s="47"/>
    </row>
    <row r="15191" spans="45:45">
      <c r="AS15191" s="47"/>
    </row>
    <row r="15192" spans="45:45">
      <c r="AS15192" s="47"/>
    </row>
    <row r="15193" spans="45:45">
      <c r="AS15193" s="47"/>
    </row>
    <row r="15194" spans="45:45">
      <c r="AS15194" s="47"/>
    </row>
    <row r="15195" spans="45:45">
      <c r="AS15195" s="47"/>
    </row>
    <row r="15196" spans="45:45">
      <c r="AS15196" s="47"/>
    </row>
    <row r="15197" spans="45:45">
      <c r="AS15197" s="47"/>
    </row>
    <row r="15198" spans="45:45">
      <c r="AS15198" s="47"/>
    </row>
    <row r="15199" spans="45:45">
      <c r="AS15199" s="47"/>
    </row>
    <row r="15200" spans="45:45">
      <c r="AS15200" s="47"/>
    </row>
    <row r="15201" spans="45:45">
      <c r="AS15201" s="47"/>
    </row>
    <row r="15202" spans="45:45">
      <c r="AS15202" s="47"/>
    </row>
    <row r="15203" spans="45:45">
      <c r="AS15203" s="47"/>
    </row>
    <row r="15204" spans="45:45">
      <c r="AS15204" s="47"/>
    </row>
    <row r="15205" spans="45:45">
      <c r="AS15205" s="47"/>
    </row>
    <row r="15206" spans="45:45">
      <c r="AS15206" s="47"/>
    </row>
    <row r="15207" spans="45:45">
      <c r="AS15207" s="47"/>
    </row>
    <row r="15208" spans="45:45">
      <c r="AS15208" s="47"/>
    </row>
    <row r="15209" spans="45:45">
      <c r="AS15209" s="47"/>
    </row>
    <row r="15210" spans="45:45">
      <c r="AS15210" s="47"/>
    </row>
    <row r="15211" spans="45:45">
      <c r="AS15211" s="47"/>
    </row>
    <row r="15212" spans="45:45">
      <c r="AS15212" s="47"/>
    </row>
    <row r="15213" spans="45:45">
      <c r="AS15213" s="47"/>
    </row>
    <row r="15214" spans="45:45">
      <c r="AS15214" s="47"/>
    </row>
    <row r="15215" spans="45:45">
      <c r="AS15215" s="47"/>
    </row>
    <row r="15216" spans="45:45">
      <c r="AS15216" s="47"/>
    </row>
    <row r="15217" spans="45:45">
      <c r="AS15217" s="47"/>
    </row>
    <row r="15218" spans="45:45">
      <c r="AS15218" s="47"/>
    </row>
    <row r="15219" spans="45:45">
      <c r="AS15219" s="47"/>
    </row>
    <row r="15220" spans="45:45">
      <c r="AS15220" s="47"/>
    </row>
    <row r="15221" spans="45:45">
      <c r="AS15221" s="47"/>
    </row>
    <row r="15222" spans="45:45">
      <c r="AS15222" s="47"/>
    </row>
    <row r="15223" spans="45:45">
      <c r="AS15223" s="47"/>
    </row>
    <row r="15224" spans="45:45">
      <c r="AS15224" s="47"/>
    </row>
    <row r="15225" spans="45:45">
      <c r="AS15225" s="47"/>
    </row>
    <row r="15226" spans="45:45">
      <c r="AS15226" s="47"/>
    </row>
    <row r="15227" spans="45:45">
      <c r="AS15227" s="47"/>
    </row>
    <row r="15228" spans="45:45">
      <c r="AS15228" s="47"/>
    </row>
    <row r="15229" spans="45:45">
      <c r="AS15229" s="47"/>
    </row>
    <row r="15230" spans="45:45">
      <c r="AS15230" s="47"/>
    </row>
    <row r="15231" spans="45:45">
      <c r="AS15231" s="47"/>
    </row>
    <row r="15232" spans="45:45">
      <c r="AS15232" s="47"/>
    </row>
    <row r="15233" spans="45:45">
      <c r="AS15233" s="47"/>
    </row>
    <row r="15234" spans="45:45">
      <c r="AS15234" s="47"/>
    </row>
    <row r="15235" spans="45:45">
      <c r="AS15235" s="47"/>
    </row>
    <row r="15236" spans="45:45">
      <c r="AS15236" s="47"/>
    </row>
    <row r="15237" spans="45:45">
      <c r="AS15237" s="47"/>
    </row>
    <row r="15238" spans="45:45">
      <c r="AS15238" s="47"/>
    </row>
    <row r="15239" spans="45:45">
      <c r="AS15239" s="47"/>
    </row>
    <row r="15240" spans="45:45">
      <c r="AS15240" s="47"/>
    </row>
    <row r="15241" spans="45:45">
      <c r="AS15241" s="47"/>
    </row>
    <row r="15242" spans="45:45">
      <c r="AS15242" s="47"/>
    </row>
    <row r="15243" spans="45:45">
      <c r="AS15243" s="47"/>
    </row>
    <row r="15244" spans="45:45">
      <c r="AS15244" s="47"/>
    </row>
    <row r="15245" spans="45:45">
      <c r="AS15245" s="47"/>
    </row>
    <row r="15246" spans="45:45">
      <c r="AS15246" s="47"/>
    </row>
    <row r="15247" spans="45:45">
      <c r="AS15247" s="47"/>
    </row>
    <row r="15248" spans="45:45">
      <c r="AS15248" s="47"/>
    </row>
    <row r="15249" spans="45:45">
      <c r="AS15249" s="47"/>
    </row>
    <row r="15250" spans="45:45">
      <c r="AS15250" s="47"/>
    </row>
    <row r="15251" spans="45:45">
      <c r="AS15251" s="47"/>
    </row>
    <row r="15252" spans="45:45">
      <c r="AS15252" s="47"/>
    </row>
    <row r="15253" spans="45:45">
      <c r="AS15253" s="47"/>
    </row>
    <row r="15254" spans="45:45">
      <c r="AS15254" s="47"/>
    </row>
    <row r="15255" spans="45:45">
      <c r="AS15255" s="47"/>
    </row>
    <row r="15256" spans="45:45">
      <c r="AS15256" s="47"/>
    </row>
    <row r="15257" spans="45:45">
      <c r="AS15257" s="47"/>
    </row>
    <row r="15258" spans="45:45">
      <c r="AS15258" s="47"/>
    </row>
    <row r="15259" spans="45:45">
      <c r="AS15259" s="47"/>
    </row>
    <row r="15260" spans="45:45">
      <c r="AS15260" s="47"/>
    </row>
    <row r="15261" spans="45:45">
      <c r="AS15261" s="47"/>
    </row>
    <row r="15262" spans="45:45">
      <c r="AS15262" s="47"/>
    </row>
    <row r="15263" spans="45:45">
      <c r="AS15263" s="47"/>
    </row>
    <row r="15264" spans="45:45">
      <c r="AS15264" s="47"/>
    </row>
    <row r="15265" spans="45:45">
      <c r="AS15265" s="47"/>
    </row>
    <row r="15266" spans="45:45">
      <c r="AS15266" s="47"/>
    </row>
    <row r="15267" spans="45:45">
      <c r="AS15267" s="47"/>
    </row>
    <row r="15268" spans="45:45">
      <c r="AS15268" s="47"/>
    </row>
    <row r="15269" spans="45:45">
      <c r="AS15269" s="47"/>
    </row>
    <row r="15270" spans="45:45">
      <c r="AS15270" s="47"/>
    </row>
    <row r="15271" spans="45:45">
      <c r="AS15271" s="47"/>
    </row>
    <row r="15272" spans="45:45">
      <c r="AS15272" s="47"/>
    </row>
    <row r="15273" spans="45:45">
      <c r="AS15273" s="47"/>
    </row>
    <row r="15274" spans="45:45">
      <c r="AS15274" s="47"/>
    </row>
    <row r="15275" spans="45:45">
      <c r="AS15275" s="47"/>
    </row>
    <row r="15276" spans="45:45">
      <c r="AS15276" s="47"/>
    </row>
    <row r="15277" spans="45:45">
      <c r="AS15277" s="47"/>
    </row>
    <row r="15278" spans="45:45">
      <c r="AS15278" s="47"/>
    </row>
    <row r="15279" spans="45:45">
      <c r="AS15279" s="47"/>
    </row>
    <row r="15280" spans="45:45">
      <c r="AS15280" s="47"/>
    </row>
    <row r="15281" spans="45:45">
      <c r="AS15281" s="47"/>
    </row>
    <row r="15282" spans="45:45">
      <c r="AS15282" s="47"/>
    </row>
    <row r="15283" spans="45:45">
      <c r="AS15283" s="47"/>
    </row>
    <row r="15284" spans="45:45">
      <c r="AS15284" s="47"/>
    </row>
    <row r="15285" spans="45:45">
      <c r="AS15285" s="47"/>
    </row>
    <row r="15286" spans="45:45">
      <c r="AS15286" s="47"/>
    </row>
    <row r="15287" spans="45:45">
      <c r="AS15287" s="47"/>
    </row>
    <row r="15288" spans="45:45">
      <c r="AS15288" s="47"/>
    </row>
    <row r="15289" spans="45:45">
      <c r="AS15289" s="47"/>
    </row>
    <row r="15290" spans="45:45">
      <c r="AS15290" s="47"/>
    </row>
    <row r="15291" spans="45:45">
      <c r="AS15291" s="47"/>
    </row>
    <row r="15292" spans="45:45">
      <c r="AS15292" s="47"/>
    </row>
    <row r="15293" spans="45:45">
      <c r="AS15293" s="47"/>
    </row>
    <row r="15294" spans="45:45">
      <c r="AS15294" s="47"/>
    </row>
    <row r="15295" spans="45:45">
      <c r="AS15295" s="47"/>
    </row>
    <row r="15296" spans="45:45">
      <c r="AS15296" s="47"/>
    </row>
    <row r="15297" spans="45:45">
      <c r="AS15297" s="47"/>
    </row>
    <row r="15298" spans="45:45">
      <c r="AS15298" s="47"/>
    </row>
    <row r="15299" spans="45:45">
      <c r="AS15299" s="47"/>
    </row>
    <row r="15300" spans="45:45">
      <c r="AS15300" s="47"/>
    </row>
    <row r="15301" spans="45:45">
      <c r="AS15301" s="47"/>
    </row>
    <row r="15302" spans="45:45">
      <c r="AS15302" s="47"/>
    </row>
    <row r="15303" spans="45:45">
      <c r="AS15303" s="47"/>
    </row>
    <row r="15304" spans="45:45">
      <c r="AS15304" s="47"/>
    </row>
    <row r="15305" spans="45:45">
      <c r="AS15305" s="47"/>
    </row>
    <row r="15306" spans="45:45">
      <c r="AS15306" s="47"/>
    </row>
    <row r="15307" spans="45:45">
      <c r="AS15307" s="47"/>
    </row>
    <row r="15308" spans="45:45">
      <c r="AS15308" s="47"/>
    </row>
    <row r="15309" spans="45:45">
      <c r="AS15309" s="47"/>
    </row>
    <row r="15310" spans="45:45">
      <c r="AS15310" s="47"/>
    </row>
    <row r="15311" spans="45:45">
      <c r="AS15311" s="47"/>
    </row>
    <row r="15312" spans="45:45">
      <c r="AS15312" s="47"/>
    </row>
    <row r="15313" spans="45:45">
      <c r="AS15313" s="47"/>
    </row>
    <row r="15314" spans="45:45">
      <c r="AS15314" s="47"/>
    </row>
    <row r="15315" spans="45:45">
      <c r="AS15315" s="47"/>
    </row>
    <row r="15316" spans="45:45">
      <c r="AS15316" s="47"/>
    </row>
    <row r="15317" spans="45:45">
      <c r="AS15317" s="47"/>
    </row>
    <row r="15318" spans="45:45">
      <c r="AS15318" s="47"/>
    </row>
    <row r="15319" spans="45:45">
      <c r="AS15319" s="47"/>
    </row>
    <row r="15320" spans="45:45">
      <c r="AS15320" s="47"/>
    </row>
    <row r="15321" spans="45:45">
      <c r="AS15321" s="47"/>
    </row>
    <row r="15322" spans="45:45">
      <c r="AS15322" s="47"/>
    </row>
    <row r="15323" spans="45:45">
      <c r="AS15323" s="47"/>
    </row>
    <row r="15324" spans="45:45">
      <c r="AS15324" s="47"/>
    </row>
    <row r="15325" spans="45:45">
      <c r="AS15325" s="47"/>
    </row>
    <row r="15326" spans="45:45">
      <c r="AS15326" s="47"/>
    </row>
    <row r="15327" spans="45:45">
      <c r="AS15327" s="47"/>
    </row>
    <row r="15328" spans="45:45">
      <c r="AS15328" s="47"/>
    </row>
    <row r="15329" spans="45:45">
      <c r="AS15329" s="47"/>
    </row>
    <row r="15330" spans="45:45">
      <c r="AS15330" s="47"/>
    </row>
    <row r="15331" spans="45:45">
      <c r="AS15331" s="47"/>
    </row>
    <row r="15332" spans="45:45">
      <c r="AS15332" s="47"/>
    </row>
    <row r="15333" spans="45:45">
      <c r="AS15333" s="47"/>
    </row>
    <row r="15334" spans="45:45">
      <c r="AS15334" s="47"/>
    </row>
    <row r="15335" spans="45:45">
      <c r="AS15335" s="47"/>
    </row>
    <row r="15336" spans="45:45">
      <c r="AS15336" s="47"/>
    </row>
    <row r="15337" spans="45:45">
      <c r="AS15337" s="47"/>
    </row>
    <row r="15338" spans="45:45">
      <c r="AS15338" s="47"/>
    </row>
    <row r="15339" spans="45:45">
      <c r="AS15339" s="47"/>
    </row>
    <row r="15340" spans="45:45">
      <c r="AS15340" s="47"/>
    </row>
    <row r="15341" spans="45:45">
      <c r="AS15341" s="47"/>
    </row>
    <row r="15342" spans="45:45">
      <c r="AS15342" s="47"/>
    </row>
    <row r="15343" spans="45:45">
      <c r="AS15343" s="47"/>
    </row>
    <row r="15344" spans="45:45">
      <c r="AS15344" s="47"/>
    </row>
    <row r="15345" spans="45:45">
      <c r="AS15345" s="47"/>
    </row>
    <row r="15346" spans="45:45">
      <c r="AS15346" s="47"/>
    </row>
    <row r="15347" spans="45:45">
      <c r="AS15347" s="47"/>
    </row>
    <row r="15348" spans="45:45">
      <c r="AS15348" s="47"/>
    </row>
    <row r="15349" spans="45:45">
      <c r="AS15349" s="47"/>
    </row>
    <row r="15350" spans="45:45">
      <c r="AS15350" s="47"/>
    </row>
    <row r="15351" spans="45:45">
      <c r="AS15351" s="47"/>
    </row>
    <row r="15352" spans="45:45">
      <c r="AS15352" s="47"/>
    </row>
    <row r="15353" spans="45:45">
      <c r="AS15353" s="47"/>
    </row>
    <row r="15354" spans="45:45">
      <c r="AS15354" s="47"/>
    </row>
    <row r="15355" spans="45:45">
      <c r="AS15355" s="47"/>
    </row>
    <row r="15356" spans="45:45">
      <c r="AS15356" s="47"/>
    </row>
    <row r="15357" spans="45:45">
      <c r="AS15357" s="47"/>
    </row>
    <row r="15358" spans="45:45">
      <c r="AS15358" s="47"/>
    </row>
    <row r="15359" spans="45:45">
      <c r="AS15359" s="47"/>
    </row>
    <row r="15360" spans="45:45">
      <c r="AS15360" s="47"/>
    </row>
    <row r="15361" spans="45:45">
      <c r="AS15361" s="47"/>
    </row>
    <row r="15362" spans="45:45">
      <c r="AS15362" s="47"/>
    </row>
    <row r="15363" spans="45:45">
      <c r="AS15363" s="47"/>
    </row>
    <row r="15364" spans="45:45">
      <c r="AS15364" s="47"/>
    </row>
    <row r="15365" spans="45:45">
      <c r="AS15365" s="47"/>
    </row>
    <row r="15366" spans="45:45">
      <c r="AS15366" s="47"/>
    </row>
    <row r="15367" spans="45:45">
      <c r="AS15367" s="47"/>
    </row>
    <row r="15368" spans="45:45">
      <c r="AS15368" s="47"/>
    </row>
    <row r="15369" spans="45:45">
      <c r="AS15369" s="47"/>
    </row>
    <row r="15370" spans="45:45">
      <c r="AS15370" s="47"/>
    </row>
    <row r="15371" spans="45:45">
      <c r="AS15371" s="47"/>
    </row>
    <row r="15372" spans="45:45">
      <c r="AS15372" s="47"/>
    </row>
    <row r="15373" spans="45:45">
      <c r="AS15373" s="47"/>
    </row>
    <row r="15374" spans="45:45">
      <c r="AS15374" s="47"/>
    </row>
    <row r="15375" spans="45:45">
      <c r="AS15375" s="47"/>
    </row>
    <row r="15376" spans="45:45">
      <c r="AS15376" s="47"/>
    </row>
    <row r="15377" spans="45:45">
      <c r="AS15377" s="47"/>
    </row>
    <row r="15378" spans="45:45">
      <c r="AS15378" s="47"/>
    </row>
    <row r="15379" spans="45:45">
      <c r="AS15379" s="47"/>
    </row>
    <row r="15380" spans="45:45">
      <c r="AS15380" s="47"/>
    </row>
    <row r="15381" spans="45:45">
      <c r="AS15381" s="47"/>
    </row>
    <row r="15382" spans="45:45">
      <c r="AS15382" s="47"/>
    </row>
    <row r="15383" spans="45:45">
      <c r="AS15383" s="47"/>
    </row>
    <row r="15384" spans="45:45">
      <c r="AS15384" s="47"/>
    </row>
    <row r="15385" spans="45:45">
      <c r="AS15385" s="47"/>
    </row>
    <row r="15386" spans="45:45">
      <c r="AS15386" s="47"/>
    </row>
    <row r="15387" spans="45:45">
      <c r="AS15387" s="47"/>
    </row>
    <row r="15388" spans="45:45">
      <c r="AS15388" s="47"/>
    </row>
    <row r="15389" spans="45:45">
      <c r="AS15389" s="47"/>
    </row>
    <row r="15390" spans="45:45">
      <c r="AS15390" s="47"/>
    </row>
    <row r="15391" spans="45:45">
      <c r="AS15391" s="47"/>
    </row>
    <row r="15392" spans="45:45">
      <c r="AS15392" s="47"/>
    </row>
    <row r="15393" spans="45:45">
      <c r="AS15393" s="47"/>
    </row>
    <row r="15394" spans="45:45">
      <c r="AS15394" s="47"/>
    </row>
    <row r="15395" spans="45:45">
      <c r="AS15395" s="47"/>
    </row>
    <row r="15396" spans="45:45">
      <c r="AS15396" s="47"/>
    </row>
    <row r="15397" spans="45:45">
      <c r="AS15397" s="47"/>
    </row>
    <row r="15398" spans="45:45">
      <c r="AS15398" s="47"/>
    </row>
    <row r="15399" spans="45:45">
      <c r="AS15399" s="47"/>
    </row>
    <row r="15400" spans="45:45">
      <c r="AS15400" s="47"/>
    </row>
    <row r="15401" spans="45:45">
      <c r="AS15401" s="47"/>
    </row>
    <row r="15402" spans="45:45">
      <c r="AS15402" s="47"/>
    </row>
    <row r="15403" spans="45:45">
      <c r="AS15403" s="47"/>
    </row>
    <row r="15404" spans="45:45">
      <c r="AS15404" s="47"/>
    </row>
    <row r="15405" spans="45:45">
      <c r="AS15405" s="47"/>
    </row>
    <row r="15406" spans="45:45">
      <c r="AS15406" s="47"/>
    </row>
    <row r="15407" spans="45:45">
      <c r="AS15407" s="47"/>
    </row>
    <row r="15408" spans="45:45">
      <c r="AS15408" s="47"/>
    </row>
    <row r="15409" spans="45:45">
      <c r="AS15409" s="47"/>
    </row>
    <row r="15410" spans="45:45">
      <c r="AS15410" s="47"/>
    </row>
    <row r="15411" spans="45:45">
      <c r="AS15411" s="47"/>
    </row>
    <row r="15412" spans="45:45">
      <c r="AS15412" s="47"/>
    </row>
    <row r="15413" spans="45:45">
      <c r="AS15413" s="47"/>
    </row>
    <row r="15414" spans="45:45">
      <c r="AS15414" s="47"/>
    </row>
    <row r="15415" spans="45:45">
      <c r="AS15415" s="47"/>
    </row>
    <row r="15416" spans="45:45">
      <c r="AS15416" s="47"/>
    </row>
    <row r="15417" spans="45:45">
      <c r="AS15417" s="47"/>
    </row>
    <row r="15418" spans="45:45">
      <c r="AS15418" s="47"/>
    </row>
    <row r="15419" spans="45:45">
      <c r="AS15419" s="47"/>
    </row>
    <row r="15420" spans="45:45">
      <c r="AS15420" s="47"/>
    </row>
    <row r="15421" spans="45:45">
      <c r="AS15421" s="47"/>
    </row>
    <row r="15422" spans="45:45">
      <c r="AS15422" s="47"/>
    </row>
    <row r="15423" spans="45:45">
      <c r="AS15423" s="47"/>
    </row>
    <row r="15424" spans="45:45">
      <c r="AS15424" s="47"/>
    </row>
    <row r="15425" spans="45:45">
      <c r="AS15425" s="47"/>
    </row>
    <row r="15426" spans="45:45">
      <c r="AS15426" s="47"/>
    </row>
    <row r="15427" spans="45:45">
      <c r="AS15427" s="47"/>
    </row>
    <row r="15428" spans="45:45">
      <c r="AS15428" s="47"/>
    </row>
    <row r="15429" spans="45:45">
      <c r="AS15429" s="47"/>
    </row>
    <row r="15430" spans="45:45">
      <c r="AS15430" s="47"/>
    </row>
    <row r="15431" spans="45:45">
      <c r="AS15431" s="47"/>
    </row>
    <row r="15432" spans="45:45">
      <c r="AS15432" s="47"/>
    </row>
    <row r="15433" spans="45:45">
      <c r="AS15433" s="47"/>
    </row>
    <row r="15434" spans="45:45">
      <c r="AS15434" s="47"/>
    </row>
    <row r="15435" spans="45:45">
      <c r="AS15435" s="47"/>
    </row>
    <row r="15436" spans="45:45">
      <c r="AS15436" s="47"/>
    </row>
    <row r="15437" spans="45:45">
      <c r="AS15437" s="47"/>
    </row>
    <row r="15438" spans="45:45">
      <c r="AS15438" s="47"/>
    </row>
    <row r="15439" spans="45:45">
      <c r="AS15439" s="47"/>
    </row>
    <row r="15440" spans="45:45">
      <c r="AS15440" s="47"/>
    </row>
    <row r="15441" spans="45:45">
      <c r="AS15441" s="47"/>
    </row>
    <row r="15442" spans="45:45">
      <c r="AS15442" s="47"/>
    </row>
    <row r="15443" spans="45:45">
      <c r="AS15443" s="47"/>
    </row>
    <row r="15444" spans="45:45">
      <c r="AS15444" s="47"/>
    </row>
    <row r="15445" spans="45:45">
      <c r="AS15445" s="47"/>
    </row>
    <row r="15446" spans="45:45">
      <c r="AS15446" s="47"/>
    </row>
    <row r="15447" spans="45:45">
      <c r="AS15447" s="47"/>
    </row>
    <row r="15448" spans="45:45">
      <c r="AS15448" s="47"/>
    </row>
    <row r="15449" spans="45:45">
      <c r="AS15449" s="47"/>
    </row>
    <row r="15450" spans="45:45">
      <c r="AS15450" s="47"/>
    </row>
    <row r="15451" spans="45:45">
      <c r="AS15451" s="47"/>
    </row>
    <row r="15452" spans="45:45">
      <c r="AS15452" s="47"/>
    </row>
    <row r="15453" spans="45:45">
      <c r="AS15453" s="47"/>
    </row>
    <row r="15454" spans="45:45">
      <c r="AS15454" s="47"/>
    </row>
    <row r="15455" spans="45:45">
      <c r="AS15455" s="47"/>
    </row>
    <row r="15456" spans="45:45">
      <c r="AS15456" s="47"/>
    </row>
    <row r="15457" spans="45:45">
      <c r="AS15457" s="47"/>
    </row>
    <row r="15458" spans="45:45">
      <c r="AS15458" s="47"/>
    </row>
    <row r="15459" spans="45:45">
      <c r="AS15459" s="47"/>
    </row>
    <row r="15460" spans="45:45">
      <c r="AS15460" s="47"/>
    </row>
    <row r="15461" spans="45:45">
      <c r="AS15461" s="47"/>
    </row>
    <row r="15462" spans="45:45">
      <c r="AS15462" s="47"/>
    </row>
    <row r="15463" spans="45:45">
      <c r="AS15463" s="47"/>
    </row>
    <row r="15464" spans="45:45">
      <c r="AS15464" s="47"/>
    </row>
    <row r="15465" spans="45:45">
      <c r="AS15465" s="47"/>
    </row>
    <row r="15466" spans="45:45">
      <c r="AS15466" s="47"/>
    </row>
    <row r="15467" spans="45:45">
      <c r="AS15467" s="47"/>
    </row>
    <row r="15468" spans="45:45">
      <c r="AS15468" s="47"/>
    </row>
    <row r="15469" spans="45:45">
      <c r="AS15469" s="47"/>
    </row>
    <row r="15470" spans="45:45">
      <c r="AS15470" s="47"/>
    </row>
    <row r="15471" spans="45:45">
      <c r="AS15471" s="47"/>
    </row>
    <row r="15472" spans="45:45">
      <c r="AS15472" s="47"/>
    </row>
    <row r="15473" spans="45:45">
      <c r="AS15473" s="47"/>
    </row>
    <row r="15474" spans="45:45">
      <c r="AS15474" s="47"/>
    </row>
    <row r="15475" spans="45:45">
      <c r="AS15475" s="47"/>
    </row>
    <row r="15476" spans="45:45">
      <c r="AS15476" s="47"/>
    </row>
    <row r="15477" spans="45:45">
      <c r="AS15477" s="47"/>
    </row>
    <row r="15478" spans="45:45">
      <c r="AS15478" s="47"/>
    </row>
    <row r="15479" spans="45:45">
      <c r="AS15479" s="47"/>
    </row>
    <row r="15480" spans="45:45">
      <c r="AS15480" s="47"/>
    </row>
    <row r="15481" spans="45:45">
      <c r="AS15481" s="47"/>
    </row>
    <row r="15482" spans="45:45">
      <c r="AS15482" s="47"/>
    </row>
    <row r="15483" spans="45:45">
      <c r="AS15483" s="47"/>
    </row>
    <row r="15484" spans="45:45">
      <c r="AS15484" s="47"/>
    </row>
    <row r="15485" spans="45:45">
      <c r="AS15485" s="47"/>
    </row>
    <row r="15486" spans="45:45">
      <c r="AS15486" s="47"/>
    </row>
    <row r="15487" spans="45:45">
      <c r="AS15487" s="47"/>
    </row>
    <row r="15488" spans="45:45">
      <c r="AS15488" s="47"/>
    </row>
    <row r="15489" spans="45:45">
      <c r="AS15489" s="47"/>
    </row>
    <row r="15490" spans="45:45">
      <c r="AS15490" s="47"/>
    </row>
    <row r="15491" spans="45:45">
      <c r="AS15491" s="47"/>
    </row>
    <row r="15492" spans="45:45">
      <c r="AS15492" s="47"/>
    </row>
    <row r="15493" spans="45:45">
      <c r="AS15493" s="47"/>
    </row>
    <row r="15494" spans="45:45">
      <c r="AS15494" s="47"/>
    </row>
    <row r="15495" spans="45:45">
      <c r="AS15495" s="47"/>
    </row>
    <row r="15496" spans="45:45">
      <c r="AS15496" s="47"/>
    </row>
    <row r="15497" spans="45:45">
      <c r="AS15497" s="47"/>
    </row>
    <row r="15498" spans="45:45">
      <c r="AS15498" s="47"/>
    </row>
    <row r="15499" spans="45:45">
      <c r="AS15499" s="47"/>
    </row>
    <row r="15500" spans="45:45">
      <c r="AS15500" s="47"/>
    </row>
    <row r="15501" spans="45:45">
      <c r="AS15501" s="47"/>
    </row>
    <row r="15502" spans="45:45">
      <c r="AS15502" s="47"/>
    </row>
    <row r="15503" spans="45:45">
      <c r="AS15503" s="47"/>
    </row>
    <row r="15504" spans="45:45">
      <c r="AS15504" s="47"/>
    </row>
    <row r="15505" spans="45:45">
      <c r="AS15505" s="47"/>
    </row>
    <row r="15506" spans="45:45">
      <c r="AS15506" s="47"/>
    </row>
    <row r="15507" spans="45:45">
      <c r="AS15507" s="47"/>
    </row>
    <row r="15508" spans="45:45">
      <c r="AS15508" s="47"/>
    </row>
    <row r="15509" spans="45:45">
      <c r="AS15509" s="47"/>
    </row>
    <row r="15510" spans="45:45">
      <c r="AS15510" s="47"/>
    </row>
    <row r="15511" spans="45:45">
      <c r="AS15511" s="47"/>
    </row>
    <row r="15512" spans="45:45">
      <c r="AS15512" s="47"/>
    </row>
    <row r="15513" spans="45:45">
      <c r="AS15513" s="47"/>
    </row>
    <row r="15514" spans="45:45">
      <c r="AS15514" s="47"/>
    </row>
    <row r="15515" spans="45:45">
      <c r="AS15515" s="47"/>
    </row>
    <row r="15516" spans="45:45">
      <c r="AS15516" s="47"/>
    </row>
    <row r="15517" spans="45:45">
      <c r="AS15517" s="47"/>
    </row>
    <row r="15518" spans="45:45">
      <c r="AS15518" s="47"/>
    </row>
    <row r="15519" spans="45:45">
      <c r="AS15519" s="47"/>
    </row>
    <row r="15520" spans="45:45">
      <c r="AS15520" s="47"/>
    </row>
    <row r="15521" spans="45:45">
      <c r="AS15521" s="47"/>
    </row>
    <row r="15522" spans="45:45">
      <c r="AS15522" s="47"/>
    </row>
    <row r="15523" spans="45:45">
      <c r="AS15523" s="47"/>
    </row>
    <row r="15524" spans="45:45">
      <c r="AS15524" s="47"/>
    </row>
    <row r="15525" spans="45:45">
      <c r="AS15525" s="47"/>
    </row>
    <row r="15526" spans="45:45">
      <c r="AS15526" s="47"/>
    </row>
    <row r="15527" spans="45:45">
      <c r="AS15527" s="47"/>
    </row>
    <row r="15528" spans="45:45">
      <c r="AS15528" s="47"/>
    </row>
    <row r="15529" spans="45:45">
      <c r="AS15529" s="47"/>
    </row>
    <row r="15530" spans="45:45">
      <c r="AS15530" s="47"/>
    </row>
    <row r="15531" spans="45:45">
      <c r="AS15531" s="47"/>
    </row>
    <row r="15532" spans="45:45">
      <c r="AS15532" s="47"/>
    </row>
    <row r="15533" spans="45:45">
      <c r="AS15533" s="47"/>
    </row>
    <row r="15534" spans="45:45">
      <c r="AS15534" s="47"/>
    </row>
    <row r="15535" spans="45:45">
      <c r="AS15535" s="47"/>
    </row>
    <row r="15536" spans="45:45">
      <c r="AS15536" s="47"/>
    </row>
    <row r="15537" spans="45:45">
      <c r="AS15537" s="47"/>
    </row>
    <row r="15538" spans="45:45">
      <c r="AS15538" s="47"/>
    </row>
    <row r="15539" spans="45:45">
      <c r="AS15539" s="47"/>
    </row>
    <row r="15540" spans="45:45">
      <c r="AS15540" s="47"/>
    </row>
    <row r="15541" spans="45:45">
      <c r="AS15541" s="47"/>
    </row>
    <row r="15542" spans="45:45">
      <c r="AS15542" s="47"/>
    </row>
    <row r="15543" spans="45:45">
      <c r="AS15543" s="47"/>
    </row>
    <row r="15544" spans="45:45">
      <c r="AS15544" s="47"/>
    </row>
    <row r="15545" spans="45:45">
      <c r="AS15545" s="47"/>
    </row>
    <row r="15546" spans="45:45">
      <c r="AS15546" s="47"/>
    </row>
    <row r="15547" spans="45:45">
      <c r="AS15547" s="47"/>
    </row>
    <row r="15548" spans="45:45">
      <c r="AS15548" s="47"/>
    </row>
    <row r="15549" spans="45:45">
      <c r="AS15549" s="47"/>
    </row>
    <row r="15550" spans="45:45">
      <c r="AS15550" s="47"/>
    </row>
    <row r="15551" spans="45:45">
      <c r="AS15551" s="47"/>
    </row>
    <row r="15552" spans="45:45">
      <c r="AS15552" s="47"/>
    </row>
    <row r="15553" spans="45:45">
      <c r="AS15553" s="47"/>
    </row>
    <row r="15554" spans="45:45">
      <c r="AS15554" s="47"/>
    </row>
    <row r="15555" spans="45:45">
      <c r="AS15555" s="47"/>
    </row>
    <row r="15556" spans="45:45">
      <c r="AS15556" s="47"/>
    </row>
    <row r="15557" spans="45:45">
      <c r="AS15557" s="47"/>
    </row>
    <row r="15558" spans="45:45">
      <c r="AS15558" s="47"/>
    </row>
    <row r="15559" spans="45:45">
      <c r="AS15559" s="47"/>
    </row>
    <row r="15560" spans="45:45">
      <c r="AS15560" s="47"/>
    </row>
    <row r="15561" spans="45:45">
      <c r="AS15561" s="47"/>
    </row>
    <row r="15562" spans="45:45">
      <c r="AS15562" s="47"/>
    </row>
    <row r="15563" spans="45:45">
      <c r="AS15563" s="47"/>
    </row>
    <row r="15564" spans="45:45">
      <c r="AS15564" s="47"/>
    </row>
    <row r="15565" spans="45:45">
      <c r="AS15565" s="47"/>
    </row>
    <row r="15566" spans="45:45">
      <c r="AS15566" s="47"/>
    </row>
    <row r="15567" spans="45:45">
      <c r="AS15567" s="47"/>
    </row>
    <row r="15568" spans="45:45">
      <c r="AS15568" s="47"/>
    </row>
    <row r="15569" spans="45:45">
      <c r="AS15569" s="47"/>
    </row>
    <row r="15570" spans="45:45">
      <c r="AS15570" s="47"/>
    </row>
    <row r="15571" spans="45:45">
      <c r="AS15571" s="47"/>
    </row>
    <row r="15572" spans="45:45">
      <c r="AS15572" s="47"/>
    </row>
    <row r="15573" spans="45:45">
      <c r="AS15573" s="47"/>
    </row>
    <row r="15574" spans="45:45">
      <c r="AS15574" s="47"/>
    </row>
    <row r="15575" spans="45:45">
      <c r="AS15575" s="47"/>
    </row>
    <row r="15576" spans="45:45">
      <c r="AS15576" s="47"/>
    </row>
    <row r="15577" spans="45:45">
      <c r="AS15577" s="47"/>
    </row>
    <row r="15578" spans="45:45">
      <c r="AS15578" s="47"/>
    </row>
    <row r="15579" spans="45:45">
      <c r="AS15579" s="47"/>
    </row>
    <row r="15580" spans="45:45">
      <c r="AS15580" s="47"/>
    </row>
    <row r="15581" spans="45:45">
      <c r="AS15581" s="47"/>
    </row>
    <row r="15582" spans="45:45">
      <c r="AS15582" s="47"/>
    </row>
    <row r="15583" spans="45:45">
      <c r="AS15583" s="47"/>
    </row>
    <row r="15584" spans="45:45">
      <c r="AS15584" s="47"/>
    </row>
    <row r="15585" spans="45:45">
      <c r="AS15585" s="47"/>
    </row>
    <row r="15586" spans="45:45">
      <c r="AS15586" s="47"/>
    </row>
    <row r="15587" spans="45:45">
      <c r="AS15587" s="47"/>
    </row>
    <row r="15588" spans="45:45">
      <c r="AS15588" s="47"/>
    </row>
    <row r="15589" spans="45:45">
      <c r="AS15589" s="47"/>
    </row>
    <row r="15590" spans="45:45">
      <c r="AS15590" s="47"/>
    </row>
    <row r="15591" spans="45:45">
      <c r="AS15591" s="47"/>
    </row>
    <row r="15592" spans="45:45">
      <c r="AS15592" s="47"/>
    </row>
    <row r="15593" spans="45:45">
      <c r="AS15593" s="47"/>
    </row>
    <row r="15594" spans="45:45">
      <c r="AS15594" s="47"/>
    </row>
    <row r="15595" spans="45:45">
      <c r="AS15595" s="47"/>
    </row>
    <row r="15596" spans="45:45">
      <c r="AS15596" s="47"/>
    </row>
    <row r="15597" spans="45:45">
      <c r="AS15597" s="47"/>
    </row>
    <row r="15598" spans="45:45">
      <c r="AS15598" s="47"/>
    </row>
    <row r="15599" spans="45:45">
      <c r="AS15599" s="47"/>
    </row>
    <row r="15600" spans="45:45">
      <c r="AS15600" s="47"/>
    </row>
    <row r="15601" spans="45:45">
      <c r="AS15601" s="47"/>
    </row>
    <row r="15602" spans="45:45">
      <c r="AS15602" s="47"/>
    </row>
    <row r="15603" spans="45:45">
      <c r="AS15603" s="47"/>
    </row>
    <row r="15604" spans="45:45">
      <c r="AS15604" s="47"/>
    </row>
    <row r="15605" spans="45:45">
      <c r="AS15605" s="47"/>
    </row>
    <row r="15606" spans="45:45">
      <c r="AS15606" s="47"/>
    </row>
    <row r="15607" spans="45:45">
      <c r="AS15607" s="47"/>
    </row>
    <row r="15608" spans="45:45">
      <c r="AS15608" s="47"/>
    </row>
    <row r="15609" spans="45:45">
      <c r="AS15609" s="47"/>
    </row>
    <row r="15610" spans="45:45">
      <c r="AS15610" s="47"/>
    </row>
    <row r="15611" spans="45:45">
      <c r="AS15611" s="47"/>
    </row>
    <row r="15612" spans="45:45">
      <c r="AS15612" s="47"/>
    </row>
    <row r="15613" spans="45:45">
      <c r="AS15613" s="47"/>
    </row>
    <row r="15614" spans="45:45">
      <c r="AS15614" s="47"/>
    </row>
    <row r="15615" spans="45:45">
      <c r="AS15615" s="47"/>
    </row>
    <row r="15616" spans="45:45">
      <c r="AS15616" s="47"/>
    </row>
    <row r="15617" spans="45:45">
      <c r="AS15617" s="47"/>
    </row>
    <row r="15618" spans="45:45">
      <c r="AS15618" s="47"/>
    </row>
    <row r="15619" spans="45:45">
      <c r="AS15619" s="47"/>
    </row>
    <row r="15620" spans="45:45">
      <c r="AS15620" s="47"/>
    </row>
    <row r="15621" spans="45:45">
      <c r="AS15621" s="47"/>
    </row>
    <row r="15622" spans="45:45">
      <c r="AS15622" s="47"/>
    </row>
    <row r="15623" spans="45:45">
      <c r="AS15623" s="47"/>
    </row>
    <row r="15624" spans="45:45">
      <c r="AS15624" s="47"/>
    </row>
    <row r="15625" spans="45:45">
      <c r="AS15625" s="47"/>
    </row>
    <row r="15626" spans="45:45">
      <c r="AS15626" s="47"/>
    </row>
    <row r="15627" spans="45:45">
      <c r="AS15627" s="47"/>
    </row>
    <row r="15628" spans="45:45">
      <c r="AS15628" s="47"/>
    </row>
    <row r="15629" spans="45:45">
      <c r="AS15629" s="47"/>
    </row>
    <row r="15630" spans="45:45">
      <c r="AS15630" s="47"/>
    </row>
    <row r="15631" spans="45:45">
      <c r="AS15631" s="47"/>
    </row>
    <row r="15632" spans="45:45">
      <c r="AS15632" s="47"/>
    </row>
    <row r="15633" spans="45:45">
      <c r="AS15633" s="47"/>
    </row>
    <row r="15634" spans="45:45">
      <c r="AS15634" s="47"/>
    </row>
    <row r="15635" spans="45:45">
      <c r="AS15635" s="47"/>
    </row>
    <row r="15636" spans="45:45">
      <c r="AS15636" s="47"/>
    </row>
    <row r="15637" spans="45:45">
      <c r="AS15637" s="47"/>
    </row>
    <row r="15638" spans="45:45">
      <c r="AS15638" s="47"/>
    </row>
    <row r="15639" spans="45:45">
      <c r="AS15639" s="47"/>
    </row>
    <row r="15640" spans="45:45">
      <c r="AS15640" s="47"/>
    </row>
    <row r="15641" spans="45:45">
      <c r="AS15641" s="47"/>
    </row>
    <row r="15642" spans="45:45">
      <c r="AS15642" s="47"/>
    </row>
    <row r="15643" spans="45:45">
      <c r="AS15643" s="47"/>
    </row>
    <row r="15644" spans="45:45">
      <c r="AS15644" s="47"/>
    </row>
    <row r="15645" spans="45:45">
      <c r="AS15645" s="47"/>
    </row>
    <row r="15646" spans="45:45">
      <c r="AS15646" s="47"/>
    </row>
    <row r="15647" spans="45:45">
      <c r="AS15647" s="47"/>
    </row>
    <row r="15648" spans="45:45">
      <c r="AS15648" s="47"/>
    </row>
    <row r="15649" spans="45:45">
      <c r="AS15649" s="47"/>
    </row>
    <row r="15650" spans="45:45">
      <c r="AS15650" s="47"/>
    </row>
    <row r="15651" spans="45:45">
      <c r="AS15651" s="47"/>
    </row>
    <row r="15652" spans="45:45">
      <c r="AS15652" s="47"/>
    </row>
    <row r="15653" spans="45:45">
      <c r="AS15653" s="47"/>
    </row>
    <row r="15654" spans="45:45">
      <c r="AS15654" s="47"/>
    </row>
    <row r="15655" spans="45:45">
      <c r="AS15655" s="47"/>
    </row>
    <row r="15656" spans="45:45">
      <c r="AS15656" s="47"/>
    </row>
    <row r="15657" spans="45:45">
      <c r="AS15657" s="47"/>
    </row>
    <row r="15658" spans="45:45">
      <c r="AS15658" s="47"/>
    </row>
    <row r="15659" spans="45:45">
      <c r="AS15659" s="47"/>
    </row>
    <row r="15660" spans="45:45">
      <c r="AS15660" s="47"/>
    </row>
    <row r="15661" spans="45:45">
      <c r="AS15661" s="47"/>
    </row>
    <row r="15662" spans="45:45">
      <c r="AS15662" s="47"/>
    </row>
    <row r="15663" spans="45:45">
      <c r="AS15663" s="47"/>
    </row>
    <row r="15664" spans="45:45">
      <c r="AS15664" s="47"/>
    </row>
    <row r="15665" spans="45:45">
      <c r="AS15665" s="47"/>
    </row>
    <row r="15666" spans="45:45">
      <c r="AS15666" s="47"/>
    </row>
    <row r="15667" spans="45:45">
      <c r="AS15667" s="47"/>
    </row>
    <row r="15668" spans="45:45">
      <c r="AS15668" s="47"/>
    </row>
    <row r="15669" spans="45:45">
      <c r="AS15669" s="47"/>
    </row>
    <row r="15670" spans="45:45">
      <c r="AS15670" s="47"/>
    </row>
    <row r="15671" spans="45:45">
      <c r="AS15671" s="47"/>
    </row>
    <row r="15672" spans="45:45">
      <c r="AS15672" s="47"/>
    </row>
    <row r="15673" spans="45:45">
      <c r="AS15673" s="47"/>
    </row>
    <row r="15674" spans="45:45">
      <c r="AS15674" s="47"/>
    </row>
    <row r="15675" spans="45:45">
      <c r="AS15675" s="47"/>
    </row>
    <row r="15676" spans="45:45">
      <c r="AS15676" s="47"/>
    </row>
    <row r="15677" spans="45:45">
      <c r="AS15677" s="47"/>
    </row>
    <row r="15678" spans="45:45">
      <c r="AS15678" s="47"/>
    </row>
    <row r="15679" spans="45:45">
      <c r="AS15679" s="47"/>
    </row>
    <row r="15680" spans="45:45">
      <c r="AS15680" s="47"/>
    </row>
    <row r="15681" spans="45:45">
      <c r="AS15681" s="47"/>
    </row>
    <row r="15682" spans="45:45">
      <c r="AS15682" s="47"/>
    </row>
    <row r="15683" spans="45:45">
      <c r="AS15683" s="47"/>
    </row>
    <row r="15684" spans="45:45">
      <c r="AS15684" s="47"/>
    </row>
    <row r="15685" spans="45:45">
      <c r="AS15685" s="47"/>
    </row>
    <row r="15686" spans="45:45">
      <c r="AS15686" s="47"/>
    </row>
    <row r="15687" spans="45:45">
      <c r="AS15687" s="47"/>
    </row>
    <row r="15688" spans="45:45">
      <c r="AS15688" s="47"/>
    </row>
    <row r="15689" spans="45:45">
      <c r="AS15689" s="47"/>
    </row>
    <row r="15690" spans="45:45">
      <c r="AS15690" s="47"/>
    </row>
    <row r="15691" spans="45:45">
      <c r="AS15691" s="47"/>
    </row>
    <row r="15692" spans="45:45">
      <c r="AS15692" s="47"/>
    </row>
    <row r="15693" spans="45:45">
      <c r="AS15693" s="47"/>
    </row>
    <row r="15694" spans="45:45">
      <c r="AS15694" s="47"/>
    </row>
    <row r="15695" spans="45:45">
      <c r="AS15695" s="47"/>
    </row>
    <row r="15696" spans="45:45">
      <c r="AS15696" s="47"/>
    </row>
    <row r="15697" spans="45:45">
      <c r="AS15697" s="47"/>
    </row>
    <row r="15698" spans="45:45">
      <c r="AS15698" s="47"/>
    </row>
    <row r="15699" spans="45:45">
      <c r="AS15699" s="47"/>
    </row>
    <row r="15700" spans="45:45">
      <c r="AS15700" s="47"/>
    </row>
    <row r="15701" spans="45:45">
      <c r="AS15701" s="47"/>
    </row>
    <row r="15702" spans="45:45">
      <c r="AS15702" s="47"/>
    </row>
    <row r="15703" spans="45:45">
      <c r="AS15703" s="47"/>
    </row>
    <row r="15704" spans="45:45">
      <c r="AS15704" s="47"/>
    </row>
    <row r="15705" spans="45:45">
      <c r="AS15705" s="47"/>
    </row>
    <row r="15706" spans="45:45">
      <c r="AS15706" s="47"/>
    </row>
    <row r="15707" spans="45:45">
      <c r="AS15707" s="47"/>
    </row>
    <row r="15708" spans="45:45">
      <c r="AS15708" s="47"/>
    </row>
    <row r="15709" spans="45:45">
      <c r="AS15709" s="47"/>
    </row>
    <row r="15710" spans="45:45">
      <c r="AS15710" s="47"/>
    </row>
    <row r="15711" spans="45:45">
      <c r="AS15711" s="47"/>
    </row>
    <row r="15712" spans="45:45">
      <c r="AS15712" s="47"/>
    </row>
    <row r="15713" spans="45:45">
      <c r="AS15713" s="47"/>
    </row>
    <row r="15714" spans="45:45">
      <c r="AS15714" s="47"/>
    </row>
    <row r="15715" spans="45:45">
      <c r="AS15715" s="47"/>
    </row>
    <row r="15716" spans="45:45">
      <c r="AS15716" s="47"/>
    </row>
    <row r="15717" spans="45:45">
      <c r="AS15717" s="47"/>
    </row>
    <row r="15718" spans="45:45">
      <c r="AS15718" s="47"/>
    </row>
    <row r="15719" spans="45:45">
      <c r="AS15719" s="47"/>
    </row>
    <row r="15720" spans="45:45">
      <c r="AS15720" s="47"/>
    </row>
    <row r="15721" spans="45:45">
      <c r="AS15721" s="47"/>
    </row>
    <row r="15722" spans="45:45">
      <c r="AS15722" s="47"/>
    </row>
    <row r="15723" spans="45:45">
      <c r="AS15723" s="47"/>
    </row>
    <row r="15724" spans="45:45">
      <c r="AS15724" s="47"/>
    </row>
    <row r="15725" spans="45:45">
      <c r="AS15725" s="47"/>
    </row>
    <row r="15726" spans="45:45">
      <c r="AS15726" s="47"/>
    </row>
    <row r="15727" spans="45:45">
      <c r="AS15727" s="47"/>
    </row>
    <row r="15728" spans="45:45">
      <c r="AS15728" s="47"/>
    </row>
    <row r="15729" spans="45:45">
      <c r="AS15729" s="47"/>
    </row>
    <row r="15730" spans="45:45">
      <c r="AS15730" s="47"/>
    </row>
    <row r="15731" spans="45:45">
      <c r="AS15731" s="47"/>
    </row>
    <row r="15732" spans="45:45">
      <c r="AS15732" s="47"/>
    </row>
    <row r="15733" spans="45:45">
      <c r="AS15733" s="47"/>
    </row>
    <row r="15734" spans="45:45">
      <c r="AS15734" s="47"/>
    </row>
    <row r="15735" spans="45:45">
      <c r="AS15735" s="47"/>
    </row>
    <row r="15736" spans="45:45">
      <c r="AS15736" s="47"/>
    </row>
    <row r="15737" spans="45:45">
      <c r="AS15737" s="47"/>
    </row>
    <row r="15738" spans="45:45">
      <c r="AS15738" s="47"/>
    </row>
    <row r="15739" spans="45:45">
      <c r="AS15739" s="47"/>
    </row>
    <row r="15740" spans="45:45">
      <c r="AS15740" s="47"/>
    </row>
    <row r="15741" spans="45:45">
      <c r="AS15741" s="47"/>
    </row>
    <row r="15742" spans="45:45">
      <c r="AS15742" s="47"/>
    </row>
    <row r="15743" spans="45:45">
      <c r="AS15743" s="47"/>
    </row>
    <row r="15744" spans="45:45">
      <c r="AS15744" s="47"/>
    </row>
    <row r="15745" spans="45:45">
      <c r="AS15745" s="47"/>
    </row>
    <row r="15746" spans="45:45">
      <c r="AS15746" s="47"/>
    </row>
    <row r="15747" spans="45:45">
      <c r="AS15747" s="47"/>
    </row>
    <row r="15748" spans="45:45">
      <c r="AS15748" s="47"/>
    </row>
    <row r="15749" spans="45:45">
      <c r="AS15749" s="47"/>
    </row>
    <row r="15750" spans="45:45">
      <c r="AS15750" s="47"/>
    </row>
    <row r="15751" spans="45:45">
      <c r="AS15751" s="47"/>
    </row>
    <row r="15752" spans="45:45">
      <c r="AS15752" s="47"/>
    </row>
    <row r="15753" spans="45:45">
      <c r="AS15753" s="47"/>
    </row>
    <row r="15754" spans="45:45">
      <c r="AS15754" s="47"/>
    </row>
    <row r="15755" spans="45:45">
      <c r="AS15755" s="47"/>
    </row>
    <row r="15756" spans="45:45">
      <c r="AS15756" s="47"/>
    </row>
    <row r="15757" spans="45:45">
      <c r="AS15757" s="47"/>
    </row>
    <row r="15758" spans="45:45">
      <c r="AS15758" s="47"/>
    </row>
    <row r="15759" spans="45:45">
      <c r="AS15759" s="47"/>
    </row>
    <row r="15760" spans="45:45">
      <c r="AS15760" s="47"/>
    </row>
    <row r="15761" spans="45:45">
      <c r="AS15761" s="47"/>
    </row>
    <row r="15762" spans="45:45">
      <c r="AS15762" s="47"/>
    </row>
    <row r="15763" spans="45:45">
      <c r="AS15763" s="47"/>
    </row>
    <row r="15764" spans="45:45">
      <c r="AS15764" s="47"/>
    </row>
    <row r="15765" spans="45:45">
      <c r="AS15765" s="47"/>
    </row>
    <row r="15766" spans="45:45">
      <c r="AS15766" s="47"/>
    </row>
    <row r="15767" spans="45:45">
      <c r="AS15767" s="47"/>
    </row>
    <row r="15768" spans="45:45">
      <c r="AS15768" s="47"/>
    </row>
    <row r="15769" spans="45:45">
      <c r="AS15769" s="47"/>
    </row>
    <row r="15770" spans="45:45">
      <c r="AS15770" s="47"/>
    </row>
    <row r="15771" spans="45:45">
      <c r="AS15771" s="47"/>
    </row>
    <row r="15772" spans="45:45">
      <c r="AS15772" s="47"/>
    </row>
    <row r="15773" spans="45:45">
      <c r="AS15773" s="47"/>
    </row>
    <row r="15774" spans="45:45">
      <c r="AS15774" s="47"/>
    </row>
    <row r="15775" spans="45:45">
      <c r="AS15775" s="47"/>
    </row>
    <row r="15776" spans="45:45">
      <c r="AS15776" s="47"/>
    </row>
    <row r="15777" spans="45:45">
      <c r="AS15777" s="47"/>
    </row>
    <row r="15778" spans="45:45">
      <c r="AS15778" s="47"/>
    </row>
    <row r="15779" spans="45:45">
      <c r="AS15779" s="47"/>
    </row>
    <row r="15780" spans="45:45">
      <c r="AS15780" s="47"/>
    </row>
    <row r="15781" spans="45:45">
      <c r="AS15781" s="47"/>
    </row>
    <row r="15782" spans="45:45">
      <c r="AS15782" s="47"/>
    </row>
    <row r="15783" spans="45:45">
      <c r="AS15783" s="47"/>
    </row>
    <row r="15784" spans="45:45">
      <c r="AS15784" s="47"/>
    </row>
    <row r="15785" spans="45:45">
      <c r="AS15785" s="47"/>
    </row>
    <row r="15786" spans="45:45">
      <c r="AS15786" s="47"/>
    </row>
    <row r="15787" spans="45:45">
      <c r="AS15787" s="47"/>
    </row>
    <row r="15788" spans="45:45">
      <c r="AS15788" s="47"/>
    </row>
    <row r="15789" spans="45:45">
      <c r="AS15789" s="47"/>
    </row>
    <row r="15790" spans="45:45">
      <c r="AS15790" s="47"/>
    </row>
    <row r="15791" spans="45:45">
      <c r="AS15791" s="47"/>
    </row>
    <row r="15792" spans="45:45">
      <c r="AS15792" s="47"/>
    </row>
    <row r="15793" spans="45:45">
      <c r="AS15793" s="47"/>
    </row>
    <row r="15794" spans="45:45">
      <c r="AS15794" s="47"/>
    </row>
    <row r="15795" spans="45:45">
      <c r="AS15795" s="47"/>
    </row>
    <row r="15796" spans="45:45">
      <c r="AS15796" s="47"/>
    </row>
    <row r="15797" spans="45:45">
      <c r="AS15797" s="47"/>
    </row>
    <row r="15798" spans="45:45">
      <c r="AS15798" s="47"/>
    </row>
    <row r="15799" spans="45:45">
      <c r="AS15799" s="47"/>
    </row>
    <row r="15800" spans="45:45">
      <c r="AS15800" s="47"/>
    </row>
    <row r="15801" spans="45:45">
      <c r="AS15801" s="47"/>
    </row>
    <row r="15802" spans="45:45">
      <c r="AS15802" s="47"/>
    </row>
    <row r="15803" spans="45:45">
      <c r="AS15803" s="47"/>
    </row>
    <row r="15804" spans="45:45">
      <c r="AS15804" s="47"/>
    </row>
    <row r="15805" spans="45:45">
      <c r="AS15805" s="47"/>
    </row>
    <row r="15806" spans="45:45">
      <c r="AS15806" s="47"/>
    </row>
    <row r="15807" spans="45:45">
      <c r="AS15807" s="47"/>
    </row>
    <row r="15808" spans="45:45">
      <c r="AS15808" s="47"/>
    </row>
    <row r="15809" spans="45:45">
      <c r="AS15809" s="47"/>
    </row>
    <row r="15810" spans="45:45">
      <c r="AS15810" s="47"/>
    </row>
    <row r="15811" spans="45:45">
      <c r="AS15811" s="47"/>
    </row>
    <row r="15812" spans="45:45">
      <c r="AS15812" s="47"/>
    </row>
    <row r="15813" spans="45:45">
      <c r="AS15813" s="47"/>
    </row>
    <row r="15814" spans="45:45">
      <c r="AS15814" s="47"/>
    </row>
    <row r="15815" spans="45:45">
      <c r="AS15815" s="47"/>
    </row>
    <row r="15816" spans="45:45">
      <c r="AS15816" s="47"/>
    </row>
    <row r="15817" spans="45:45">
      <c r="AS15817" s="47"/>
    </row>
    <row r="15818" spans="45:45">
      <c r="AS15818" s="47"/>
    </row>
    <row r="15819" spans="45:45">
      <c r="AS15819" s="47"/>
    </row>
    <row r="15820" spans="45:45">
      <c r="AS15820" s="47"/>
    </row>
    <row r="15821" spans="45:45">
      <c r="AS15821" s="47"/>
    </row>
    <row r="15822" spans="45:45">
      <c r="AS15822" s="47"/>
    </row>
    <row r="15823" spans="45:45">
      <c r="AS15823" s="47"/>
    </row>
    <row r="15824" spans="45:45">
      <c r="AS15824" s="47"/>
    </row>
    <row r="15825" spans="45:45">
      <c r="AS15825" s="47"/>
    </row>
    <row r="15826" spans="45:45">
      <c r="AS15826" s="47"/>
    </row>
    <row r="15827" spans="45:45">
      <c r="AS15827" s="47"/>
    </row>
    <row r="15828" spans="45:45">
      <c r="AS15828" s="47"/>
    </row>
    <row r="15829" spans="45:45">
      <c r="AS15829" s="47"/>
    </row>
    <row r="15830" spans="45:45">
      <c r="AS15830" s="47"/>
    </row>
    <row r="15831" spans="45:45">
      <c r="AS15831" s="47"/>
    </row>
    <row r="15832" spans="45:45">
      <c r="AS15832" s="47"/>
    </row>
    <row r="15833" spans="45:45">
      <c r="AS15833" s="47"/>
    </row>
    <row r="15834" spans="45:45">
      <c r="AS15834" s="47"/>
    </row>
    <row r="15835" spans="45:45">
      <c r="AS15835" s="47"/>
    </row>
    <row r="15836" spans="45:45">
      <c r="AS15836" s="47"/>
    </row>
    <row r="15837" spans="45:45">
      <c r="AS15837" s="47"/>
    </row>
    <row r="15838" spans="45:45">
      <c r="AS15838" s="47"/>
    </row>
    <row r="15839" spans="45:45">
      <c r="AS15839" s="47"/>
    </row>
    <row r="15840" spans="45:45">
      <c r="AS15840" s="47"/>
    </row>
    <row r="15841" spans="45:45">
      <c r="AS15841" s="47"/>
    </row>
    <row r="15842" spans="45:45">
      <c r="AS15842" s="47"/>
    </row>
    <row r="15843" spans="45:45">
      <c r="AS15843" s="47"/>
    </row>
    <row r="15844" spans="45:45">
      <c r="AS15844" s="47"/>
    </row>
    <row r="15845" spans="45:45">
      <c r="AS15845" s="47"/>
    </row>
    <row r="15846" spans="45:45">
      <c r="AS15846" s="47"/>
    </row>
    <row r="15847" spans="45:45">
      <c r="AS15847" s="47"/>
    </row>
    <row r="15848" spans="45:45">
      <c r="AS15848" s="47"/>
    </row>
    <row r="15849" spans="45:45">
      <c r="AS15849" s="47"/>
    </row>
    <row r="15850" spans="45:45">
      <c r="AS15850" s="47"/>
    </row>
    <row r="15851" spans="45:45">
      <c r="AS15851" s="47"/>
    </row>
    <row r="15852" spans="45:45">
      <c r="AS15852" s="47"/>
    </row>
    <row r="15853" spans="45:45">
      <c r="AS15853" s="47"/>
    </row>
    <row r="15854" spans="45:45">
      <c r="AS15854" s="47"/>
    </row>
    <row r="15855" spans="45:45">
      <c r="AS15855" s="47"/>
    </row>
    <row r="15856" spans="45:45">
      <c r="AS15856" s="47"/>
    </row>
    <row r="15857" spans="45:45">
      <c r="AS15857" s="47"/>
    </row>
    <row r="15858" spans="45:45">
      <c r="AS15858" s="47"/>
    </row>
    <row r="15859" spans="45:45">
      <c r="AS15859" s="47"/>
    </row>
    <row r="15860" spans="45:45">
      <c r="AS15860" s="47"/>
    </row>
    <row r="15861" spans="45:45">
      <c r="AS15861" s="47"/>
    </row>
    <row r="15862" spans="45:45">
      <c r="AS15862" s="47"/>
    </row>
    <row r="15863" spans="45:45">
      <c r="AS15863" s="47"/>
    </row>
    <row r="15864" spans="45:45">
      <c r="AS15864" s="47"/>
    </row>
    <row r="15865" spans="45:45">
      <c r="AS15865" s="47"/>
    </row>
    <row r="15866" spans="45:45">
      <c r="AS15866" s="47"/>
    </row>
    <row r="15867" spans="45:45">
      <c r="AS15867" s="47"/>
    </row>
    <row r="15868" spans="45:45">
      <c r="AS15868" s="47"/>
    </row>
    <row r="15869" spans="45:45">
      <c r="AS15869" s="47"/>
    </row>
    <row r="15870" spans="45:45">
      <c r="AS15870" s="47"/>
    </row>
    <row r="15871" spans="45:45">
      <c r="AS15871" s="47"/>
    </row>
    <row r="15872" spans="45:45">
      <c r="AS15872" s="47"/>
    </row>
    <row r="15873" spans="45:45">
      <c r="AS15873" s="47"/>
    </row>
    <row r="15874" spans="45:45">
      <c r="AS15874" s="47"/>
    </row>
    <row r="15875" spans="45:45">
      <c r="AS15875" s="47"/>
    </row>
    <row r="15876" spans="45:45">
      <c r="AS15876" s="47"/>
    </row>
    <row r="15877" spans="45:45">
      <c r="AS15877" s="47"/>
    </row>
    <row r="15878" spans="45:45">
      <c r="AS15878" s="47"/>
    </row>
    <row r="15879" spans="45:45">
      <c r="AS15879" s="47"/>
    </row>
    <row r="15880" spans="45:45">
      <c r="AS15880" s="47"/>
    </row>
    <row r="15881" spans="45:45">
      <c r="AS15881" s="47"/>
    </row>
    <row r="15882" spans="45:45">
      <c r="AS15882" s="47"/>
    </row>
    <row r="15883" spans="45:45">
      <c r="AS15883" s="47"/>
    </row>
    <row r="15884" spans="45:45">
      <c r="AS15884" s="47"/>
    </row>
    <row r="15885" spans="45:45">
      <c r="AS15885" s="47"/>
    </row>
    <row r="15886" spans="45:45">
      <c r="AS15886" s="47"/>
    </row>
    <row r="15887" spans="45:45">
      <c r="AS15887" s="47"/>
    </row>
    <row r="15888" spans="45:45">
      <c r="AS15888" s="47"/>
    </row>
    <row r="15889" spans="45:45">
      <c r="AS15889" s="47"/>
    </row>
    <row r="15890" spans="45:45">
      <c r="AS15890" s="47"/>
    </row>
    <row r="15891" spans="45:45">
      <c r="AS15891" s="47"/>
    </row>
    <row r="15892" spans="45:45">
      <c r="AS15892" s="47"/>
    </row>
    <row r="15893" spans="45:45">
      <c r="AS15893" s="47"/>
    </row>
    <row r="15894" spans="45:45">
      <c r="AS15894" s="47"/>
    </row>
    <row r="15895" spans="45:45">
      <c r="AS15895" s="47"/>
    </row>
    <row r="15896" spans="45:45">
      <c r="AS15896" s="47"/>
    </row>
    <row r="15897" spans="45:45">
      <c r="AS15897" s="47"/>
    </row>
    <row r="15898" spans="45:45">
      <c r="AS15898" s="47"/>
    </row>
    <row r="15899" spans="45:45">
      <c r="AS15899" s="47"/>
    </row>
    <row r="15900" spans="45:45">
      <c r="AS15900" s="47"/>
    </row>
    <row r="15901" spans="45:45">
      <c r="AS15901" s="47"/>
    </row>
    <row r="15902" spans="45:45">
      <c r="AS15902" s="47"/>
    </row>
    <row r="15903" spans="45:45">
      <c r="AS15903" s="47"/>
    </row>
    <row r="15904" spans="45:45">
      <c r="AS15904" s="47"/>
    </row>
    <row r="15905" spans="45:45">
      <c r="AS15905" s="47"/>
    </row>
    <row r="15906" spans="45:45">
      <c r="AS15906" s="47"/>
    </row>
    <row r="15907" spans="45:45">
      <c r="AS15907" s="47"/>
    </row>
    <row r="15908" spans="45:45">
      <c r="AS15908" s="47"/>
    </row>
    <row r="15909" spans="45:45">
      <c r="AS15909" s="47"/>
    </row>
    <row r="15910" spans="45:45">
      <c r="AS15910" s="47"/>
    </row>
    <row r="15911" spans="45:45">
      <c r="AS15911" s="47"/>
    </row>
    <row r="15912" spans="45:45">
      <c r="AS15912" s="47"/>
    </row>
    <row r="15913" spans="45:45">
      <c r="AS15913" s="47"/>
    </row>
    <row r="15914" spans="45:45">
      <c r="AS15914" s="47"/>
    </row>
    <row r="15915" spans="45:45">
      <c r="AS15915" s="47"/>
    </row>
    <row r="15916" spans="45:45">
      <c r="AS15916" s="47"/>
    </row>
    <row r="15917" spans="45:45">
      <c r="AS15917" s="47"/>
    </row>
    <row r="15918" spans="45:45">
      <c r="AS15918" s="47"/>
    </row>
    <row r="15919" spans="45:45">
      <c r="AS15919" s="47"/>
    </row>
    <row r="15920" spans="45:45">
      <c r="AS15920" s="47"/>
    </row>
    <row r="15921" spans="45:45">
      <c r="AS15921" s="47"/>
    </row>
    <row r="15922" spans="45:45">
      <c r="AS15922" s="47"/>
    </row>
    <row r="15923" spans="45:45">
      <c r="AS15923" s="47"/>
    </row>
    <row r="15924" spans="45:45">
      <c r="AS15924" s="47"/>
    </row>
    <row r="15925" spans="45:45">
      <c r="AS15925" s="47"/>
    </row>
    <row r="15926" spans="45:45">
      <c r="AS15926" s="47"/>
    </row>
    <row r="15927" spans="45:45">
      <c r="AS15927" s="47"/>
    </row>
    <row r="15928" spans="45:45">
      <c r="AS15928" s="47"/>
    </row>
    <row r="15929" spans="45:45">
      <c r="AS15929" s="47"/>
    </row>
    <row r="15930" spans="45:45">
      <c r="AS15930" s="47"/>
    </row>
    <row r="15931" spans="45:45">
      <c r="AS15931" s="47"/>
    </row>
    <row r="15932" spans="45:45">
      <c r="AS15932" s="47"/>
    </row>
    <row r="15933" spans="45:45">
      <c r="AS15933" s="47"/>
    </row>
    <row r="15934" spans="45:45">
      <c r="AS15934" s="47"/>
    </row>
    <row r="15935" spans="45:45">
      <c r="AS15935" s="47"/>
    </row>
    <row r="15936" spans="45:45">
      <c r="AS15936" s="47"/>
    </row>
    <row r="15937" spans="45:45">
      <c r="AS15937" s="47"/>
    </row>
    <row r="15938" spans="45:45">
      <c r="AS15938" s="47"/>
    </row>
    <row r="15939" spans="45:45">
      <c r="AS15939" s="47"/>
    </row>
    <row r="15940" spans="45:45">
      <c r="AS15940" s="47"/>
    </row>
    <row r="15941" spans="45:45">
      <c r="AS15941" s="47"/>
    </row>
    <row r="15942" spans="45:45">
      <c r="AS15942" s="47"/>
    </row>
    <row r="15943" spans="45:45">
      <c r="AS15943" s="47"/>
    </row>
    <row r="15944" spans="45:45">
      <c r="AS15944" s="47"/>
    </row>
    <row r="15945" spans="45:45">
      <c r="AS15945" s="47"/>
    </row>
    <row r="15946" spans="45:45">
      <c r="AS15946" s="47"/>
    </row>
    <row r="15947" spans="45:45">
      <c r="AS15947" s="47"/>
    </row>
    <row r="15948" spans="45:45">
      <c r="AS15948" s="47"/>
    </row>
    <row r="15949" spans="45:45">
      <c r="AS15949" s="47"/>
    </row>
    <row r="15950" spans="45:45">
      <c r="AS15950" s="47"/>
    </row>
    <row r="15951" spans="45:45">
      <c r="AS15951" s="47"/>
    </row>
    <row r="15952" spans="45:45">
      <c r="AS15952" s="47"/>
    </row>
    <row r="15953" spans="45:45">
      <c r="AS15953" s="47"/>
    </row>
    <row r="15954" spans="45:45">
      <c r="AS15954" s="47"/>
    </row>
    <row r="15955" spans="45:45">
      <c r="AS15955" s="47"/>
    </row>
    <row r="15956" spans="45:45">
      <c r="AS15956" s="47"/>
    </row>
    <row r="15957" spans="45:45">
      <c r="AS15957" s="47"/>
    </row>
    <row r="15958" spans="45:45">
      <c r="AS15958" s="47"/>
    </row>
    <row r="15959" spans="45:45">
      <c r="AS15959" s="47"/>
    </row>
    <row r="15960" spans="45:45">
      <c r="AS15960" s="47"/>
    </row>
    <row r="15961" spans="45:45">
      <c r="AS15961" s="47"/>
    </row>
    <row r="15962" spans="45:45">
      <c r="AS15962" s="47"/>
    </row>
    <row r="15963" spans="45:45">
      <c r="AS15963" s="47"/>
    </row>
    <row r="15964" spans="45:45">
      <c r="AS15964" s="47"/>
    </row>
    <row r="15965" spans="45:45">
      <c r="AS15965" s="47"/>
    </row>
    <row r="15966" spans="45:45">
      <c r="AS15966" s="47"/>
    </row>
    <row r="15967" spans="45:45">
      <c r="AS15967" s="47"/>
    </row>
    <row r="15968" spans="45:45">
      <c r="AS15968" s="47"/>
    </row>
    <row r="15969" spans="45:45">
      <c r="AS15969" s="47"/>
    </row>
    <row r="15970" spans="45:45">
      <c r="AS15970" s="47"/>
    </row>
    <row r="15971" spans="45:45">
      <c r="AS15971" s="47"/>
    </row>
    <row r="15972" spans="45:45">
      <c r="AS15972" s="47"/>
    </row>
    <row r="15973" spans="45:45">
      <c r="AS15973" s="47"/>
    </row>
    <row r="15974" spans="45:45">
      <c r="AS15974" s="47"/>
    </row>
    <row r="15975" spans="45:45">
      <c r="AS15975" s="47"/>
    </row>
    <row r="15976" spans="45:45">
      <c r="AS15976" s="47"/>
    </row>
    <row r="15977" spans="45:45">
      <c r="AS15977" s="47"/>
    </row>
    <row r="15978" spans="45:45">
      <c r="AS15978" s="47"/>
    </row>
    <row r="15979" spans="45:45">
      <c r="AS15979" s="47"/>
    </row>
    <row r="15980" spans="45:45">
      <c r="AS15980" s="47"/>
    </row>
    <row r="15981" spans="45:45">
      <c r="AS15981" s="47"/>
    </row>
    <row r="15982" spans="45:45">
      <c r="AS15982" s="47"/>
    </row>
    <row r="15983" spans="45:45">
      <c r="AS15983" s="47"/>
    </row>
    <row r="15984" spans="45:45">
      <c r="AS15984" s="47"/>
    </row>
    <row r="15985" spans="45:45">
      <c r="AS15985" s="47"/>
    </row>
    <row r="15986" spans="45:45">
      <c r="AS15986" s="47"/>
    </row>
    <row r="15987" spans="45:45">
      <c r="AS15987" s="47"/>
    </row>
    <row r="15988" spans="45:45">
      <c r="AS15988" s="47"/>
    </row>
    <row r="15989" spans="45:45">
      <c r="AS15989" s="47"/>
    </row>
    <row r="15990" spans="45:45">
      <c r="AS15990" s="47"/>
    </row>
    <row r="15991" spans="45:45">
      <c r="AS15991" s="47"/>
    </row>
    <row r="15992" spans="45:45">
      <c r="AS15992" s="47"/>
    </row>
    <row r="15993" spans="45:45">
      <c r="AS15993" s="47"/>
    </row>
    <row r="15994" spans="45:45">
      <c r="AS15994" s="47"/>
    </row>
    <row r="15995" spans="45:45">
      <c r="AS15995" s="47"/>
    </row>
    <row r="15996" spans="45:45">
      <c r="AS15996" s="47"/>
    </row>
    <row r="15997" spans="45:45">
      <c r="AS15997" s="47"/>
    </row>
    <row r="15998" spans="45:45">
      <c r="AS15998" s="47"/>
    </row>
    <row r="15999" spans="45:45">
      <c r="AS15999" s="47"/>
    </row>
    <row r="16000" spans="45:45">
      <c r="AS16000" s="47"/>
    </row>
    <row r="16001" spans="45:45">
      <c r="AS16001" s="47"/>
    </row>
    <row r="16002" spans="45:45">
      <c r="AS16002" s="47"/>
    </row>
    <row r="16003" spans="45:45">
      <c r="AS16003" s="47"/>
    </row>
    <row r="16004" spans="45:45">
      <c r="AS16004" s="47"/>
    </row>
    <row r="16005" spans="45:45">
      <c r="AS16005" s="47"/>
    </row>
    <row r="16006" spans="45:45">
      <c r="AS16006" s="47"/>
    </row>
    <row r="16007" spans="45:45">
      <c r="AS16007" s="47"/>
    </row>
    <row r="16008" spans="45:45">
      <c r="AS16008" s="47"/>
    </row>
    <row r="16009" spans="45:45">
      <c r="AS16009" s="47"/>
    </row>
    <row r="16010" spans="45:45">
      <c r="AS16010" s="47"/>
    </row>
    <row r="16011" spans="45:45">
      <c r="AS16011" s="47"/>
    </row>
    <row r="16012" spans="45:45">
      <c r="AS16012" s="47"/>
    </row>
    <row r="16013" spans="45:45">
      <c r="AS16013" s="47"/>
    </row>
    <row r="16014" spans="45:45">
      <c r="AS16014" s="47"/>
    </row>
    <row r="16015" spans="45:45">
      <c r="AS16015" s="47"/>
    </row>
    <row r="16016" spans="45:45">
      <c r="AS16016" s="47"/>
    </row>
    <row r="16017" spans="45:45">
      <c r="AS16017" s="47"/>
    </row>
    <row r="16018" spans="45:45">
      <c r="AS16018" s="47"/>
    </row>
    <row r="16019" spans="45:45">
      <c r="AS16019" s="47"/>
    </row>
    <row r="16020" spans="45:45">
      <c r="AS16020" s="47"/>
    </row>
    <row r="16021" spans="45:45">
      <c r="AS16021" s="47"/>
    </row>
    <row r="16022" spans="45:45">
      <c r="AS16022" s="47"/>
    </row>
    <row r="16023" spans="45:45">
      <c r="AS16023" s="47"/>
    </row>
    <row r="16024" spans="45:45">
      <c r="AS16024" s="47"/>
    </row>
    <row r="16025" spans="45:45">
      <c r="AS16025" s="47"/>
    </row>
    <row r="16026" spans="45:45">
      <c r="AS16026" s="47"/>
    </row>
    <row r="16027" spans="45:45">
      <c r="AS16027" s="47"/>
    </row>
    <row r="16028" spans="45:45">
      <c r="AS16028" s="47"/>
    </row>
    <row r="16029" spans="45:45">
      <c r="AS16029" s="47"/>
    </row>
    <row r="16030" spans="45:45">
      <c r="AS16030" s="47"/>
    </row>
    <row r="16031" spans="45:45">
      <c r="AS16031" s="47"/>
    </row>
    <row r="16032" spans="45:45">
      <c r="AS16032" s="47"/>
    </row>
    <row r="16033" spans="45:45">
      <c r="AS16033" s="47"/>
    </row>
    <row r="16034" spans="45:45">
      <c r="AS16034" s="47"/>
    </row>
    <row r="16035" spans="45:45">
      <c r="AS16035" s="47"/>
    </row>
    <row r="16036" spans="45:45">
      <c r="AS16036" s="47"/>
    </row>
    <row r="16037" spans="45:45">
      <c r="AS16037" s="47"/>
    </row>
    <row r="16038" spans="45:45">
      <c r="AS16038" s="47"/>
    </row>
    <row r="16039" spans="45:45">
      <c r="AS16039" s="47"/>
    </row>
    <row r="16040" spans="45:45">
      <c r="AS16040" s="47"/>
    </row>
    <row r="16041" spans="45:45">
      <c r="AS16041" s="47"/>
    </row>
    <row r="16042" spans="45:45">
      <c r="AS16042" s="47"/>
    </row>
    <row r="16043" spans="45:45">
      <c r="AS16043" s="47"/>
    </row>
    <row r="16044" spans="45:45">
      <c r="AS16044" s="47"/>
    </row>
    <row r="16045" spans="45:45">
      <c r="AS16045" s="47"/>
    </row>
    <row r="16046" spans="45:45">
      <c r="AS16046" s="47"/>
    </row>
    <row r="16047" spans="45:45">
      <c r="AS16047" s="47"/>
    </row>
    <row r="16048" spans="45:45">
      <c r="AS16048" s="47"/>
    </row>
    <row r="16049" spans="45:45">
      <c r="AS16049" s="47"/>
    </row>
    <row r="16050" spans="45:45">
      <c r="AS16050" s="47"/>
    </row>
    <row r="16051" spans="45:45">
      <c r="AS16051" s="47"/>
    </row>
    <row r="16052" spans="45:45">
      <c r="AS16052" s="47"/>
    </row>
    <row r="16053" spans="45:45">
      <c r="AS16053" s="47"/>
    </row>
    <row r="16054" spans="45:45">
      <c r="AS16054" s="47"/>
    </row>
    <row r="16055" spans="45:45">
      <c r="AS16055" s="47"/>
    </row>
    <row r="16056" spans="45:45">
      <c r="AS16056" s="47"/>
    </row>
    <row r="16057" spans="45:45">
      <c r="AS16057" s="47"/>
    </row>
    <row r="16058" spans="45:45">
      <c r="AS16058" s="47"/>
    </row>
    <row r="16059" spans="45:45">
      <c r="AS16059" s="47"/>
    </row>
    <row r="16060" spans="45:45">
      <c r="AS16060" s="47"/>
    </row>
    <row r="16061" spans="45:45">
      <c r="AS16061" s="47"/>
    </row>
    <row r="16062" spans="45:45">
      <c r="AS16062" s="47"/>
    </row>
    <row r="16063" spans="45:45">
      <c r="AS16063" s="47"/>
    </row>
    <row r="16064" spans="45:45">
      <c r="AS16064" s="47"/>
    </row>
    <row r="16065" spans="45:45">
      <c r="AS16065" s="47"/>
    </row>
    <row r="16066" spans="45:45">
      <c r="AS16066" s="47"/>
    </row>
    <row r="16067" spans="45:45">
      <c r="AS16067" s="47"/>
    </row>
    <row r="16068" spans="45:45">
      <c r="AS16068" s="47"/>
    </row>
    <row r="16069" spans="45:45">
      <c r="AS16069" s="47"/>
    </row>
    <row r="16070" spans="45:45">
      <c r="AS16070" s="47"/>
    </row>
    <row r="16071" spans="45:45">
      <c r="AS16071" s="47"/>
    </row>
    <row r="16072" spans="45:45">
      <c r="AS16072" s="47"/>
    </row>
    <row r="16073" spans="45:45">
      <c r="AS16073" s="47"/>
    </row>
    <row r="16074" spans="45:45">
      <c r="AS16074" s="47"/>
    </row>
    <row r="16075" spans="45:45">
      <c r="AS16075" s="47"/>
    </row>
    <row r="16076" spans="45:45">
      <c r="AS16076" s="47"/>
    </row>
    <row r="16077" spans="45:45">
      <c r="AS16077" s="47"/>
    </row>
    <row r="16078" spans="45:45">
      <c r="AS16078" s="47"/>
    </row>
    <row r="16079" spans="45:45">
      <c r="AS16079" s="47"/>
    </row>
    <row r="16080" spans="45:45">
      <c r="AS16080" s="47"/>
    </row>
    <row r="16081" spans="45:45">
      <c r="AS16081" s="47"/>
    </row>
    <row r="16082" spans="45:45">
      <c r="AS16082" s="47"/>
    </row>
    <row r="16083" spans="45:45">
      <c r="AS16083" s="47"/>
    </row>
    <row r="16084" spans="45:45">
      <c r="AS16084" s="47"/>
    </row>
    <row r="16085" spans="45:45">
      <c r="AS16085" s="47"/>
    </row>
    <row r="16086" spans="45:45">
      <c r="AS16086" s="47"/>
    </row>
    <row r="16087" spans="45:45">
      <c r="AS16087" s="47"/>
    </row>
    <row r="16088" spans="45:45">
      <c r="AS16088" s="47"/>
    </row>
    <row r="16089" spans="45:45">
      <c r="AS16089" s="47"/>
    </row>
    <row r="16090" spans="45:45">
      <c r="AS16090" s="47"/>
    </row>
    <row r="16091" spans="45:45">
      <c r="AS16091" s="47"/>
    </row>
    <row r="16092" spans="45:45">
      <c r="AS16092" s="47"/>
    </row>
    <row r="16093" spans="45:45">
      <c r="AS16093" s="47"/>
    </row>
    <row r="16094" spans="45:45">
      <c r="AS16094" s="47"/>
    </row>
    <row r="16095" spans="45:45">
      <c r="AS16095" s="47"/>
    </row>
    <row r="16096" spans="45:45">
      <c r="AS16096" s="47"/>
    </row>
    <row r="16097" spans="45:45">
      <c r="AS16097" s="47"/>
    </row>
    <row r="16098" spans="45:45">
      <c r="AS16098" s="47"/>
    </row>
    <row r="16099" spans="45:45">
      <c r="AS16099" s="47"/>
    </row>
    <row r="16100" spans="45:45">
      <c r="AS16100" s="47"/>
    </row>
    <row r="16101" spans="45:45">
      <c r="AS16101" s="47"/>
    </row>
    <row r="16102" spans="45:45">
      <c r="AS16102" s="47"/>
    </row>
    <row r="16103" spans="45:45">
      <c r="AS16103" s="47"/>
    </row>
    <row r="16104" spans="45:45">
      <c r="AS16104" s="47"/>
    </row>
    <row r="16105" spans="45:45">
      <c r="AS16105" s="47"/>
    </row>
    <row r="16106" spans="45:45">
      <c r="AS16106" s="47"/>
    </row>
    <row r="16107" spans="45:45">
      <c r="AS16107" s="47"/>
    </row>
    <row r="16108" spans="45:45">
      <c r="AS16108" s="47"/>
    </row>
    <row r="16109" spans="45:45">
      <c r="AS16109" s="47"/>
    </row>
    <row r="16110" spans="45:45">
      <c r="AS16110" s="47"/>
    </row>
    <row r="16111" spans="45:45">
      <c r="AS16111" s="47"/>
    </row>
    <row r="16112" spans="45:45">
      <c r="AS16112" s="47"/>
    </row>
    <row r="16113" spans="45:45">
      <c r="AS16113" s="47"/>
    </row>
    <row r="16114" spans="45:45">
      <c r="AS16114" s="47"/>
    </row>
    <row r="16115" spans="45:45">
      <c r="AS16115" s="47"/>
    </row>
    <row r="16116" spans="45:45">
      <c r="AS16116" s="47"/>
    </row>
    <row r="16117" spans="45:45">
      <c r="AS16117" s="47"/>
    </row>
    <row r="16118" spans="45:45">
      <c r="AS16118" s="47"/>
    </row>
    <row r="16119" spans="45:45">
      <c r="AS16119" s="47"/>
    </row>
    <row r="16120" spans="45:45">
      <c r="AS16120" s="47"/>
    </row>
    <row r="16121" spans="45:45">
      <c r="AS16121" s="47"/>
    </row>
    <row r="16122" spans="45:45">
      <c r="AS16122" s="47"/>
    </row>
    <row r="16123" spans="45:45">
      <c r="AS16123" s="47"/>
    </row>
    <row r="16124" spans="45:45">
      <c r="AS16124" s="47"/>
    </row>
    <row r="16125" spans="45:45">
      <c r="AS16125" s="47"/>
    </row>
    <row r="16126" spans="45:45">
      <c r="AS16126" s="47"/>
    </row>
    <row r="16127" spans="45:45">
      <c r="AS16127" s="47"/>
    </row>
    <row r="16128" spans="45:45">
      <c r="AS16128" s="47"/>
    </row>
    <row r="16129" spans="45:45">
      <c r="AS16129" s="47"/>
    </row>
    <row r="16130" spans="45:45">
      <c r="AS16130" s="47"/>
    </row>
    <row r="16131" spans="45:45">
      <c r="AS16131" s="47"/>
    </row>
    <row r="16132" spans="45:45">
      <c r="AS16132" s="47"/>
    </row>
    <row r="16133" spans="45:45">
      <c r="AS16133" s="47"/>
    </row>
    <row r="16134" spans="45:45">
      <c r="AS16134" s="47"/>
    </row>
    <row r="16135" spans="45:45">
      <c r="AS16135" s="47"/>
    </row>
    <row r="16136" spans="45:45">
      <c r="AS16136" s="47"/>
    </row>
    <row r="16137" spans="45:45">
      <c r="AS16137" s="47"/>
    </row>
    <row r="16138" spans="45:45">
      <c r="AS16138" s="47"/>
    </row>
    <row r="16139" spans="45:45">
      <c r="AS16139" s="47"/>
    </row>
    <row r="16140" spans="45:45">
      <c r="AS16140" s="47"/>
    </row>
    <row r="16141" spans="45:45">
      <c r="AS16141" s="47"/>
    </row>
    <row r="16142" spans="45:45">
      <c r="AS16142" s="47"/>
    </row>
    <row r="16143" spans="45:45">
      <c r="AS16143" s="47"/>
    </row>
    <row r="16144" spans="45:45">
      <c r="AS16144" s="47"/>
    </row>
    <row r="16145" spans="45:45">
      <c r="AS16145" s="47"/>
    </row>
    <row r="16146" spans="45:45">
      <c r="AS16146" s="47"/>
    </row>
    <row r="16147" spans="45:45">
      <c r="AS16147" s="47"/>
    </row>
    <row r="16148" spans="45:45">
      <c r="AS16148" s="47"/>
    </row>
    <row r="16149" spans="45:45">
      <c r="AS16149" s="47"/>
    </row>
    <row r="16150" spans="45:45">
      <c r="AS16150" s="47"/>
    </row>
    <row r="16151" spans="45:45">
      <c r="AS16151" s="47"/>
    </row>
    <row r="16152" spans="45:45">
      <c r="AS16152" s="47"/>
    </row>
    <row r="16153" spans="45:45">
      <c r="AS16153" s="47"/>
    </row>
    <row r="16154" spans="45:45">
      <c r="AS16154" s="47"/>
    </row>
    <row r="16155" spans="45:45">
      <c r="AS16155" s="47"/>
    </row>
    <row r="16156" spans="45:45">
      <c r="AS16156" s="47"/>
    </row>
    <row r="16157" spans="45:45">
      <c r="AS16157" s="47"/>
    </row>
    <row r="16158" spans="45:45">
      <c r="AS16158" s="47"/>
    </row>
    <row r="16159" spans="45:45">
      <c r="AS16159" s="47"/>
    </row>
    <row r="16160" spans="45:45">
      <c r="AS16160" s="47"/>
    </row>
    <row r="16161" spans="45:45">
      <c r="AS16161" s="47"/>
    </row>
    <row r="16162" spans="45:45">
      <c r="AS16162" s="47"/>
    </row>
    <row r="16163" spans="45:45">
      <c r="AS16163" s="47"/>
    </row>
    <row r="16164" spans="45:45">
      <c r="AS16164" s="47"/>
    </row>
    <row r="16165" spans="45:45">
      <c r="AS16165" s="47"/>
    </row>
    <row r="16166" spans="45:45">
      <c r="AS16166" s="47"/>
    </row>
    <row r="16167" spans="45:45">
      <c r="AS16167" s="47"/>
    </row>
    <row r="16168" spans="45:45">
      <c r="AS16168" s="47"/>
    </row>
    <row r="16169" spans="45:45">
      <c r="AS16169" s="47"/>
    </row>
    <row r="16170" spans="45:45">
      <c r="AS16170" s="47"/>
    </row>
    <row r="16171" spans="45:45">
      <c r="AS16171" s="47"/>
    </row>
    <row r="16172" spans="45:45">
      <c r="AS16172" s="47"/>
    </row>
    <row r="16173" spans="45:45">
      <c r="AS16173" s="47"/>
    </row>
    <row r="16174" spans="45:45">
      <c r="AS16174" s="47"/>
    </row>
    <row r="16175" spans="45:45">
      <c r="AS16175" s="47"/>
    </row>
    <row r="16176" spans="45:45">
      <c r="AS16176" s="47"/>
    </row>
    <row r="16177" spans="45:45">
      <c r="AS16177" s="47"/>
    </row>
    <row r="16178" spans="45:45">
      <c r="AS16178" s="47"/>
    </row>
    <row r="16179" spans="45:45">
      <c r="AS16179" s="47"/>
    </row>
    <row r="16180" spans="45:45">
      <c r="AS16180" s="47"/>
    </row>
    <row r="16181" spans="45:45">
      <c r="AS16181" s="47"/>
    </row>
    <row r="16182" spans="45:45">
      <c r="AS16182" s="47"/>
    </row>
    <row r="16183" spans="45:45">
      <c r="AS16183" s="47"/>
    </row>
    <row r="16184" spans="45:45">
      <c r="AS16184" s="47"/>
    </row>
    <row r="16185" spans="45:45">
      <c r="AS16185" s="47"/>
    </row>
    <row r="16186" spans="45:45">
      <c r="AS16186" s="47"/>
    </row>
    <row r="16187" spans="45:45">
      <c r="AS16187" s="47"/>
    </row>
    <row r="16188" spans="45:45">
      <c r="AS16188" s="47"/>
    </row>
    <row r="16189" spans="45:45">
      <c r="AS16189" s="47"/>
    </row>
    <row r="16190" spans="45:45">
      <c r="AS16190" s="47"/>
    </row>
    <row r="16191" spans="45:45">
      <c r="AS16191" s="47"/>
    </row>
    <row r="16192" spans="45:45">
      <c r="AS16192" s="47"/>
    </row>
    <row r="16193" spans="45:45">
      <c r="AS16193" s="47"/>
    </row>
    <row r="16194" spans="45:45">
      <c r="AS16194" s="47"/>
    </row>
    <row r="16195" spans="45:45">
      <c r="AS16195" s="47"/>
    </row>
    <row r="16196" spans="45:45">
      <c r="AS16196" s="47"/>
    </row>
    <row r="16197" spans="45:45">
      <c r="AS16197" s="47"/>
    </row>
    <row r="16198" spans="45:45">
      <c r="AS16198" s="47"/>
    </row>
    <row r="16199" spans="45:45">
      <c r="AS16199" s="47"/>
    </row>
    <row r="16200" spans="45:45">
      <c r="AS16200" s="47"/>
    </row>
    <row r="16201" spans="45:45">
      <c r="AS16201" s="47"/>
    </row>
    <row r="16202" spans="45:45">
      <c r="AS16202" s="47"/>
    </row>
    <row r="16203" spans="45:45">
      <c r="AS16203" s="47"/>
    </row>
    <row r="16204" spans="45:45">
      <c r="AS16204" s="47"/>
    </row>
    <row r="16205" spans="45:45">
      <c r="AS16205" s="47"/>
    </row>
    <row r="16206" spans="45:45">
      <c r="AS16206" s="47"/>
    </row>
    <row r="16207" spans="45:45">
      <c r="AS16207" s="47"/>
    </row>
    <row r="16208" spans="45:45">
      <c r="AS16208" s="47"/>
    </row>
    <row r="16209" spans="45:45">
      <c r="AS16209" s="47"/>
    </row>
    <row r="16210" spans="45:45">
      <c r="AS16210" s="47"/>
    </row>
    <row r="16211" spans="45:45">
      <c r="AS16211" s="47"/>
    </row>
    <row r="16212" spans="45:45">
      <c r="AS16212" s="47"/>
    </row>
    <row r="16213" spans="45:45">
      <c r="AS16213" s="47"/>
    </row>
    <row r="16214" spans="45:45">
      <c r="AS16214" s="47"/>
    </row>
    <row r="16215" spans="45:45">
      <c r="AS16215" s="47"/>
    </row>
    <row r="16216" spans="45:45">
      <c r="AS16216" s="47"/>
    </row>
    <row r="16217" spans="45:45">
      <c r="AS16217" s="47"/>
    </row>
    <row r="16218" spans="45:45">
      <c r="AS16218" s="47"/>
    </row>
    <row r="16219" spans="45:45">
      <c r="AS16219" s="47"/>
    </row>
    <row r="16220" spans="45:45">
      <c r="AS16220" s="47"/>
    </row>
    <row r="16221" spans="45:45">
      <c r="AS16221" s="47"/>
    </row>
    <row r="16222" spans="45:45">
      <c r="AS16222" s="47"/>
    </row>
    <row r="16223" spans="45:45">
      <c r="AS16223" s="47"/>
    </row>
    <row r="16224" spans="45:45">
      <c r="AS16224" s="47"/>
    </row>
    <row r="16225" spans="45:45">
      <c r="AS16225" s="47"/>
    </row>
    <row r="16226" spans="45:45">
      <c r="AS16226" s="47"/>
    </row>
    <row r="16227" spans="45:45">
      <c r="AS16227" s="47"/>
    </row>
    <row r="16228" spans="45:45">
      <c r="AS16228" s="47"/>
    </row>
    <row r="16229" spans="45:45">
      <c r="AS16229" s="47"/>
    </row>
    <row r="16230" spans="45:45">
      <c r="AS16230" s="47"/>
    </row>
    <row r="16231" spans="45:45">
      <c r="AS16231" s="47"/>
    </row>
    <row r="16232" spans="45:45">
      <c r="AS16232" s="47"/>
    </row>
    <row r="16233" spans="45:45">
      <c r="AS16233" s="47"/>
    </row>
    <row r="16234" spans="45:45">
      <c r="AS16234" s="47"/>
    </row>
    <row r="16235" spans="45:45">
      <c r="AS16235" s="47"/>
    </row>
    <row r="16236" spans="45:45">
      <c r="AS16236" s="47"/>
    </row>
    <row r="16237" spans="45:45">
      <c r="AS16237" s="47"/>
    </row>
    <row r="16238" spans="45:45">
      <c r="AS16238" s="47"/>
    </row>
    <row r="16239" spans="45:45">
      <c r="AS16239" s="47"/>
    </row>
    <row r="16240" spans="45:45">
      <c r="AS16240" s="47"/>
    </row>
    <row r="16241" spans="45:45">
      <c r="AS16241" s="47"/>
    </row>
    <row r="16242" spans="45:45">
      <c r="AS16242" s="47"/>
    </row>
    <row r="16243" spans="45:45">
      <c r="AS16243" s="47"/>
    </row>
    <row r="16244" spans="45:45">
      <c r="AS16244" s="47"/>
    </row>
    <row r="16245" spans="45:45">
      <c r="AS16245" s="47"/>
    </row>
    <row r="16246" spans="45:45">
      <c r="AS16246" s="47"/>
    </row>
    <row r="16247" spans="45:45">
      <c r="AS16247" s="47"/>
    </row>
    <row r="16248" spans="45:45">
      <c r="AS16248" s="47"/>
    </row>
    <row r="16249" spans="45:45">
      <c r="AS16249" s="47"/>
    </row>
    <row r="16250" spans="45:45">
      <c r="AS16250" s="47"/>
    </row>
    <row r="16251" spans="45:45">
      <c r="AS16251" s="47"/>
    </row>
    <row r="16252" spans="45:45">
      <c r="AS16252" s="47"/>
    </row>
    <row r="16253" spans="45:45">
      <c r="AS16253" s="47"/>
    </row>
    <row r="16254" spans="45:45">
      <c r="AS16254" s="47"/>
    </row>
    <row r="16255" spans="45:45">
      <c r="AS16255" s="47"/>
    </row>
    <row r="16256" spans="45:45">
      <c r="AS16256" s="47"/>
    </row>
    <row r="16257" spans="45:45">
      <c r="AS16257" s="47"/>
    </row>
    <row r="16258" spans="45:45">
      <c r="AS16258" s="47"/>
    </row>
    <row r="16259" spans="45:45">
      <c r="AS16259" s="47"/>
    </row>
    <row r="16260" spans="45:45">
      <c r="AS16260" s="47"/>
    </row>
    <row r="16261" spans="45:45">
      <c r="AS16261" s="47"/>
    </row>
    <row r="16262" spans="45:45">
      <c r="AS16262" s="47"/>
    </row>
    <row r="16263" spans="45:45">
      <c r="AS16263" s="47"/>
    </row>
    <row r="16264" spans="45:45">
      <c r="AS16264" s="47"/>
    </row>
    <row r="16265" spans="45:45">
      <c r="AS16265" s="47"/>
    </row>
    <row r="16266" spans="45:45">
      <c r="AS16266" s="47"/>
    </row>
    <row r="16267" spans="45:45">
      <c r="AS16267" s="47"/>
    </row>
    <row r="16268" spans="45:45">
      <c r="AS16268" s="47"/>
    </row>
    <row r="16269" spans="45:45">
      <c r="AS16269" s="47"/>
    </row>
    <row r="16270" spans="45:45">
      <c r="AS16270" s="47"/>
    </row>
    <row r="16271" spans="45:45">
      <c r="AS16271" s="47"/>
    </row>
    <row r="16272" spans="45:45">
      <c r="AS16272" s="47"/>
    </row>
    <row r="16273" spans="45:45">
      <c r="AS16273" s="47"/>
    </row>
    <row r="16274" spans="45:45">
      <c r="AS16274" s="47"/>
    </row>
    <row r="16275" spans="45:45">
      <c r="AS16275" s="47"/>
    </row>
    <row r="16276" spans="45:45">
      <c r="AS16276" s="47"/>
    </row>
    <row r="16277" spans="45:45">
      <c r="AS16277" s="47"/>
    </row>
    <row r="16278" spans="45:45">
      <c r="AS16278" s="47"/>
    </row>
    <row r="16279" spans="45:45">
      <c r="AS16279" s="47"/>
    </row>
    <row r="16280" spans="45:45">
      <c r="AS16280" s="47"/>
    </row>
    <row r="16281" spans="45:45">
      <c r="AS16281" s="47"/>
    </row>
    <row r="16282" spans="45:45">
      <c r="AS16282" s="47"/>
    </row>
    <row r="16283" spans="45:45">
      <c r="AS16283" s="47"/>
    </row>
    <row r="16284" spans="45:45">
      <c r="AS16284" s="47"/>
    </row>
    <row r="16285" spans="45:45">
      <c r="AS16285" s="47"/>
    </row>
    <row r="16286" spans="45:45">
      <c r="AS16286" s="47"/>
    </row>
    <row r="16287" spans="45:45">
      <c r="AS16287" s="47"/>
    </row>
    <row r="16288" spans="45:45">
      <c r="AS16288" s="47"/>
    </row>
    <row r="16289" spans="45:45">
      <c r="AS16289" s="47"/>
    </row>
    <row r="16290" spans="45:45">
      <c r="AS16290" s="47"/>
    </row>
    <row r="16291" spans="45:45">
      <c r="AS16291" s="47"/>
    </row>
    <row r="16292" spans="45:45">
      <c r="AS16292" s="47"/>
    </row>
    <row r="16293" spans="45:45">
      <c r="AS16293" s="47"/>
    </row>
    <row r="16294" spans="45:45">
      <c r="AS16294" s="47"/>
    </row>
    <row r="16295" spans="45:45">
      <c r="AS16295" s="47"/>
    </row>
    <row r="16296" spans="45:45">
      <c r="AS16296" s="47"/>
    </row>
    <row r="16297" spans="45:45">
      <c r="AS16297" s="47"/>
    </row>
    <row r="16298" spans="45:45">
      <c r="AS16298" s="47"/>
    </row>
    <row r="16299" spans="45:45">
      <c r="AS16299" s="47"/>
    </row>
    <row r="16300" spans="45:45">
      <c r="AS16300" s="47"/>
    </row>
    <row r="16301" spans="45:45">
      <c r="AS16301" s="47"/>
    </row>
    <row r="16302" spans="45:45">
      <c r="AS16302" s="47"/>
    </row>
    <row r="16303" spans="45:45">
      <c r="AS16303" s="47"/>
    </row>
    <row r="16304" spans="45:45">
      <c r="AS16304" s="47"/>
    </row>
    <row r="16305" spans="45:45">
      <c r="AS16305" s="47"/>
    </row>
    <row r="16306" spans="45:45">
      <c r="AS16306" s="47"/>
    </row>
    <row r="16307" spans="45:45">
      <c r="AS16307" s="47"/>
    </row>
    <row r="16308" spans="45:45">
      <c r="AS16308" s="47"/>
    </row>
    <row r="16309" spans="45:45">
      <c r="AS16309" s="47"/>
    </row>
    <row r="16310" spans="45:45">
      <c r="AS16310" s="47"/>
    </row>
    <row r="16311" spans="45:45">
      <c r="AS16311" s="47"/>
    </row>
    <row r="16312" spans="45:45">
      <c r="AS16312" s="47"/>
    </row>
    <row r="16313" spans="45:45">
      <c r="AS16313" s="47"/>
    </row>
    <row r="16314" spans="45:45">
      <c r="AS16314" s="47"/>
    </row>
    <row r="16315" spans="45:45">
      <c r="AS16315" s="47"/>
    </row>
    <row r="16316" spans="45:45">
      <c r="AS16316" s="47"/>
    </row>
    <row r="16317" spans="45:45">
      <c r="AS16317" s="47"/>
    </row>
    <row r="16318" spans="45:45">
      <c r="AS16318" s="47"/>
    </row>
    <row r="16319" spans="45:45">
      <c r="AS16319" s="47"/>
    </row>
    <row r="16320" spans="45:45">
      <c r="AS16320" s="47"/>
    </row>
    <row r="16321" spans="45:45">
      <c r="AS16321" s="47"/>
    </row>
    <row r="16322" spans="45:45">
      <c r="AS16322" s="47"/>
    </row>
    <row r="16323" spans="45:45">
      <c r="AS16323" s="47"/>
    </row>
    <row r="16324" spans="45:45">
      <c r="AS16324" s="47"/>
    </row>
    <row r="16325" spans="45:45">
      <c r="AS16325" s="47"/>
    </row>
    <row r="16326" spans="45:45">
      <c r="AS16326" s="47"/>
    </row>
    <row r="16327" spans="45:45">
      <c r="AS16327" s="47"/>
    </row>
    <row r="16328" spans="45:45">
      <c r="AS16328" s="47"/>
    </row>
    <row r="16329" spans="45:45">
      <c r="AS16329" s="47"/>
    </row>
    <row r="16330" spans="45:45">
      <c r="AS16330" s="47"/>
    </row>
    <row r="16331" spans="45:45">
      <c r="AS16331" s="47"/>
    </row>
    <row r="16332" spans="45:45">
      <c r="AS16332" s="47"/>
    </row>
    <row r="16333" spans="45:45">
      <c r="AS16333" s="47"/>
    </row>
    <row r="16334" spans="45:45">
      <c r="AS16334" s="47"/>
    </row>
    <row r="16335" spans="45:45">
      <c r="AS16335" s="47"/>
    </row>
    <row r="16336" spans="45:45">
      <c r="AS16336" s="47"/>
    </row>
    <row r="16337" spans="45:45">
      <c r="AS16337" s="47"/>
    </row>
    <row r="16338" spans="45:45">
      <c r="AS16338" s="47"/>
    </row>
    <row r="16339" spans="45:45">
      <c r="AS16339" s="47"/>
    </row>
    <row r="16340" spans="45:45">
      <c r="AS16340" s="47"/>
    </row>
    <row r="16341" spans="45:45">
      <c r="AS16341" s="47"/>
    </row>
    <row r="16342" spans="45:45">
      <c r="AS16342" s="47"/>
    </row>
    <row r="16343" spans="45:45">
      <c r="AS16343" s="47"/>
    </row>
    <row r="16344" spans="45:45">
      <c r="AS16344" s="47"/>
    </row>
    <row r="16345" spans="45:45">
      <c r="AS16345" s="47"/>
    </row>
    <row r="16346" spans="45:45">
      <c r="AS16346" s="47"/>
    </row>
    <row r="16347" spans="45:45">
      <c r="AS16347" s="47"/>
    </row>
    <row r="16348" spans="45:45">
      <c r="AS16348" s="47"/>
    </row>
    <row r="16349" spans="45:45">
      <c r="AS16349" s="47"/>
    </row>
    <row r="16350" spans="45:45">
      <c r="AS16350" s="47"/>
    </row>
    <row r="16351" spans="45:45">
      <c r="AS16351" s="47"/>
    </row>
    <row r="16352" spans="45:45">
      <c r="AS16352" s="47"/>
    </row>
    <row r="16353" spans="45:45">
      <c r="AS16353" s="47"/>
    </row>
    <row r="16354" spans="45:45">
      <c r="AS16354" s="47"/>
    </row>
    <row r="16355" spans="45:45">
      <c r="AS16355" s="47"/>
    </row>
    <row r="16356" spans="45:45">
      <c r="AS16356" s="47"/>
    </row>
    <row r="16357" spans="45:45">
      <c r="AS16357" s="47"/>
    </row>
    <row r="16358" spans="45:45">
      <c r="AS16358" s="47"/>
    </row>
    <row r="16359" spans="45:45">
      <c r="AS16359" s="47"/>
    </row>
    <row r="16360" spans="45:45">
      <c r="AS16360" s="47"/>
    </row>
    <row r="16361" spans="45:45">
      <c r="AS16361" s="47"/>
    </row>
    <row r="16362" spans="45:45">
      <c r="AS16362" s="47"/>
    </row>
    <row r="16363" spans="45:45">
      <c r="AS16363" s="47"/>
    </row>
    <row r="16364" spans="45:45">
      <c r="AS16364" s="47"/>
    </row>
    <row r="16365" spans="45:45">
      <c r="AS16365" s="47"/>
    </row>
    <row r="16366" spans="45:45">
      <c r="AS16366" s="47"/>
    </row>
    <row r="16367" spans="45:45">
      <c r="AS16367" s="47"/>
    </row>
    <row r="16368" spans="45:45">
      <c r="AS16368" s="47"/>
    </row>
    <row r="16369" spans="45:45">
      <c r="AS16369" s="47"/>
    </row>
    <row r="16370" spans="45:45">
      <c r="AS16370" s="47"/>
    </row>
    <row r="16371" spans="45:45">
      <c r="AS16371" s="47"/>
    </row>
    <row r="16372" spans="45:45">
      <c r="AS16372" s="47"/>
    </row>
    <row r="16373" spans="45:45">
      <c r="AS16373" s="47"/>
    </row>
    <row r="16374" spans="45:45">
      <c r="AS16374" s="47"/>
    </row>
    <row r="16375" spans="45:45">
      <c r="AS16375" s="47"/>
    </row>
    <row r="16376" spans="45:45">
      <c r="AS16376" s="47"/>
    </row>
    <row r="16377" spans="45:45">
      <c r="AS16377" s="47"/>
    </row>
    <row r="16378" spans="45:45">
      <c r="AS16378" s="47"/>
    </row>
    <row r="16379" spans="45:45">
      <c r="AS16379" s="47"/>
    </row>
    <row r="16380" spans="45:45">
      <c r="AS16380" s="47"/>
    </row>
    <row r="16381" spans="45:45">
      <c r="AS16381" s="47"/>
    </row>
    <row r="16382" spans="45:45">
      <c r="AS16382" s="47"/>
    </row>
    <row r="16383" spans="45:45">
      <c r="AS16383" s="47"/>
    </row>
    <row r="16384" spans="45:45">
      <c r="AS16384" s="47"/>
    </row>
    <row r="16385" spans="45:45">
      <c r="AS16385" s="47"/>
    </row>
    <row r="16386" spans="45:45">
      <c r="AS16386" s="47"/>
    </row>
    <row r="16387" spans="45:45">
      <c r="AS16387" s="47"/>
    </row>
    <row r="16388" spans="45:45">
      <c r="AS16388" s="47"/>
    </row>
    <row r="16389" spans="45:45">
      <c r="AS16389" s="47"/>
    </row>
    <row r="16390" spans="45:45">
      <c r="AS16390" s="47"/>
    </row>
    <row r="16391" spans="45:45">
      <c r="AS16391" s="47"/>
    </row>
    <row r="16392" spans="45:45">
      <c r="AS16392" s="47"/>
    </row>
    <row r="16393" spans="45:45">
      <c r="AS16393" s="47"/>
    </row>
    <row r="16394" spans="45:45">
      <c r="AS16394" s="47"/>
    </row>
    <row r="16395" spans="45:45">
      <c r="AS16395" s="47"/>
    </row>
    <row r="16396" spans="45:45">
      <c r="AS16396" s="47"/>
    </row>
    <row r="16397" spans="45:45">
      <c r="AS16397" s="47"/>
    </row>
    <row r="16398" spans="45:45">
      <c r="AS16398" s="47"/>
    </row>
    <row r="16399" spans="45:45">
      <c r="AS16399" s="47"/>
    </row>
    <row r="16400" spans="45:45">
      <c r="AS16400" s="47"/>
    </row>
    <row r="16401" spans="45:45">
      <c r="AS16401" s="47"/>
    </row>
    <row r="16402" spans="45:45">
      <c r="AS16402" s="47"/>
    </row>
    <row r="16403" spans="45:45">
      <c r="AS16403" s="47"/>
    </row>
    <row r="16404" spans="45:45">
      <c r="AS16404" s="47"/>
    </row>
    <row r="16405" spans="45:45">
      <c r="AS16405" s="47"/>
    </row>
    <row r="16406" spans="45:45">
      <c r="AS16406" s="47"/>
    </row>
    <row r="16407" spans="45:45">
      <c r="AS16407" s="47"/>
    </row>
    <row r="16408" spans="45:45">
      <c r="AS16408" s="47"/>
    </row>
    <row r="16409" spans="45:45">
      <c r="AS16409" s="47"/>
    </row>
    <row r="16410" spans="45:45">
      <c r="AS16410" s="47"/>
    </row>
    <row r="16411" spans="45:45">
      <c r="AS16411" s="47"/>
    </row>
    <row r="16412" spans="45:45">
      <c r="AS16412" s="47"/>
    </row>
    <row r="16413" spans="45:45">
      <c r="AS16413" s="47"/>
    </row>
    <row r="16414" spans="45:45">
      <c r="AS16414" s="47"/>
    </row>
    <row r="16415" spans="45:45">
      <c r="AS16415" s="47"/>
    </row>
    <row r="16416" spans="45:45">
      <c r="AS16416" s="47"/>
    </row>
    <row r="16417" spans="45:45">
      <c r="AS16417" s="47"/>
    </row>
    <row r="16418" spans="45:45">
      <c r="AS16418" s="47"/>
    </row>
    <row r="16419" spans="45:45">
      <c r="AS16419" s="47"/>
    </row>
    <row r="16420" spans="45:45">
      <c r="AS16420" s="47"/>
    </row>
    <row r="16421" spans="45:45">
      <c r="AS16421" s="47"/>
    </row>
    <row r="16422" spans="45:45">
      <c r="AS16422" s="47"/>
    </row>
    <row r="16423" spans="45:45">
      <c r="AS16423" s="47"/>
    </row>
    <row r="16424" spans="45:45">
      <c r="AS16424" s="47"/>
    </row>
    <row r="16425" spans="45:45">
      <c r="AS16425" s="47"/>
    </row>
    <row r="16426" spans="45:45">
      <c r="AS16426" s="47"/>
    </row>
    <row r="16427" spans="45:45">
      <c r="AS16427" s="47"/>
    </row>
    <row r="16428" spans="45:45">
      <c r="AS16428" s="47"/>
    </row>
    <row r="16429" spans="45:45">
      <c r="AS16429" s="47"/>
    </row>
    <row r="16430" spans="45:45">
      <c r="AS16430" s="47"/>
    </row>
    <row r="16431" spans="45:45">
      <c r="AS16431" s="47"/>
    </row>
    <row r="16432" spans="45:45">
      <c r="AS16432" s="47"/>
    </row>
    <row r="16433" spans="45:45">
      <c r="AS16433" s="47"/>
    </row>
    <row r="16434" spans="45:45">
      <c r="AS16434" s="47"/>
    </row>
    <row r="16435" spans="45:45">
      <c r="AS16435" s="47"/>
    </row>
    <row r="16436" spans="45:45">
      <c r="AS16436" s="47"/>
    </row>
    <row r="16437" spans="45:45">
      <c r="AS16437" s="47"/>
    </row>
    <row r="16438" spans="45:45">
      <c r="AS16438" s="47"/>
    </row>
    <row r="16439" spans="45:45">
      <c r="AS16439" s="47"/>
    </row>
    <row r="16440" spans="45:45">
      <c r="AS16440" s="47"/>
    </row>
    <row r="16441" spans="45:45">
      <c r="AS16441" s="47"/>
    </row>
    <row r="16442" spans="45:45">
      <c r="AS16442" s="47"/>
    </row>
    <row r="16443" spans="45:45">
      <c r="AS16443" s="47"/>
    </row>
    <row r="16444" spans="45:45">
      <c r="AS16444" s="47"/>
    </row>
    <row r="16445" spans="45:45">
      <c r="AS16445" s="47"/>
    </row>
    <row r="16446" spans="45:45">
      <c r="AS16446" s="47"/>
    </row>
    <row r="16447" spans="45:45">
      <c r="AS16447" s="47"/>
    </row>
    <row r="16448" spans="45:45">
      <c r="AS16448" s="47"/>
    </row>
    <row r="16449" spans="45:45">
      <c r="AS16449" s="47"/>
    </row>
    <row r="16450" spans="45:45">
      <c r="AS16450" s="47"/>
    </row>
    <row r="16451" spans="45:45">
      <c r="AS16451" s="47"/>
    </row>
    <row r="16452" spans="45:45">
      <c r="AS16452" s="47"/>
    </row>
    <row r="16453" spans="45:45">
      <c r="AS16453" s="47"/>
    </row>
    <row r="16454" spans="45:45">
      <c r="AS16454" s="47"/>
    </row>
    <row r="16455" spans="45:45">
      <c r="AS16455" s="47"/>
    </row>
    <row r="16456" spans="45:45">
      <c r="AS16456" s="47"/>
    </row>
    <row r="16457" spans="45:45">
      <c r="AS16457" s="47"/>
    </row>
    <row r="16458" spans="45:45">
      <c r="AS16458" s="47"/>
    </row>
    <row r="16459" spans="45:45">
      <c r="AS16459" s="47"/>
    </row>
    <row r="16460" spans="45:45">
      <c r="AS16460" s="47"/>
    </row>
    <row r="16461" spans="45:45">
      <c r="AS16461" s="47"/>
    </row>
    <row r="16462" spans="45:45">
      <c r="AS16462" s="47"/>
    </row>
    <row r="16463" spans="45:45">
      <c r="AS16463" s="47"/>
    </row>
    <row r="16464" spans="45:45">
      <c r="AS16464" s="47"/>
    </row>
    <row r="16465" spans="45:45">
      <c r="AS16465" s="47"/>
    </row>
    <row r="16466" spans="45:45">
      <c r="AS16466" s="47"/>
    </row>
    <row r="16467" spans="45:45">
      <c r="AS16467" s="47"/>
    </row>
    <row r="16468" spans="45:45">
      <c r="AS16468" s="47"/>
    </row>
    <row r="16469" spans="45:45">
      <c r="AS16469" s="47"/>
    </row>
    <row r="16470" spans="45:45">
      <c r="AS16470" s="47"/>
    </row>
    <row r="16471" spans="45:45">
      <c r="AS16471" s="47"/>
    </row>
    <row r="16472" spans="45:45">
      <c r="AS16472" s="47"/>
    </row>
    <row r="16473" spans="45:45">
      <c r="AS16473" s="47"/>
    </row>
    <row r="16474" spans="45:45">
      <c r="AS16474" s="47"/>
    </row>
    <row r="16475" spans="45:45">
      <c r="AS16475" s="47"/>
    </row>
    <row r="16476" spans="45:45">
      <c r="AS16476" s="47"/>
    </row>
    <row r="16477" spans="45:45">
      <c r="AS16477" s="47"/>
    </row>
    <row r="16478" spans="45:45">
      <c r="AS16478" s="47"/>
    </row>
    <row r="16479" spans="45:45">
      <c r="AS16479" s="47"/>
    </row>
    <row r="16480" spans="45:45">
      <c r="AS16480" s="47"/>
    </row>
    <row r="16481" spans="45:45">
      <c r="AS16481" s="47"/>
    </row>
    <row r="16482" spans="45:45">
      <c r="AS16482" s="47"/>
    </row>
    <row r="16483" spans="45:45">
      <c r="AS16483" s="47"/>
    </row>
    <row r="16484" spans="45:45">
      <c r="AS16484" s="47"/>
    </row>
    <row r="16485" spans="45:45">
      <c r="AS16485" s="47"/>
    </row>
    <row r="16486" spans="45:45">
      <c r="AS16486" s="47"/>
    </row>
    <row r="16487" spans="45:45">
      <c r="AS16487" s="47"/>
    </row>
    <row r="16488" spans="45:45">
      <c r="AS16488" s="47"/>
    </row>
    <row r="16489" spans="45:45">
      <c r="AS16489" s="47"/>
    </row>
    <row r="16490" spans="45:45">
      <c r="AS16490" s="47"/>
    </row>
    <row r="16491" spans="45:45">
      <c r="AS16491" s="47"/>
    </row>
    <row r="16492" spans="45:45">
      <c r="AS16492" s="47"/>
    </row>
    <row r="16493" spans="45:45">
      <c r="AS16493" s="47"/>
    </row>
    <row r="16494" spans="45:45">
      <c r="AS16494" s="47"/>
    </row>
    <row r="16495" spans="45:45">
      <c r="AS16495" s="47"/>
    </row>
    <row r="16496" spans="45:45">
      <c r="AS16496" s="47"/>
    </row>
    <row r="16497" spans="45:45">
      <c r="AS16497" s="47"/>
    </row>
    <row r="16498" spans="45:45">
      <c r="AS16498" s="47"/>
    </row>
    <row r="16499" spans="45:45">
      <c r="AS16499" s="47"/>
    </row>
    <row r="16500" spans="45:45">
      <c r="AS16500" s="47"/>
    </row>
    <row r="16501" spans="45:45">
      <c r="AS16501" s="47"/>
    </row>
    <row r="16502" spans="45:45">
      <c r="AS16502" s="47"/>
    </row>
    <row r="16503" spans="45:45">
      <c r="AS16503" s="47"/>
    </row>
    <row r="16504" spans="45:45">
      <c r="AS16504" s="47"/>
    </row>
    <row r="16505" spans="45:45">
      <c r="AS16505" s="47"/>
    </row>
    <row r="16506" spans="45:45">
      <c r="AS16506" s="47"/>
    </row>
    <row r="16507" spans="45:45">
      <c r="AS16507" s="47"/>
    </row>
    <row r="16508" spans="45:45">
      <c r="AS16508" s="47"/>
    </row>
    <row r="16509" spans="45:45">
      <c r="AS16509" s="47"/>
    </row>
    <row r="16510" spans="45:45">
      <c r="AS16510" s="47"/>
    </row>
    <row r="16511" spans="45:45">
      <c r="AS16511" s="47"/>
    </row>
    <row r="16512" spans="45:45">
      <c r="AS16512" s="47"/>
    </row>
    <row r="16513" spans="45:45">
      <c r="AS16513" s="47"/>
    </row>
    <row r="16514" spans="45:45">
      <c r="AS16514" s="47"/>
    </row>
    <row r="16515" spans="45:45">
      <c r="AS16515" s="47"/>
    </row>
    <row r="16516" spans="45:45">
      <c r="AS16516" s="47"/>
    </row>
    <row r="16517" spans="45:45">
      <c r="AS16517" s="47"/>
    </row>
    <row r="16518" spans="45:45">
      <c r="AS16518" s="47"/>
    </row>
    <row r="16519" spans="45:45">
      <c r="AS16519" s="47"/>
    </row>
    <row r="16520" spans="45:45">
      <c r="AS16520" s="47"/>
    </row>
    <row r="16521" spans="45:45">
      <c r="AS16521" s="47"/>
    </row>
    <row r="16522" spans="45:45">
      <c r="AS16522" s="47"/>
    </row>
    <row r="16523" spans="45:45">
      <c r="AS16523" s="47"/>
    </row>
    <row r="16524" spans="45:45">
      <c r="AS16524" s="47"/>
    </row>
    <row r="16525" spans="45:45">
      <c r="AS16525" s="47"/>
    </row>
    <row r="16526" spans="45:45">
      <c r="AS16526" s="47"/>
    </row>
    <row r="16527" spans="45:45">
      <c r="AS16527" s="47"/>
    </row>
    <row r="16528" spans="45:45">
      <c r="AS16528" s="47"/>
    </row>
    <row r="16529" spans="45:45">
      <c r="AS16529" s="47"/>
    </row>
    <row r="16530" spans="45:45">
      <c r="AS16530" s="47"/>
    </row>
    <row r="16531" spans="45:45">
      <c r="AS16531" s="47"/>
    </row>
    <row r="16532" spans="45:45">
      <c r="AS16532" s="47"/>
    </row>
    <row r="16533" spans="45:45">
      <c r="AS16533" s="47"/>
    </row>
    <row r="16534" spans="45:45">
      <c r="AS16534" s="47"/>
    </row>
    <row r="16535" spans="45:45">
      <c r="AS16535" s="47"/>
    </row>
    <row r="16536" spans="45:45">
      <c r="AS16536" s="47"/>
    </row>
    <row r="16537" spans="45:45">
      <c r="AS16537" s="47"/>
    </row>
    <row r="16538" spans="45:45">
      <c r="AS16538" s="47"/>
    </row>
    <row r="16539" spans="45:45">
      <c r="AS16539" s="47"/>
    </row>
    <row r="16540" spans="45:45">
      <c r="AS16540" s="47"/>
    </row>
    <row r="16541" spans="45:45">
      <c r="AS16541" s="47"/>
    </row>
    <row r="16542" spans="45:45">
      <c r="AS16542" s="47"/>
    </row>
    <row r="16543" spans="45:45">
      <c r="AS16543" s="47"/>
    </row>
    <row r="16544" spans="45:45">
      <c r="AS16544" s="47"/>
    </row>
    <row r="16545" spans="45:45">
      <c r="AS16545" s="47"/>
    </row>
    <row r="16546" spans="45:45">
      <c r="AS16546" s="47"/>
    </row>
    <row r="16547" spans="45:45">
      <c r="AS16547" s="47"/>
    </row>
    <row r="16548" spans="45:45">
      <c r="AS16548" s="47"/>
    </row>
    <row r="16549" spans="45:45">
      <c r="AS16549" s="47"/>
    </row>
    <row r="16550" spans="45:45">
      <c r="AS16550" s="47"/>
    </row>
    <row r="16551" spans="45:45">
      <c r="AS16551" s="47"/>
    </row>
    <row r="16552" spans="45:45">
      <c r="AS16552" s="47"/>
    </row>
    <row r="16553" spans="45:45">
      <c r="AS16553" s="47"/>
    </row>
    <row r="16554" spans="45:45">
      <c r="AS16554" s="47"/>
    </row>
    <row r="16555" spans="45:45">
      <c r="AS16555" s="47"/>
    </row>
    <row r="16556" spans="45:45">
      <c r="AS16556" s="47"/>
    </row>
    <row r="16557" spans="45:45">
      <c r="AS16557" s="47"/>
    </row>
    <row r="16558" spans="45:45">
      <c r="AS16558" s="47"/>
    </row>
    <row r="16559" spans="45:45">
      <c r="AS16559" s="47"/>
    </row>
    <row r="16560" spans="45:45">
      <c r="AS16560" s="47"/>
    </row>
    <row r="16561" spans="45:45">
      <c r="AS16561" s="47"/>
    </row>
    <row r="16562" spans="45:45">
      <c r="AS16562" s="47"/>
    </row>
    <row r="16563" spans="45:45">
      <c r="AS16563" s="47"/>
    </row>
    <row r="16564" spans="45:45">
      <c r="AS16564" s="47"/>
    </row>
    <row r="16565" spans="45:45">
      <c r="AS16565" s="47"/>
    </row>
    <row r="16566" spans="45:45">
      <c r="AS16566" s="47"/>
    </row>
    <row r="16567" spans="45:45">
      <c r="AS16567" s="47"/>
    </row>
    <row r="16568" spans="45:45">
      <c r="AS16568" s="47"/>
    </row>
    <row r="16569" spans="45:45">
      <c r="AS16569" s="47"/>
    </row>
    <row r="16570" spans="45:45">
      <c r="AS16570" s="47"/>
    </row>
    <row r="16571" spans="45:45">
      <c r="AS16571" s="47"/>
    </row>
    <row r="16572" spans="45:45">
      <c r="AS16572" s="47"/>
    </row>
    <row r="16573" spans="45:45">
      <c r="AS16573" s="47"/>
    </row>
    <row r="16574" spans="45:45">
      <c r="AS16574" s="47"/>
    </row>
    <row r="16575" spans="45:45">
      <c r="AS16575" s="47"/>
    </row>
    <row r="16576" spans="45:45">
      <c r="AS16576" s="47"/>
    </row>
    <row r="16577" spans="45:45">
      <c r="AS16577" s="47"/>
    </row>
    <row r="16578" spans="45:45">
      <c r="AS16578" s="47"/>
    </row>
    <row r="16579" spans="45:45">
      <c r="AS16579" s="47"/>
    </row>
    <row r="16580" spans="45:45">
      <c r="AS16580" s="47"/>
    </row>
    <row r="16581" spans="45:45">
      <c r="AS16581" s="47"/>
    </row>
    <row r="16582" spans="45:45">
      <c r="AS16582" s="47"/>
    </row>
    <row r="16583" spans="45:45">
      <c r="AS16583" s="47"/>
    </row>
    <row r="16584" spans="45:45">
      <c r="AS16584" s="47"/>
    </row>
    <row r="16585" spans="45:45">
      <c r="AS16585" s="47"/>
    </row>
    <row r="16586" spans="45:45">
      <c r="AS16586" s="47"/>
    </row>
    <row r="16587" spans="45:45">
      <c r="AS16587" s="47"/>
    </row>
    <row r="16588" spans="45:45">
      <c r="AS16588" s="47"/>
    </row>
    <row r="16589" spans="45:45">
      <c r="AS16589" s="47"/>
    </row>
    <row r="16590" spans="45:45">
      <c r="AS16590" s="47"/>
    </row>
    <row r="16591" spans="45:45">
      <c r="AS16591" s="47"/>
    </row>
    <row r="16592" spans="45:45">
      <c r="AS16592" s="47"/>
    </row>
    <row r="16593" spans="45:45">
      <c r="AS16593" s="47"/>
    </row>
    <row r="16594" spans="45:45">
      <c r="AS16594" s="47"/>
    </row>
    <row r="16595" spans="45:45">
      <c r="AS16595" s="47"/>
    </row>
    <row r="16596" spans="45:45">
      <c r="AS16596" s="47"/>
    </row>
    <row r="16597" spans="45:45">
      <c r="AS16597" s="47"/>
    </row>
    <row r="16598" spans="45:45">
      <c r="AS16598" s="47"/>
    </row>
    <row r="16599" spans="45:45">
      <c r="AS16599" s="47"/>
    </row>
    <row r="16600" spans="45:45">
      <c r="AS16600" s="47"/>
    </row>
    <row r="16601" spans="45:45">
      <c r="AS16601" s="47"/>
    </row>
    <row r="16602" spans="45:45">
      <c r="AS16602" s="47"/>
    </row>
    <row r="16603" spans="45:45">
      <c r="AS16603" s="47"/>
    </row>
    <row r="16604" spans="45:45">
      <c r="AS16604" s="47"/>
    </row>
    <row r="16605" spans="45:45">
      <c r="AS16605" s="47"/>
    </row>
    <row r="16606" spans="45:45">
      <c r="AS16606" s="47"/>
    </row>
    <row r="16607" spans="45:45">
      <c r="AS16607" s="47"/>
    </row>
    <row r="16608" spans="45:45">
      <c r="AS16608" s="47"/>
    </row>
    <row r="16609" spans="45:45">
      <c r="AS16609" s="47"/>
    </row>
    <row r="16610" spans="45:45">
      <c r="AS16610" s="47"/>
    </row>
    <row r="16611" spans="45:45">
      <c r="AS16611" s="47"/>
    </row>
    <row r="16612" spans="45:45">
      <c r="AS16612" s="47"/>
    </row>
    <row r="16613" spans="45:45">
      <c r="AS16613" s="47"/>
    </row>
    <row r="16614" spans="45:45">
      <c r="AS16614" s="47"/>
    </row>
    <row r="16615" spans="45:45">
      <c r="AS16615" s="47"/>
    </row>
    <row r="16616" spans="45:45">
      <c r="AS16616" s="47"/>
    </row>
    <row r="16617" spans="45:45">
      <c r="AS16617" s="47"/>
    </row>
    <row r="16618" spans="45:45">
      <c r="AS16618" s="47"/>
    </row>
    <row r="16619" spans="45:45">
      <c r="AS16619" s="47"/>
    </row>
    <row r="16620" spans="45:45">
      <c r="AS16620" s="47"/>
    </row>
    <row r="16621" spans="45:45">
      <c r="AS16621" s="47"/>
    </row>
    <row r="16622" spans="45:45">
      <c r="AS16622" s="47"/>
    </row>
    <row r="16623" spans="45:45">
      <c r="AS16623" s="47"/>
    </row>
    <row r="16624" spans="45:45">
      <c r="AS16624" s="47"/>
    </row>
    <row r="16625" spans="45:45">
      <c r="AS16625" s="47"/>
    </row>
    <row r="16626" spans="45:45">
      <c r="AS16626" s="47"/>
    </row>
    <row r="16627" spans="45:45">
      <c r="AS16627" s="47"/>
    </row>
    <row r="16628" spans="45:45">
      <c r="AS16628" s="47"/>
    </row>
    <row r="16629" spans="45:45">
      <c r="AS16629" s="47"/>
    </row>
    <row r="16630" spans="45:45">
      <c r="AS16630" s="47"/>
    </row>
    <row r="16631" spans="45:45">
      <c r="AS16631" s="47"/>
    </row>
    <row r="16632" spans="45:45">
      <c r="AS16632" s="47"/>
    </row>
    <row r="16633" spans="45:45">
      <c r="AS16633" s="47"/>
    </row>
    <row r="16634" spans="45:45">
      <c r="AS16634" s="47"/>
    </row>
    <row r="16635" spans="45:45">
      <c r="AS16635" s="47"/>
    </row>
    <row r="16636" spans="45:45">
      <c r="AS16636" s="47"/>
    </row>
    <row r="16637" spans="45:45">
      <c r="AS16637" s="47"/>
    </row>
    <row r="16638" spans="45:45">
      <c r="AS16638" s="47"/>
    </row>
    <row r="16639" spans="45:45">
      <c r="AS16639" s="47"/>
    </row>
    <row r="16640" spans="45:45">
      <c r="AS16640" s="47"/>
    </row>
    <row r="16641" spans="45:45">
      <c r="AS16641" s="47"/>
    </row>
    <row r="16642" spans="45:45">
      <c r="AS16642" s="47"/>
    </row>
    <row r="16643" spans="45:45">
      <c r="AS16643" s="47"/>
    </row>
    <row r="16644" spans="45:45">
      <c r="AS16644" s="47"/>
    </row>
    <row r="16645" spans="45:45">
      <c r="AS16645" s="47"/>
    </row>
    <row r="16646" spans="45:45">
      <c r="AS16646" s="47"/>
    </row>
    <row r="16647" spans="45:45">
      <c r="AS16647" s="47"/>
    </row>
    <row r="16648" spans="45:45">
      <c r="AS16648" s="47"/>
    </row>
    <row r="16649" spans="45:45">
      <c r="AS16649" s="47"/>
    </row>
    <row r="16650" spans="45:45">
      <c r="AS16650" s="47"/>
    </row>
    <row r="16651" spans="45:45">
      <c r="AS16651" s="47"/>
    </row>
    <row r="16652" spans="45:45">
      <c r="AS16652" s="47"/>
    </row>
    <row r="16653" spans="45:45">
      <c r="AS16653" s="47"/>
    </row>
    <row r="16654" spans="45:45">
      <c r="AS16654" s="47"/>
    </row>
    <row r="16655" spans="45:45">
      <c r="AS16655" s="47"/>
    </row>
    <row r="16656" spans="45:45">
      <c r="AS16656" s="47"/>
    </row>
    <row r="16657" spans="45:45">
      <c r="AS16657" s="47"/>
    </row>
    <row r="16658" spans="45:45">
      <c r="AS16658" s="47"/>
    </row>
    <row r="16659" spans="45:45">
      <c r="AS16659" s="47"/>
    </row>
    <row r="16660" spans="45:45">
      <c r="AS16660" s="47"/>
    </row>
    <row r="16661" spans="45:45">
      <c r="AS16661" s="47"/>
    </row>
    <row r="16662" spans="45:45">
      <c r="AS16662" s="47"/>
    </row>
    <row r="16663" spans="45:45">
      <c r="AS16663" s="47"/>
    </row>
    <row r="16664" spans="45:45">
      <c r="AS16664" s="47"/>
    </row>
    <row r="16665" spans="45:45">
      <c r="AS16665" s="47"/>
    </row>
    <row r="16666" spans="45:45">
      <c r="AS16666" s="47"/>
    </row>
    <row r="16667" spans="45:45">
      <c r="AS16667" s="47"/>
    </row>
    <row r="16668" spans="45:45">
      <c r="AS16668" s="47"/>
    </row>
    <row r="16669" spans="45:45">
      <c r="AS16669" s="47"/>
    </row>
    <row r="16670" spans="45:45">
      <c r="AS16670" s="47"/>
    </row>
    <row r="16671" spans="45:45">
      <c r="AS16671" s="47"/>
    </row>
    <row r="16672" spans="45:45">
      <c r="AS16672" s="47"/>
    </row>
    <row r="16673" spans="45:45">
      <c r="AS16673" s="47"/>
    </row>
    <row r="16674" spans="45:45">
      <c r="AS16674" s="47"/>
    </row>
    <row r="16675" spans="45:45">
      <c r="AS16675" s="47"/>
    </row>
    <row r="16676" spans="45:45">
      <c r="AS16676" s="47"/>
    </row>
    <row r="16677" spans="45:45">
      <c r="AS16677" s="47"/>
    </row>
    <row r="16678" spans="45:45">
      <c r="AS16678" s="47"/>
    </row>
    <row r="16679" spans="45:45">
      <c r="AS16679" s="47"/>
    </row>
    <row r="16680" spans="45:45">
      <c r="AS16680" s="47"/>
    </row>
    <row r="16681" spans="45:45">
      <c r="AS16681" s="47"/>
    </row>
    <row r="16682" spans="45:45">
      <c r="AS16682" s="47"/>
    </row>
    <row r="16683" spans="45:45">
      <c r="AS16683" s="47"/>
    </row>
    <row r="16684" spans="45:45">
      <c r="AS16684" s="47"/>
    </row>
    <row r="16685" spans="45:45">
      <c r="AS16685" s="47"/>
    </row>
    <row r="16686" spans="45:45">
      <c r="AS16686" s="47"/>
    </row>
    <row r="16687" spans="45:45">
      <c r="AS16687" s="47"/>
    </row>
    <row r="16688" spans="45:45">
      <c r="AS16688" s="47"/>
    </row>
    <row r="16689" spans="45:45">
      <c r="AS16689" s="47"/>
    </row>
    <row r="16690" spans="45:45">
      <c r="AS16690" s="47"/>
    </row>
    <row r="16691" spans="45:45">
      <c r="AS16691" s="47"/>
    </row>
    <row r="16692" spans="45:45">
      <c r="AS16692" s="47"/>
    </row>
    <row r="16693" spans="45:45">
      <c r="AS16693" s="47"/>
    </row>
    <row r="16694" spans="45:45">
      <c r="AS16694" s="47"/>
    </row>
    <row r="16695" spans="45:45">
      <c r="AS16695" s="47"/>
    </row>
    <row r="16696" spans="45:45">
      <c r="AS16696" s="47"/>
    </row>
    <row r="16697" spans="45:45">
      <c r="AS16697" s="47"/>
    </row>
    <row r="16698" spans="45:45">
      <c r="AS16698" s="47"/>
    </row>
    <row r="16699" spans="45:45">
      <c r="AS16699" s="47"/>
    </row>
    <row r="16700" spans="45:45">
      <c r="AS16700" s="47"/>
    </row>
    <row r="16701" spans="45:45">
      <c r="AS16701" s="47"/>
    </row>
    <row r="16702" spans="45:45">
      <c r="AS16702" s="47"/>
    </row>
    <row r="16703" spans="45:45">
      <c r="AS16703" s="47"/>
    </row>
    <row r="16704" spans="45:45">
      <c r="AS16704" s="47"/>
    </row>
    <row r="16705" spans="45:45">
      <c r="AS16705" s="47"/>
    </row>
    <row r="16706" spans="45:45">
      <c r="AS16706" s="47"/>
    </row>
    <row r="16707" spans="45:45">
      <c r="AS16707" s="47"/>
    </row>
    <row r="16708" spans="45:45">
      <c r="AS16708" s="47"/>
    </row>
    <row r="16709" spans="45:45">
      <c r="AS16709" s="47"/>
    </row>
    <row r="16710" spans="45:45">
      <c r="AS16710" s="47"/>
    </row>
    <row r="16711" spans="45:45">
      <c r="AS16711" s="47"/>
    </row>
    <row r="16712" spans="45:45">
      <c r="AS16712" s="47"/>
    </row>
    <row r="16713" spans="45:45">
      <c r="AS16713" s="47"/>
    </row>
    <row r="16714" spans="45:45">
      <c r="AS16714" s="47"/>
    </row>
    <row r="16715" spans="45:45">
      <c r="AS16715" s="47"/>
    </row>
    <row r="16716" spans="45:45">
      <c r="AS16716" s="47"/>
    </row>
    <row r="16717" spans="45:45">
      <c r="AS16717" s="47"/>
    </row>
    <row r="16718" spans="45:45">
      <c r="AS16718" s="47"/>
    </row>
    <row r="16719" spans="45:45">
      <c r="AS16719" s="47"/>
    </row>
    <row r="16720" spans="45:45">
      <c r="AS16720" s="47"/>
    </row>
    <row r="16721" spans="45:45">
      <c r="AS16721" s="47"/>
    </row>
    <row r="16722" spans="45:45">
      <c r="AS16722" s="47"/>
    </row>
    <row r="16723" spans="45:45">
      <c r="AS16723" s="47"/>
    </row>
    <row r="16724" spans="45:45">
      <c r="AS16724" s="47"/>
    </row>
    <row r="16725" spans="45:45">
      <c r="AS16725" s="47"/>
    </row>
    <row r="16726" spans="45:45">
      <c r="AS16726" s="47"/>
    </row>
    <row r="16727" spans="45:45">
      <c r="AS16727" s="47"/>
    </row>
    <row r="16728" spans="45:45">
      <c r="AS16728" s="47"/>
    </row>
    <row r="16729" spans="45:45">
      <c r="AS16729" s="47"/>
    </row>
    <row r="16730" spans="45:45">
      <c r="AS16730" s="47"/>
    </row>
    <row r="16731" spans="45:45">
      <c r="AS16731" s="47"/>
    </row>
    <row r="16732" spans="45:45">
      <c r="AS16732" s="47"/>
    </row>
    <row r="16733" spans="45:45">
      <c r="AS16733" s="47"/>
    </row>
    <row r="16734" spans="45:45">
      <c r="AS16734" s="47"/>
    </row>
    <row r="16735" spans="45:45">
      <c r="AS16735" s="47"/>
    </row>
    <row r="16736" spans="45:45">
      <c r="AS16736" s="47"/>
    </row>
    <row r="16737" spans="45:45">
      <c r="AS16737" s="47"/>
    </row>
    <row r="16738" spans="45:45">
      <c r="AS16738" s="47"/>
    </row>
    <row r="16739" spans="45:45">
      <c r="AS16739" s="47"/>
    </row>
    <row r="16740" spans="45:45">
      <c r="AS16740" s="47"/>
    </row>
    <row r="16741" spans="45:45">
      <c r="AS16741" s="47"/>
    </row>
    <row r="16742" spans="45:45">
      <c r="AS16742" s="47"/>
    </row>
    <row r="16743" spans="45:45">
      <c r="AS16743" s="47"/>
    </row>
    <row r="16744" spans="45:45">
      <c r="AS16744" s="47"/>
    </row>
    <row r="16745" spans="45:45">
      <c r="AS16745" s="47"/>
    </row>
    <row r="16746" spans="45:45">
      <c r="AS16746" s="47"/>
    </row>
    <row r="16747" spans="45:45">
      <c r="AS16747" s="47"/>
    </row>
    <row r="16748" spans="45:45">
      <c r="AS16748" s="47"/>
    </row>
    <row r="16749" spans="45:45">
      <c r="AS16749" s="47"/>
    </row>
    <row r="16750" spans="45:45">
      <c r="AS16750" s="47"/>
    </row>
    <row r="16751" spans="45:45">
      <c r="AS16751" s="47"/>
    </row>
    <row r="16752" spans="45:45">
      <c r="AS16752" s="47"/>
    </row>
    <row r="16753" spans="45:45">
      <c r="AS16753" s="47"/>
    </row>
    <row r="16754" spans="45:45">
      <c r="AS16754" s="47"/>
    </row>
    <row r="16755" spans="45:45">
      <c r="AS16755" s="47"/>
    </row>
    <row r="16756" spans="45:45">
      <c r="AS16756" s="47"/>
    </row>
    <row r="16757" spans="45:45">
      <c r="AS16757" s="47"/>
    </row>
    <row r="16758" spans="45:45">
      <c r="AS16758" s="47"/>
    </row>
    <row r="16759" spans="45:45">
      <c r="AS16759" s="47"/>
    </row>
    <row r="16760" spans="45:45">
      <c r="AS16760" s="47"/>
    </row>
    <row r="16761" spans="45:45">
      <c r="AS16761" s="47"/>
    </row>
    <row r="16762" spans="45:45">
      <c r="AS16762" s="47"/>
    </row>
    <row r="16763" spans="45:45">
      <c r="AS16763" s="47"/>
    </row>
    <row r="16764" spans="45:45">
      <c r="AS16764" s="47"/>
    </row>
    <row r="16765" spans="45:45">
      <c r="AS16765" s="47"/>
    </row>
    <row r="16766" spans="45:45">
      <c r="AS16766" s="47"/>
    </row>
    <row r="16767" spans="45:45">
      <c r="AS16767" s="47"/>
    </row>
    <row r="16768" spans="45:45">
      <c r="AS16768" s="47"/>
    </row>
    <row r="16769" spans="45:45">
      <c r="AS16769" s="47"/>
    </row>
    <row r="16770" spans="45:45">
      <c r="AS16770" s="47"/>
    </row>
    <row r="16771" spans="45:45">
      <c r="AS16771" s="47"/>
    </row>
    <row r="16772" spans="45:45">
      <c r="AS16772" s="47"/>
    </row>
    <row r="16773" spans="45:45">
      <c r="AS16773" s="47"/>
    </row>
    <row r="16774" spans="45:45">
      <c r="AS16774" s="47"/>
    </row>
    <row r="16775" spans="45:45">
      <c r="AS16775" s="47"/>
    </row>
    <row r="16776" spans="45:45">
      <c r="AS16776" s="47"/>
    </row>
    <row r="16777" spans="45:45">
      <c r="AS16777" s="47"/>
    </row>
    <row r="16778" spans="45:45">
      <c r="AS16778" s="47"/>
    </row>
    <row r="16779" spans="45:45">
      <c r="AS16779" s="47"/>
    </row>
    <row r="16780" spans="45:45">
      <c r="AS16780" s="47"/>
    </row>
    <row r="16781" spans="45:45">
      <c r="AS16781" s="47"/>
    </row>
    <row r="16782" spans="45:45">
      <c r="AS16782" s="47"/>
    </row>
    <row r="16783" spans="45:45">
      <c r="AS16783" s="47"/>
    </row>
    <row r="16784" spans="45:45">
      <c r="AS16784" s="47"/>
    </row>
    <row r="16785" spans="45:45">
      <c r="AS16785" s="47"/>
    </row>
    <row r="16786" spans="45:45">
      <c r="AS16786" s="47"/>
    </row>
    <row r="16787" spans="45:45">
      <c r="AS16787" s="47"/>
    </row>
    <row r="16788" spans="45:45">
      <c r="AS16788" s="47"/>
    </row>
    <row r="16789" spans="45:45">
      <c r="AS16789" s="47"/>
    </row>
    <row r="16790" spans="45:45">
      <c r="AS16790" s="47"/>
    </row>
    <row r="16791" spans="45:45">
      <c r="AS16791" s="47"/>
    </row>
    <row r="16792" spans="45:45">
      <c r="AS16792" s="47"/>
    </row>
    <row r="16793" spans="45:45">
      <c r="AS16793" s="47"/>
    </row>
    <row r="16794" spans="45:45">
      <c r="AS16794" s="47"/>
    </row>
    <row r="16795" spans="45:45">
      <c r="AS16795" s="47"/>
    </row>
    <row r="16796" spans="45:45">
      <c r="AS16796" s="47"/>
    </row>
    <row r="16797" spans="45:45">
      <c r="AS16797" s="47"/>
    </row>
    <row r="16798" spans="45:45">
      <c r="AS16798" s="47"/>
    </row>
    <row r="16799" spans="45:45">
      <c r="AS16799" s="47"/>
    </row>
    <row r="16800" spans="45:45">
      <c r="AS16800" s="47"/>
    </row>
    <row r="16801" spans="45:45">
      <c r="AS16801" s="47"/>
    </row>
    <row r="16802" spans="45:45">
      <c r="AS16802" s="47"/>
    </row>
    <row r="16803" spans="45:45">
      <c r="AS16803" s="47"/>
    </row>
    <row r="16804" spans="45:45">
      <c r="AS16804" s="47"/>
    </row>
    <row r="16805" spans="45:45">
      <c r="AS16805" s="47"/>
    </row>
    <row r="16806" spans="45:45">
      <c r="AS16806" s="47"/>
    </row>
    <row r="16807" spans="45:45">
      <c r="AS16807" s="47"/>
    </row>
    <row r="16808" spans="45:45">
      <c r="AS16808" s="47"/>
    </row>
    <row r="16809" spans="45:45">
      <c r="AS16809" s="47"/>
    </row>
    <row r="16810" spans="45:45">
      <c r="AS16810" s="47"/>
    </row>
    <row r="16811" spans="45:45">
      <c r="AS16811" s="47"/>
    </row>
    <row r="16812" spans="45:45">
      <c r="AS16812" s="47"/>
    </row>
    <row r="16813" spans="45:45">
      <c r="AS16813" s="47"/>
    </row>
    <row r="16814" spans="45:45">
      <c r="AS16814" s="47"/>
    </row>
    <row r="16815" spans="45:45">
      <c r="AS16815" s="47"/>
    </row>
    <row r="16816" spans="45:45">
      <c r="AS16816" s="47"/>
    </row>
    <row r="16817" spans="45:45">
      <c r="AS16817" s="47"/>
    </row>
    <row r="16818" spans="45:45">
      <c r="AS16818" s="47"/>
    </row>
    <row r="16819" spans="45:45">
      <c r="AS16819" s="47"/>
    </row>
    <row r="16820" spans="45:45">
      <c r="AS16820" s="47"/>
    </row>
    <row r="16821" spans="45:45">
      <c r="AS16821" s="47"/>
    </row>
    <row r="16822" spans="45:45">
      <c r="AS16822" s="47"/>
    </row>
    <row r="16823" spans="45:45">
      <c r="AS16823" s="47"/>
    </row>
    <row r="16824" spans="45:45">
      <c r="AS16824" s="47"/>
    </row>
    <row r="16825" spans="45:45">
      <c r="AS16825" s="47"/>
    </row>
    <row r="16826" spans="45:45">
      <c r="AS16826" s="47"/>
    </row>
    <row r="16827" spans="45:45">
      <c r="AS16827" s="47"/>
    </row>
    <row r="16828" spans="45:45">
      <c r="AS16828" s="47"/>
    </row>
    <row r="16829" spans="45:45">
      <c r="AS16829" s="47"/>
    </row>
    <row r="16830" spans="45:45">
      <c r="AS16830" s="47"/>
    </row>
    <row r="16831" spans="45:45">
      <c r="AS16831" s="47"/>
    </row>
    <row r="16832" spans="45:45">
      <c r="AS16832" s="47"/>
    </row>
    <row r="16833" spans="45:45">
      <c r="AS16833" s="47"/>
    </row>
    <row r="16834" spans="45:45">
      <c r="AS16834" s="47"/>
    </row>
    <row r="16835" spans="45:45">
      <c r="AS16835" s="47"/>
    </row>
    <row r="16836" spans="45:45">
      <c r="AS16836" s="47"/>
    </row>
    <row r="16837" spans="45:45">
      <c r="AS16837" s="47"/>
    </row>
    <row r="16838" spans="45:45">
      <c r="AS16838" s="47"/>
    </row>
    <row r="16839" spans="45:45">
      <c r="AS16839" s="47"/>
    </row>
    <row r="16840" spans="45:45">
      <c r="AS16840" s="47"/>
    </row>
    <row r="16841" spans="45:45">
      <c r="AS16841" s="47"/>
    </row>
    <row r="16842" spans="45:45">
      <c r="AS16842" s="47"/>
    </row>
    <row r="16843" spans="45:45">
      <c r="AS16843" s="47"/>
    </row>
    <row r="16844" spans="45:45">
      <c r="AS16844" s="47"/>
    </row>
    <row r="16845" spans="45:45">
      <c r="AS16845" s="47"/>
    </row>
    <row r="16846" spans="45:45">
      <c r="AS16846" s="47"/>
    </row>
    <row r="16847" spans="45:45">
      <c r="AS16847" s="47"/>
    </row>
    <row r="16848" spans="45:45">
      <c r="AS16848" s="47"/>
    </row>
    <row r="16849" spans="45:45">
      <c r="AS16849" s="47"/>
    </row>
    <row r="16850" spans="45:45">
      <c r="AS16850" s="47"/>
    </row>
    <row r="16851" spans="45:45">
      <c r="AS16851" s="47"/>
    </row>
    <row r="16852" spans="45:45">
      <c r="AS16852" s="47"/>
    </row>
    <row r="16853" spans="45:45">
      <c r="AS16853" s="47"/>
    </row>
    <row r="16854" spans="45:45">
      <c r="AS16854" s="47"/>
    </row>
    <row r="16855" spans="45:45">
      <c r="AS16855" s="47"/>
    </row>
    <row r="16856" spans="45:45">
      <c r="AS16856" s="47"/>
    </row>
    <row r="16857" spans="45:45">
      <c r="AS16857" s="47"/>
    </row>
    <row r="16858" spans="45:45">
      <c r="AS16858" s="47"/>
    </row>
    <row r="16859" spans="45:45">
      <c r="AS16859" s="47"/>
    </row>
    <row r="16860" spans="45:45">
      <c r="AS16860" s="47"/>
    </row>
    <row r="16861" spans="45:45">
      <c r="AS16861" s="47"/>
    </row>
    <row r="16862" spans="45:45">
      <c r="AS16862" s="47"/>
    </row>
    <row r="16863" spans="45:45">
      <c r="AS16863" s="47"/>
    </row>
    <row r="16864" spans="45:45">
      <c r="AS16864" s="47"/>
    </row>
    <row r="16865" spans="45:45">
      <c r="AS16865" s="47"/>
    </row>
    <row r="16866" spans="45:45">
      <c r="AS16866" s="47"/>
    </row>
    <row r="16867" spans="45:45">
      <c r="AS16867" s="47"/>
    </row>
    <row r="16868" spans="45:45">
      <c r="AS16868" s="47"/>
    </row>
    <row r="16869" spans="45:45">
      <c r="AS16869" s="47"/>
    </row>
    <row r="16870" spans="45:45">
      <c r="AS16870" s="47"/>
    </row>
    <row r="16871" spans="45:45">
      <c r="AS16871" s="47"/>
    </row>
    <row r="16872" spans="45:45">
      <c r="AS16872" s="47"/>
    </row>
    <row r="16873" spans="45:45">
      <c r="AS16873" s="47"/>
    </row>
    <row r="16874" spans="45:45">
      <c r="AS16874" s="47"/>
    </row>
    <row r="16875" spans="45:45">
      <c r="AS16875" s="47"/>
    </row>
    <row r="16876" spans="45:45">
      <c r="AS16876" s="47"/>
    </row>
    <row r="16877" spans="45:45">
      <c r="AS16877" s="47"/>
    </row>
    <row r="16878" spans="45:45">
      <c r="AS16878" s="47"/>
    </row>
    <row r="16879" spans="45:45">
      <c r="AS16879" s="47"/>
    </row>
    <row r="16880" spans="45:45">
      <c r="AS16880" s="47"/>
    </row>
    <row r="16881" spans="45:45">
      <c r="AS16881" s="47"/>
    </row>
    <row r="16882" spans="45:45">
      <c r="AS16882" s="47"/>
    </row>
    <row r="16883" spans="45:45">
      <c r="AS16883" s="47"/>
    </row>
    <row r="16884" spans="45:45">
      <c r="AS16884" s="47"/>
    </row>
    <row r="16885" spans="45:45">
      <c r="AS16885" s="47"/>
    </row>
    <row r="16886" spans="45:45">
      <c r="AS16886" s="47"/>
    </row>
    <row r="16887" spans="45:45">
      <c r="AS16887" s="47"/>
    </row>
    <row r="16888" spans="45:45">
      <c r="AS16888" s="47"/>
    </row>
    <row r="16889" spans="45:45">
      <c r="AS16889" s="47"/>
    </row>
    <row r="16890" spans="45:45">
      <c r="AS16890" s="47"/>
    </row>
    <row r="16891" spans="45:45">
      <c r="AS16891" s="47"/>
    </row>
    <row r="16892" spans="45:45">
      <c r="AS16892" s="47"/>
    </row>
    <row r="16893" spans="45:45">
      <c r="AS16893" s="47"/>
    </row>
    <row r="16894" spans="45:45">
      <c r="AS16894" s="47"/>
    </row>
    <row r="16895" spans="45:45">
      <c r="AS16895" s="47"/>
    </row>
    <row r="16896" spans="45:45">
      <c r="AS16896" s="47"/>
    </row>
    <row r="16897" spans="45:45">
      <c r="AS16897" s="47"/>
    </row>
    <row r="16898" spans="45:45">
      <c r="AS16898" s="47"/>
    </row>
    <row r="16899" spans="45:45">
      <c r="AS16899" s="47"/>
    </row>
    <row r="16900" spans="45:45">
      <c r="AS16900" s="47"/>
    </row>
    <row r="16901" spans="45:45">
      <c r="AS16901" s="47"/>
    </row>
    <row r="16902" spans="45:45">
      <c r="AS16902" s="47"/>
    </row>
    <row r="16903" spans="45:45">
      <c r="AS16903" s="47"/>
    </row>
    <row r="16904" spans="45:45">
      <c r="AS16904" s="47"/>
    </row>
    <row r="16905" spans="45:45">
      <c r="AS16905" s="47"/>
    </row>
    <row r="16906" spans="45:45">
      <c r="AS16906" s="47"/>
    </row>
    <row r="16907" spans="45:45">
      <c r="AS16907" s="47"/>
    </row>
    <row r="16908" spans="45:45">
      <c r="AS16908" s="47"/>
    </row>
    <row r="16909" spans="45:45">
      <c r="AS16909" s="47"/>
    </row>
    <row r="16910" spans="45:45">
      <c r="AS16910" s="47"/>
    </row>
    <row r="16911" spans="45:45">
      <c r="AS16911" s="47"/>
    </row>
    <row r="16912" spans="45:45">
      <c r="AS16912" s="47"/>
    </row>
    <row r="16913" spans="45:45">
      <c r="AS16913" s="47"/>
    </row>
    <row r="16914" spans="45:45">
      <c r="AS16914" s="47"/>
    </row>
    <row r="16915" spans="45:45">
      <c r="AS16915" s="47"/>
    </row>
    <row r="16916" spans="45:45">
      <c r="AS16916" s="47"/>
    </row>
    <row r="16917" spans="45:45">
      <c r="AS16917" s="47"/>
    </row>
    <row r="16918" spans="45:45">
      <c r="AS16918" s="47"/>
    </row>
    <row r="16919" spans="45:45">
      <c r="AS16919" s="47"/>
    </row>
    <row r="16920" spans="45:45">
      <c r="AS16920" s="47"/>
    </row>
    <row r="16921" spans="45:45">
      <c r="AS16921" s="47"/>
    </row>
    <row r="16922" spans="45:45">
      <c r="AS16922" s="47"/>
    </row>
    <row r="16923" spans="45:45">
      <c r="AS16923" s="47"/>
    </row>
    <row r="16924" spans="45:45">
      <c r="AS16924" s="47"/>
    </row>
    <row r="16925" spans="45:45">
      <c r="AS16925" s="47"/>
    </row>
    <row r="16926" spans="45:45">
      <c r="AS16926" s="47"/>
    </row>
    <row r="16927" spans="45:45">
      <c r="AS16927" s="47"/>
    </row>
    <row r="16928" spans="45:45">
      <c r="AS16928" s="47"/>
    </row>
    <row r="16929" spans="45:45">
      <c r="AS16929" s="47"/>
    </row>
    <row r="16930" spans="45:45">
      <c r="AS16930" s="47"/>
    </row>
    <row r="16931" spans="45:45">
      <c r="AS16931" s="47"/>
    </row>
    <row r="16932" spans="45:45">
      <c r="AS16932" s="47"/>
    </row>
    <row r="16933" spans="45:45">
      <c r="AS16933" s="47"/>
    </row>
    <row r="16934" spans="45:45">
      <c r="AS16934" s="47"/>
    </row>
    <row r="16935" spans="45:45">
      <c r="AS16935" s="47"/>
    </row>
    <row r="16936" spans="45:45">
      <c r="AS16936" s="47"/>
    </row>
    <row r="16937" spans="45:45">
      <c r="AS16937" s="47"/>
    </row>
    <row r="16938" spans="45:45">
      <c r="AS16938" s="47"/>
    </row>
    <row r="16939" spans="45:45">
      <c r="AS16939" s="47"/>
    </row>
    <row r="16940" spans="45:45">
      <c r="AS16940" s="47"/>
    </row>
    <row r="16941" spans="45:45">
      <c r="AS16941" s="47"/>
    </row>
    <row r="16942" spans="45:45">
      <c r="AS16942" s="47"/>
    </row>
    <row r="16943" spans="45:45">
      <c r="AS16943" s="47"/>
    </row>
    <row r="16944" spans="45:45">
      <c r="AS16944" s="47"/>
    </row>
    <row r="16945" spans="45:45">
      <c r="AS16945" s="47"/>
    </row>
    <row r="16946" spans="45:45">
      <c r="AS16946" s="47"/>
    </row>
    <row r="16947" spans="45:45">
      <c r="AS16947" s="47"/>
    </row>
    <row r="16948" spans="45:45">
      <c r="AS16948" s="47"/>
    </row>
    <row r="16949" spans="45:45">
      <c r="AS16949" s="47"/>
    </row>
    <row r="16950" spans="45:45">
      <c r="AS16950" s="47"/>
    </row>
    <row r="16951" spans="45:45">
      <c r="AS16951" s="47"/>
    </row>
    <row r="16952" spans="45:45">
      <c r="AS16952" s="47"/>
    </row>
    <row r="16953" spans="45:45">
      <c r="AS16953" s="47"/>
    </row>
    <row r="16954" spans="45:45">
      <c r="AS16954" s="47"/>
    </row>
    <row r="16955" spans="45:45">
      <c r="AS16955" s="47"/>
    </row>
    <row r="16956" spans="45:45">
      <c r="AS16956" s="47"/>
    </row>
    <row r="16957" spans="45:45">
      <c r="AS16957" s="47"/>
    </row>
    <row r="16958" spans="45:45">
      <c r="AS16958" s="47"/>
    </row>
    <row r="16959" spans="45:45">
      <c r="AS16959" s="47"/>
    </row>
    <row r="16960" spans="45:45">
      <c r="AS16960" s="47"/>
    </row>
    <row r="16961" spans="45:45">
      <c r="AS16961" s="47"/>
    </row>
    <row r="16962" spans="45:45">
      <c r="AS16962" s="47"/>
    </row>
    <row r="16963" spans="45:45">
      <c r="AS16963" s="47"/>
    </row>
    <row r="16964" spans="45:45">
      <c r="AS16964" s="47"/>
    </row>
    <row r="16965" spans="45:45">
      <c r="AS16965" s="47"/>
    </row>
    <row r="16966" spans="45:45">
      <c r="AS16966" s="47"/>
    </row>
    <row r="16967" spans="45:45">
      <c r="AS16967" s="47"/>
    </row>
    <row r="16968" spans="45:45">
      <c r="AS16968" s="47"/>
    </row>
    <row r="16969" spans="45:45">
      <c r="AS16969" s="47"/>
    </row>
    <row r="16970" spans="45:45">
      <c r="AS16970" s="47"/>
    </row>
    <row r="16971" spans="45:45">
      <c r="AS16971" s="47"/>
    </row>
    <row r="16972" spans="45:45">
      <c r="AS16972" s="47"/>
    </row>
    <row r="16973" spans="45:45">
      <c r="AS16973" s="47"/>
    </row>
    <row r="16974" spans="45:45">
      <c r="AS16974" s="47"/>
    </row>
    <row r="16975" spans="45:45">
      <c r="AS16975" s="47"/>
    </row>
    <row r="16976" spans="45:45">
      <c r="AS16976" s="47"/>
    </row>
    <row r="16977" spans="45:45">
      <c r="AS16977" s="47"/>
    </row>
    <row r="16978" spans="45:45">
      <c r="AS16978" s="47"/>
    </row>
    <row r="16979" spans="45:45">
      <c r="AS16979" s="47"/>
    </row>
    <row r="16980" spans="45:45">
      <c r="AS16980" s="47"/>
    </row>
    <row r="16981" spans="45:45">
      <c r="AS16981" s="47"/>
    </row>
    <row r="16982" spans="45:45">
      <c r="AS16982" s="47"/>
    </row>
    <row r="16983" spans="45:45">
      <c r="AS16983" s="47"/>
    </row>
    <row r="16984" spans="45:45">
      <c r="AS16984" s="47"/>
    </row>
    <row r="16985" spans="45:45">
      <c r="AS16985" s="47"/>
    </row>
    <row r="16986" spans="45:45">
      <c r="AS16986" s="47"/>
    </row>
    <row r="16987" spans="45:45">
      <c r="AS16987" s="47"/>
    </row>
    <row r="16988" spans="45:45">
      <c r="AS16988" s="47"/>
    </row>
    <row r="16989" spans="45:45">
      <c r="AS16989" s="47"/>
    </row>
    <row r="16990" spans="45:45">
      <c r="AS16990" s="47"/>
    </row>
    <row r="16991" spans="45:45">
      <c r="AS16991" s="47"/>
    </row>
    <row r="16992" spans="45:45">
      <c r="AS16992" s="47"/>
    </row>
    <row r="16993" spans="45:45">
      <c r="AS16993" s="47"/>
    </row>
    <row r="16994" spans="45:45">
      <c r="AS16994" s="47"/>
    </row>
    <row r="16995" spans="45:45">
      <c r="AS16995" s="47"/>
    </row>
    <row r="16996" spans="45:45">
      <c r="AS16996" s="47"/>
    </row>
    <row r="16997" spans="45:45">
      <c r="AS16997" s="47"/>
    </row>
    <row r="16998" spans="45:45">
      <c r="AS16998" s="47"/>
    </row>
    <row r="16999" spans="45:45">
      <c r="AS16999" s="47"/>
    </row>
    <row r="17000" spans="45:45">
      <c r="AS17000" s="47"/>
    </row>
    <row r="17001" spans="45:45">
      <c r="AS17001" s="47"/>
    </row>
    <row r="17002" spans="45:45">
      <c r="AS17002" s="47"/>
    </row>
    <row r="17003" spans="45:45">
      <c r="AS17003" s="47"/>
    </row>
    <row r="17004" spans="45:45">
      <c r="AS17004" s="47"/>
    </row>
    <row r="17005" spans="45:45">
      <c r="AS17005" s="47"/>
    </row>
    <row r="17006" spans="45:45">
      <c r="AS17006" s="47"/>
    </row>
    <row r="17007" spans="45:45">
      <c r="AS17007" s="47"/>
    </row>
    <row r="17008" spans="45:45">
      <c r="AS17008" s="47"/>
    </row>
    <row r="17009" spans="45:45">
      <c r="AS17009" s="47"/>
    </row>
    <row r="17010" spans="45:45">
      <c r="AS17010" s="47"/>
    </row>
    <row r="17011" spans="45:45">
      <c r="AS17011" s="47"/>
    </row>
    <row r="17012" spans="45:45">
      <c r="AS17012" s="47"/>
    </row>
    <row r="17013" spans="45:45">
      <c r="AS17013" s="47"/>
    </row>
    <row r="17014" spans="45:45">
      <c r="AS17014" s="47"/>
    </row>
    <row r="17015" spans="45:45">
      <c r="AS17015" s="47"/>
    </row>
    <row r="17016" spans="45:45">
      <c r="AS17016" s="47"/>
    </row>
    <row r="17017" spans="45:45">
      <c r="AS17017" s="47"/>
    </row>
    <row r="17018" spans="45:45">
      <c r="AS17018" s="47"/>
    </row>
    <row r="17019" spans="45:45">
      <c r="AS17019" s="47"/>
    </row>
    <row r="17020" spans="45:45">
      <c r="AS17020" s="47"/>
    </row>
    <row r="17021" spans="45:45">
      <c r="AS17021" s="47"/>
    </row>
    <row r="17022" spans="45:45">
      <c r="AS17022" s="47"/>
    </row>
    <row r="17023" spans="45:45">
      <c r="AS17023" s="47"/>
    </row>
    <row r="17024" spans="45:45">
      <c r="AS17024" s="47"/>
    </row>
    <row r="17025" spans="45:45">
      <c r="AS17025" s="47"/>
    </row>
    <row r="17026" spans="45:45">
      <c r="AS17026" s="47"/>
    </row>
    <row r="17027" spans="45:45">
      <c r="AS17027" s="47"/>
    </row>
    <row r="17028" spans="45:45">
      <c r="AS17028" s="47"/>
    </row>
    <row r="17029" spans="45:45">
      <c r="AS17029" s="47"/>
    </row>
    <row r="17030" spans="45:45">
      <c r="AS17030" s="47"/>
    </row>
    <row r="17031" spans="45:45">
      <c r="AS17031" s="47"/>
    </row>
    <row r="17032" spans="45:45">
      <c r="AS17032" s="47"/>
    </row>
    <row r="17033" spans="45:45">
      <c r="AS17033" s="47"/>
    </row>
    <row r="17034" spans="45:45">
      <c r="AS17034" s="47"/>
    </row>
    <row r="17035" spans="45:45">
      <c r="AS17035" s="47"/>
    </row>
    <row r="17036" spans="45:45">
      <c r="AS17036" s="47"/>
    </row>
    <row r="17037" spans="45:45">
      <c r="AS17037" s="47"/>
    </row>
    <row r="17038" spans="45:45">
      <c r="AS17038" s="47"/>
    </row>
    <row r="17039" spans="45:45">
      <c r="AS17039" s="47"/>
    </row>
    <row r="17040" spans="45:45">
      <c r="AS17040" s="47"/>
    </row>
    <row r="17041" spans="45:45">
      <c r="AS17041" s="47"/>
    </row>
    <row r="17042" spans="45:45">
      <c r="AS17042" s="47"/>
    </row>
    <row r="17043" spans="45:45">
      <c r="AS17043" s="47"/>
    </row>
    <row r="17044" spans="45:45">
      <c r="AS17044" s="47"/>
    </row>
    <row r="17045" spans="45:45">
      <c r="AS17045" s="47"/>
    </row>
    <row r="17046" spans="45:45">
      <c r="AS17046" s="47"/>
    </row>
    <row r="17047" spans="45:45">
      <c r="AS17047" s="47"/>
    </row>
    <row r="17048" spans="45:45">
      <c r="AS17048" s="47"/>
    </row>
    <row r="17049" spans="45:45">
      <c r="AS17049" s="47"/>
    </row>
    <row r="17050" spans="45:45">
      <c r="AS17050" s="47"/>
    </row>
    <row r="17051" spans="45:45">
      <c r="AS17051" s="47"/>
    </row>
    <row r="17052" spans="45:45">
      <c r="AS17052" s="47"/>
    </row>
    <row r="17053" spans="45:45">
      <c r="AS17053" s="47"/>
    </row>
    <row r="17054" spans="45:45">
      <c r="AS17054" s="47"/>
    </row>
    <row r="17055" spans="45:45">
      <c r="AS17055" s="47"/>
    </row>
    <row r="17056" spans="45:45">
      <c r="AS17056" s="47"/>
    </row>
    <row r="17057" spans="45:45">
      <c r="AS17057" s="47"/>
    </row>
    <row r="17058" spans="45:45">
      <c r="AS17058" s="47"/>
    </row>
    <row r="17059" spans="45:45">
      <c r="AS17059" s="47"/>
    </row>
    <row r="17060" spans="45:45">
      <c r="AS17060" s="47"/>
    </row>
    <row r="17061" spans="45:45">
      <c r="AS17061" s="47"/>
    </row>
    <row r="17062" spans="45:45">
      <c r="AS17062" s="47"/>
    </row>
    <row r="17063" spans="45:45">
      <c r="AS17063" s="47"/>
    </row>
    <row r="17064" spans="45:45">
      <c r="AS17064" s="47"/>
    </row>
    <row r="17065" spans="45:45">
      <c r="AS17065" s="47"/>
    </row>
    <row r="17066" spans="45:45">
      <c r="AS17066" s="47"/>
    </row>
    <row r="17067" spans="45:45">
      <c r="AS17067" s="47"/>
    </row>
    <row r="17068" spans="45:45">
      <c r="AS17068" s="47"/>
    </row>
    <row r="17069" spans="45:45">
      <c r="AS17069" s="47"/>
    </row>
    <row r="17070" spans="45:45">
      <c r="AS17070" s="47"/>
    </row>
    <row r="17071" spans="45:45">
      <c r="AS17071" s="47"/>
    </row>
    <row r="17072" spans="45:45">
      <c r="AS17072" s="47"/>
    </row>
    <row r="17073" spans="45:45">
      <c r="AS17073" s="47"/>
    </row>
    <row r="17074" spans="45:45">
      <c r="AS17074" s="47"/>
    </row>
    <row r="17075" spans="45:45">
      <c r="AS17075" s="47"/>
    </row>
    <row r="17076" spans="45:45">
      <c r="AS17076" s="47"/>
    </row>
    <row r="17077" spans="45:45">
      <c r="AS17077" s="47"/>
    </row>
    <row r="17078" spans="45:45">
      <c r="AS17078" s="47"/>
    </row>
    <row r="17079" spans="45:45">
      <c r="AS17079" s="47"/>
    </row>
    <row r="17080" spans="45:45">
      <c r="AS17080" s="47"/>
    </row>
    <row r="17081" spans="45:45">
      <c r="AS17081" s="47"/>
    </row>
    <row r="17082" spans="45:45">
      <c r="AS17082" s="47"/>
    </row>
    <row r="17083" spans="45:45">
      <c r="AS17083" s="47"/>
    </row>
    <row r="17084" spans="45:45">
      <c r="AS17084" s="47"/>
    </row>
    <row r="17085" spans="45:45">
      <c r="AS17085" s="47"/>
    </row>
    <row r="17086" spans="45:45">
      <c r="AS17086" s="47"/>
    </row>
    <row r="17087" spans="45:45">
      <c r="AS17087" s="47"/>
    </row>
    <row r="17088" spans="45:45">
      <c r="AS17088" s="47"/>
    </row>
    <row r="17089" spans="45:45">
      <c r="AS17089" s="47"/>
    </row>
    <row r="17090" spans="45:45">
      <c r="AS17090" s="47"/>
    </row>
    <row r="17091" spans="45:45">
      <c r="AS17091" s="47"/>
    </row>
    <row r="17092" spans="45:45">
      <c r="AS17092" s="47"/>
    </row>
    <row r="17093" spans="45:45">
      <c r="AS17093" s="47"/>
    </row>
    <row r="17094" spans="45:45">
      <c r="AS17094" s="47"/>
    </row>
    <row r="17095" spans="45:45">
      <c r="AS17095" s="47"/>
    </row>
    <row r="17096" spans="45:45">
      <c r="AS17096" s="47"/>
    </row>
    <row r="17097" spans="45:45">
      <c r="AS17097" s="47"/>
    </row>
    <row r="17098" spans="45:45">
      <c r="AS17098" s="47"/>
    </row>
    <row r="17099" spans="45:45">
      <c r="AS17099" s="47"/>
    </row>
    <row r="17100" spans="45:45">
      <c r="AS17100" s="47"/>
    </row>
    <row r="17101" spans="45:45">
      <c r="AS17101" s="47"/>
    </row>
    <row r="17102" spans="45:45">
      <c r="AS17102" s="47"/>
    </row>
    <row r="17103" spans="45:45">
      <c r="AS17103" s="47"/>
    </row>
    <row r="17104" spans="45:45">
      <c r="AS17104" s="47"/>
    </row>
    <row r="17105" spans="45:45">
      <c r="AS17105" s="47"/>
    </row>
    <row r="17106" spans="45:45">
      <c r="AS17106" s="47"/>
    </row>
    <row r="17107" spans="45:45">
      <c r="AS17107" s="47"/>
    </row>
    <row r="17108" spans="45:45">
      <c r="AS17108" s="47"/>
    </row>
    <row r="17109" spans="45:45">
      <c r="AS17109" s="47"/>
    </row>
    <row r="17110" spans="45:45">
      <c r="AS17110" s="47"/>
    </row>
    <row r="17111" spans="45:45">
      <c r="AS17111" s="47"/>
    </row>
    <row r="17112" spans="45:45">
      <c r="AS17112" s="47"/>
    </row>
    <row r="17113" spans="45:45">
      <c r="AS17113" s="47"/>
    </row>
    <row r="17114" spans="45:45">
      <c r="AS17114" s="47"/>
    </row>
    <row r="17115" spans="45:45">
      <c r="AS17115" s="47"/>
    </row>
    <row r="17116" spans="45:45">
      <c r="AS17116" s="47"/>
    </row>
    <row r="17117" spans="45:45">
      <c r="AS17117" s="47"/>
    </row>
    <row r="17118" spans="45:45">
      <c r="AS17118" s="47"/>
    </row>
    <row r="17119" spans="45:45">
      <c r="AS17119" s="47"/>
    </row>
    <row r="17120" spans="45:45">
      <c r="AS17120" s="47"/>
    </row>
    <row r="17121" spans="45:45">
      <c r="AS17121" s="47"/>
    </row>
    <row r="17122" spans="45:45">
      <c r="AS17122" s="47"/>
    </row>
    <row r="17123" spans="45:45">
      <c r="AS17123" s="47"/>
    </row>
    <row r="17124" spans="45:45">
      <c r="AS17124" s="47"/>
    </row>
    <row r="17125" spans="45:45">
      <c r="AS17125" s="47"/>
    </row>
    <row r="17126" spans="45:45">
      <c r="AS17126" s="47"/>
    </row>
    <row r="17127" spans="45:45">
      <c r="AS17127" s="47"/>
    </row>
    <row r="17128" spans="45:45">
      <c r="AS17128" s="47"/>
    </row>
    <row r="17129" spans="45:45">
      <c r="AS17129" s="47"/>
    </row>
    <row r="17130" spans="45:45">
      <c r="AS17130" s="47"/>
    </row>
    <row r="17131" spans="45:45">
      <c r="AS17131" s="47"/>
    </row>
    <row r="17132" spans="45:45">
      <c r="AS17132" s="47"/>
    </row>
    <row r="17133" spans="45:45">
      <c r="AS17133" s="47"/>
    </row>
    <row r="17134" spans="45:45">
      <c r="AS17134" s="47"/>
    </row>
    <row r="17135" spans="45:45">
      <c r="AS17135" s="47"/>
    </row>
    <row r="17136" spans="45:45">
      <c r="AS17136" s="47"/>
    </row>
    <row r="17137" spans="45:45">
      <c r="AS17137" s="47"/>
    </row>
    <row r="17138" spans="45:45">
      <c r="AS17138" s="47"/>
    </row>
    <row r="17139" spans="45:45">
      <c r="AS17139" s="47"/>
    </row>
    <row r="17140" spans="45:45">
      <c r="AS17140" s="47"/>
    </row>
    <row r="17141" spans="45:45">
      <c r="AS17141" s="47"/>
    </row>
    <row r="17142" spans="45:45">
      <c r="AS17142" s="47"/>
    </row>
    <row r="17143" spans="45:45">
      <c r="AS17143" s="47"/>
    </row>
    <row r="17144" spans="45:45">
      <c r="AS17144" s="47"/>
    </row>
    <row r="17145" spans="45:45">
      <c r="AS17145" s="47"/>
    </row>
    <row r="17146" spans="45:45">
      <c r="AS17146" s="47"/>
    </row>
    <row r="17147" spans="45:45">
      <c r="AS17147" s="47"/>
    </row>
    <row r="17148" spans="45:45">
      <c r="AS17148" s="47"/>
    </row>
    <row r="17149" spans="45:45">
      <c r="AS17149" s="47"/>
    </row>
    <row r="17150" spans="45:45">
      <c r="AS17150" s="47"/>
    </row>
    <row r="17151" spans="45:45">
      <c r="AS17151" s="47"/>
    </row>
    <row r="17152" spans="45:45">
      <c r="AS17152" s="47"/>
    </row>
    <row r="17153" spans="45:45">
      <c r="AS17153" s="47"/>
    </row>
    <row r="17154" spans="45:45">
      <c r="AS17154" s="47"/>
    </row>
    <row r="17155" spans="45:45">
      <c r="AS17155" s="47"/>
    </row>
    <row r="17156" spans="45:45">
      <c r="AS17156" s="47"/>
    </row>
    <row r="17157" spans="45:45">
      <c r="AS17157" s="47"/>
    </row>
    <row r="17158" spans="45:45">
      <c r="AS17158" s="47"/>
    </row>
    <row r="17159" spans="45:45">
      <c r="AS17159" s="47"/>
    </row>
    <row r="17160" spans="45:45">
      <c r="AS17160" s="47"/>
    </row>
    <row r="17161" spans="45:45">
      <c r="AS17161" s="47"/>
    </row>
    <row r="17162" spans="45:45">
      <c r="AS17162" s="47"/>
    </row>
    <row r="17163" spans="45:45">
      <c r="AS17163" s="47"/>
    </row>
    <row r="17164" spans="45:45">
      <c r="AS17164" s="47"/>
    </row>
    <row r="17165" spans="45:45">
      <c r="AS17165" s="47"/>
    </row>
    <row r="17166" spans="45:45">
      <c r="AS17166" s="47"/>
    </row>
    <row r="17167" spans="45:45">
      <c r="AS17167" s="47"/>
    </row>
    <row r="17168" spans="45:45">
      <c r="AS17168" s="47"/>
    </row>
    <row r="17169" spans="45:45">
      <c r="AS17169" s="47"/>
    </row>
    <row r="17170" spans="45:45">
      <c r="AS17170" s="47"/>
    </row>
    <row r="17171" spans="45:45">
      <c r="AS17171" s="47"/>
    </row>
    <row r="17172" spans="45:45">
      <c r="AS17172" s="47"/>
    </row>
    <row r="17173" spans="45:45">
      <c r="AS17173" s="47"/>
    </row>
    <row r="17174" spans="45:45">
      <c r="AS17174" s="47"/>
    </row>
    <row r="17175" spans="45:45">
      <c r="AS17175" s="47"/>
    </row>
    <row r="17176" spans="45:45">
      <c r="AS17176" s="47"/>
    </row>
    <row r="17177" spans="45:45">
      <c r="AS17177" s="47"/>
    </row>
    <row r="17178" spans="45:45">
      <c r="AS17178" s="47"/>
    </row>
    <row r="17179" spans="45:45">
      <c r="AS17179" s="47"/>
    </row>
    <row r="17180" spans="45:45">
      <c r="AS17180" s="47"/>
    </row>
    <row r="17181" spans="45:45">
      <c r="AS17181" s="47"/>
    </row>
    <row r="17182" spans="45:45">
      <c r="AS17182" s="47"/>
    </row>
    <row r="17183" spans="45:45">
      <c r="AS17183" s="47"/>
    </row>
    <row r="17184" spans="45:45">
      <c r="AS17184" s="47"/>
    </row>
    <row r="17185" spans="45:45">
      <c r="AS17185" s="47"/>
    </row>
    <row r="17186" spans="45:45">
      <c r="AS17186" s="47"/>
    </row>
    <row r="17187" spans="45:45">
      <c r="AS17187" s="47"/>
    </row>
    <row r="17188" spans="45:45">
      <c r="AS17188" s="47"/>
    </row>
    <row r="17189" spans="45:45">
      <c r="AS17189" s="47"/>
    </row>
    <row r="17190" spans="45:45">
      <c r="AS17190" s="47"/>
    </row>
    <row r="17191" spans="45:45">
      <c r="AS17191" s="47"/>
    </row>
    <row r="17192" spans="45:45">
      <c r="AS17192" s="47"/>
    </row>
    <row r="17193" spans="45:45">
      <c r="AS17193" s="47"/>
    </row>
    <row r="17194" spans="45:45">
      <c r="AS17194" s="47"/>
    </row>
    <row r="17195" spans="45:45">
      <c r="AS17195" s="47"/>
    </row>
    <row r="17196" spans="45:45">
      <c r="AS17196" s="47"/>
    </row>
    <row r="17197" spans="45:45">
      <c r="AS17197" s="47"/>
    </row>
    <row r="17198" spans="45:45">
      <c r="AS17198" s="47"/>
    </row>
    <row r="17199" spans="45:45">
      <c r="AS17199" s="47"/>
    </row>
    <row r="17200" spans="45:45">
      <c r="AS17200" s="47"/>
    </row>
    <row r="17201" spans="45:45">
      <c r="AS17201" s="47"/>
    </row>
    <row r="17202" spans="45:45">
      <c r="AS17202" s="47"/>
    </row>
    <row r="17203" spans="45:45">
      <c r="AS17203" s="47"/>
    </row>
    <row r="17204" spans="45:45">
      <c r="AS17204" s="47"/>
    </row>
    <row r="17205" spans="45:45">
      <c r="AS17205" s="47"/>
    </row>
    <row r="17206" spans="45:45">
      <c r="AS17206" s="47"/>
    </row>
    <row r="17207" spans="45:45">
      <c r="AS17207" s="47"/>
    </row>
    <row r="17208" spans="45:45">
      <c r="AS17208" s="47"/>
    </row>
    <row r="17209" spans="45:45">
      <c r="AS17209" s="47"/>
    </row>
    <row r="17210" spans="45:45">
      <c r="AS17210" s="47"/>
    </row>
    <row r="17211" spans="45:45">
      <c r="AS17211" s="47"/>
    </row>
    <row r="17212" spans="45:45">
      <c r="AS17212" s="47"/>
    </row>
    <row r="17213" spans="45:45">
      <c r="AS17213" s="47"/>
    </row>
    <row r="17214" spans="45:45">
      <c r="AS17214" s="47"/>
    </row>
    <row r="17215" spans="45:45">
      <c r="AS17215" s="47"/>
    </row>
    <row r="17216" spans="45:45">
      <c r="AS17216" s="47"/>
    </row>
    <row r="17217" spans="45:45">
      <c r="AS17217" s="47"/>
    </row>
    <row r="17218" spans="45:45">
      <c r="AS17218" s="47"/>
    </row>
    <row r="17219" spans="45:45">
      <c r="AS17219" s="47"/>
    </row>
    <row r="17220" spans="45:45">
      <c r="AS17220" s="47"/>
    </row>
    <row r="17221" spans="45:45">
      <c r="AS17221" s="47"/>
    </row>
    <row r="17222" spans="45:45">
      <c r="AS17222" s="47"/>
    </row>
    <row r="17223" spans="45:45">
      <c r="AS17223" s="47"/>
    </row>
    <row r="17224" spans="45:45">
      <c r="AS17224" s="47"/>
    </row>
    <row r="17225" spans="45:45">
      <c r="AS17225" s="47"/>
    </row>
    <row r="17226" spans="45:45">
      <c r="AS17226" s="47"/>
    </row>
    <row r="17227" spans="45:45">
      <c r="AS17227" s="47"/>
    </row>
    <row r="17228" spans="45:45">
      <c r="AS17228" s="47"/>
    </row>
    <row r="17229" spans="45:45">
      <c r="AS17229" s="47"/>
    </row>
    <row r="17230" spans="45:45">
      <c r="AS17230" s="47"/>
    </row>
    <row r="17231" spans="45:45">
      <c r="AS17231" s="47"/>
    </row>
    <row r="17232" spans="45:45">
      <c r="AS17232" s="47"/>
    </row>
    <row r="17233" spans="45:45">
      <c r="AS17233" s="47"/>
    </row>
    <row r="17234" spans="45:45">
      <c r="AS17234" s="47"/>
    </row>
    <row r="17235" spans="45:45">
      <c r="AS17235" s="47"/>
    </row>
    <row r="17236" spans="45:45">
      <c r="AS17236" s="47"/>
    </row>
    <row r="17237" spans="45:45">
      <c r="AS17237" s="47"/>
    </row>
    <row r="17238" spans="45:45">
      <c r="AS17238" s="47"/>
    </row>
    <row r="17239" spans="45:45">
      <c r="AS17239" s="47"/>
    </row>
    <row r="17240" spans="45:45">
      <c r="AS17240" s="47"/>
    </row>
    <row r="17241" spans="45:45">
      <c r="AS17241" s="47"/>
    </row>
    <row r="17242" spans="45:45">
      <c r="AS17242" s="47"/>
    </row>
    <row r="17243" spans="45:45">
      <c r="AS17243" s="47"/>
    </row>
    <row r="17244" spans="45:45">
      <c r="AS17244" s="47"/>
    </row>
    <row r="17245" spans="45:45">
      <c r="AS17245" s="47"/>
    </row>
    <row r="17246" spans="45:45">
      <c r="AS17246" s="47"/>
    </row>
    <row r="17247" spans="45:45">
      <c r="AS17247" s="47"/>
    </row>
    <row r="17248" spans="45:45">
      <c r="AS17248" s="47"/>
    </row>
    <row r="17249" spans="45:45">
      <c r="AS17249" s="47"/>
    </row>
    <row r="17250" spans="45:45">
      <c r="AS17250" s="47"/>
    </row>
    <row r="17251" spans="45:45">
      <c r="AS17251" s="47"/>
    </row>
    <row r="17252" spans="45:45">
      <c r="AS17252" s="47"/>
    </row>
    <row r="17253" spans="45:45">
      <c r="AS17253" s="47"/>
    </row>
    <row r="17254" spans="45:45">
      <c r="AS17254" s="47"/>
    </row>
    <row r="17255" spans="45:45">
      <c r="AS17255" s="47"/>
    </row>
    <row r="17256" spans="45:45">
      <c r="AS17256" s="47"/>
    </row>
    <row r="17257" spans="45:45">
      <c r="AS17257" s="47"/>
    </row>
    <row r="17258" spans="45:45">
      <c r="AS17258" s="47"/>
    </row>
    <row r="17259" spans="45:45">
      <c r="AS17259" s="47"/>
    </row>
    <row r="17260" spans="45:45">
      <c r="AS17260" s="47"/>
    </row>
    <row r="17261" spans="45:45">
      <c r="AS17261" s="47"/>
    </row>
    <row r="17262" spans="45:45">
      <c r="AS17262" s="47"/>
    </row>
    <row r="17263" spans="45:45">
      <c r="AS17263" s="47"/>
    </row>
    <row r="17264" spans="45:45">
      <c r="AS17264" s="47"/>
    </row>
    <row r="17265" spans="45:45">
      <c r="AS17265" s="47"/>
    </row>
    <row r="17266" spans="45:45">
      <c r="AS17266" s="47"/>
    </row>
    <row r="17267" spans="45:45">
      <c r="AS17267" s="47"/>
    </row>
    <row r="17268" spans="45:45">
      <c r="AS17268" s="47"/>
    </row>
    <row r="17269" spans="45:45">
      <c r="AS17269" s="47"/>
    </row>
    <row r="17270" spans="45:45">
      <c r="AS17270" s="47"/>
    </row>
    <row r="17271" spans="45:45">
      <c r="AS17271" s="47"/>
    </row>
    <row r="17272" spans="45:45">
      <c r="AS17272" s="47"/>
    </row>
    <row r="17273" spans="45:45">
      <c r="AS17273" s="47"/>
    </row>
    <row r="17274" spans="45:45">
      <c r="AS17274" s="47"/>
    </row>
    <row r="17275" spans="45:45">
      <c r="AS17275" s="47"/>
    </row>
    <row r="17276" spans="45:45">
      <c r="AS17276" s="47"/>
    </row>
    <row r="17277" spans="45:45">
      <c r="AS17277" s="47"/>
    </row>
    <row r="17278" spans="45:45">
      <c r="AS17278" s="47"/>
    </row>
    <row r="17279" spans="45:45">
      <c r="AS17279" s="47"/>
    </row>
    <row r="17280" spans="45:45">
      <c r="AS17280" s="47"/>
    </row>
    <row r="17281" spans="45:45">
      <c r="AS17281" s="47"/>
    </row>
    <row r="17282" spans="45:45">
      <c r="AS17282" s="47"/>
    </row>
    <row r="17283" spans="45:45">
      <c r="AS17283" s="47"/>
    </row>
    <row r="17284" spans="45:45">
      <c r="AS17284" s="47"/>
    </row>
    <row r="17285" spans="45:45">
      <c r="AS17285" s="47"/>
    </row>
    <row r="17286" spans="45:45">
      <c r="AS17286" s="47"/>
    </row>
    <row r="17287" spans="45:45">
      <c r="AS17287" s="47"/>
    </row>
    <row r="17288" spans="45:45">
      <c r="AS17288" s="47"/>
    </row>
    <row r="17289" spans="45:45">
      <c r="AS17289" s="47"/>
    </row>
    <row r="17290" spans="45:45">
      <c r="AS17290" s="47"/>
    </row>
    <row r="17291" spans="45:45">
      <c r="AS17291" s="47"/>
    </row>
    <row r="17292" spans="45:45">
      <c r="AS17292" s="47"/>
    </row>
    <row r="17293" spans="45:45">
      <c r="AS17293" s="47"/>
    </row>
    <row r="17294" spans="45:45">
      <c r="AS17294" s="47"/>
    </row>
    <row r="17295" spans="45:45">
      <c r="AS17295" s="47"/>
    </row>
    <row r="17296" spans="45:45">
      <c r="AS17296" s="47"/>
    </row>
    <row r="17297" spans="45:45">
      <c r="AS17297" s="47"/>
    </row>
    <row r="17298" spans="45:45">
      <c r="AS17298" s="47"/>
    </row>
    <row r="17299" spans="45:45">
      <c r="AS17299" s="47"/>
    </row>
    <row r="17300" spans="45:45">
      <c r="AS17300" s="47"/>
    </row>
    <row r="17301" spans="45:45">
      <c r="AS17301" s="47"/>
    </row>
    <row r="17302" spans="45:45">
      <c r="AS17302" s="47"/>
    </row>
    <row r="17303" spans="45:45">
      <c r="AS17303" s="47"/>
    </row>
    <row r="17304" spans="45:45">
      <c r="AS17304" s="47"/>
    </row>
    <row r="17305" spans="45:45">
      <c r="AS17305" s="47"/>
    </row>
    <row r="17306" spans="45:45">
      <c r="AS17306" s="47"/>
    </row>
    <row r="17307" spans="45:45">
      <c r="AS17307" s="47"/>
    </row>
    <row r="17308" spans="45:45">
      <c r="AS17308" s="47"/>
    </row>
    <row r="17309" spans="45:45">
      <c r="AS17309" s="47"/>
    </row>
    <row r="17310" spans="45:45">
      <c r="AS17310" s="47"/>
    </row>
    <row r="17311" spans="45:45">
      <c r="AS17311" s="47"/>
    </row>
    <row r="17312" spans="45:45">
      <c r="AS17312" s="47"/>
    </row>
    <row r="17313" spans="45:45">
      <c r="AS17313" s="47"/>
    </row>
    <row r="17314" spans="45:45">
      <c r="AS17314" s="47"/>
    </row>
    <row r="17315" spans="45:45">
      <c r="AS17315" s="47"/>
    </row>
    <row r="17316" spans="45:45">
      <c r="AS17316" s="47"/>
    </row>
    <row r="17317" spans="45:45">
      <c r="AS17317" s="47"/>
    </row>
    <row r="17318" spans="45:45">
      <c r="AS17318" s="47"/>
    </row>
    <row r="17319" spans="45:45">
      <c r="AS17319" s="47"/>
    </row>
    <row r="17320" spans="45:45">
      <c r="AS17320" s="47"/>
    </row>
    <row r="17321" spans="45:45">
      <c r="AS17321" s="47"/>
    </row>
    <row r="17322" spans="45:45">
      <c r="AS17322" s="47"/>
    </row>
    <row r="17323" spans="45:45">
      <c r="AS17323" s="47"/>
    </row>
    <row r="17324" spans="45:45">
      <c r="AS17324" s="47"/>
    </row>
    <row r="17325" spans="45:45">
      <c r="AS17325" s="47"/>
    </row>
    <row r="17326" spans="45:45">
      <c r="AS17326" s="47"/>
    </row>
    <row r="17327" spans="45:45">
      <c r="AS17327" s="47"/>
    </row>
    <row r="17328" spans="45:45">
      <c r="AS17328" s="47"/>
    </row>
    <row r="17329" spans="45:45">
      <c r="AS17329" s="47"/>
    </row>
    <row r="17330" spans="45:45">
      <c r="AS17330" s="47"/>
    </row>
    <row r="17331" spans="45:45">
      <c r="AS17331" s="47"/>
    </row>
    <row r="17332" spans="45:45">
      <c r="AS17332" s="47"/>
    </row>
    <row r="17333" spans="45:45">
      <c r="AS17333" s="47"/>
    </row>
    <row r="17334" spans="45:45">
      <c r="AS17334" s="47"/>
    </row>
    <row r="17335" spans="45:45">
      <c r="AS17335" s="47"/>
    </row>
    <row r="17336" spans="45:45">
      <c r="AS17336" s="47"/>
    </row>
    <row r="17337" spans="45:45">
      <c r="AS17337" s="47"/>
    </row>
    <row r="17338" spans="45:45">
      <c r="AS17338" s="47"/>
    </row>
    <row r="17339" spans="45:45">
      <c r="AS17339" s="47"/>
    </row>
    <row r="17340" spans="45:45">
      <c r="AS17340" s="47"/>
    </row>
    <row r="17341" spans="45:45">
      <c r="AS17341" s="47"/>
    </row>
    <row r="17342" spans="45:45">
      <c r="AS17342" s="47"/>
    </row>
    <row r="17343" spans="45:45">
      <c r="AS17343" s="47"/>
    </row>
    <row r="17344" spans="45:45">
      <c r="AS17344" s="47"/>
    </row>
    <row r="17345" spans="45:45">
      <c r="AS17345" s="47"/>
    </row>
    <row r="17346" spans="45:45">
      <c r="AS17346" s="47"/>
    </row>
    <row r="17347" spans="45:45">
      <c r="AS17347" s="47"/>
    </row>
    <row r="17348" spans="45:45">
      <c r="AS17348" s="47"/>
    </row>
    <row r="17349" spans="45:45">
      <c r="AS17349" s="47"/>
    </row>
    <row r="17350" spans="45:45">
      <c r="AS17350" s="47"/>
    </row>
    <row r="17351" spans="45:45">
      <c r="AS17351" s="47"/>
    </row>
    <row r="17352" spans="45:45">
      <c r="AS17352" s="47"/>
    </row>
    <row r="17353" spans="45:45">
      <c r="AS17353" s="47"/>
    </row>
    <row r="17354" spans="45:45">
      <c r="AS17354" s="47"/>
    </row>
    <row r="17355" spans="45:45">
      <c r="AS17355" s="47"/>
    </row>
    <row r="17356" spans="45:45">
      <c r="AS17356" s="47"/>
    </row>
    <row r="17357" spans="45:45">
      <c r="AS17357" s="47"/>
    </row>
    <row r="17358" spans="45:45">
      <c r="AS17358" s="47"/>
    </row>
    <row r="17359" spans="45:45">
      <c r="AS17359" s="47"/>
    </row>
    <row r="17360" spans="45:45">
      <c r="AS17360" s="47"/>
    </row>
    <row r="17361" spans="45:45">
      <c r="AS17361" s="47"/>
    </row>
    <row r="17362" spans="45:45">
      <c r="AS17362" s="47"/>
    </row>
    <row r="17363" spans="45:45">
      <c r="AS17363" s="47"/>
    </row>
    <row r="17364" spans="45:45">
      <c r="AS17364" s="47"/>
    </row>
    <row r="17365" spans="45:45">
      <c r="AS17365" s="47"/>
    </row>
    <row r="17366" spans="45:45">
      <c r="AS17366" s="47"/>
    </row>
    <row r="17367" spans="45:45">
      <c r="AS17367" s="47"/>
    </row>
    <row r="17368" spans="45:45">
      <c r="AS17368" s="47"/>
    </row>
    <row r="17369" spans="45:45">
      <c r="AS17369" s="47"/>
    </row>
    <row r="17370" spans="45:45">
      <c r="AS17370" s="47"/>
    </row>
    <row r="17371" spans="45:45">
      <c r="AS17371" s="47"/>
    </row>
    <row r="17372" spans="45:45">
      <c r="AS17372" s="47"/>
    </row>
    <row r="17373" spans="45:45">
      <c r="AS17373" s="47"/>
    </row>
    <row r="17374" spans="45:45">
      <c r="AS17374" s="47"/>
    </row>
    <row r="17375" spans="45:45">
      <c r="AS17375" s="47"/>
    </row>
    <row r="17376" spans="45:45">
      <c r="AS17376" s="47"/>
    </row>
    <row r="17377" spans="45:45">
      <c r="AS17377" s="47"/>
    </row>
    <row r="17378" spans="45:45">
      <c r="AS17378" s="47"/>
    </row>
    <row r="17379" spans="45:45">
      <c r="AS17379" s="47"/>
    </row>
    <row r="17380" spans="45:45">
      <c r="AS17380" s="47"/>
    </row>
    <row r="17381" spans="45:45">
      <c r="AS17381" s="47"/>
    </row>
    <row r="17382" spans="45:45">
      <c r="AS17382" s="47"/>
    </row>
    <row r="17383" spans="45:45">
      <c r="AS17383" s="47"/>
    </row>
    <row r="17384" spans="45:45">
      <c r="AS17384" s="47"/>
    </row>
    <row r="17385" spans="45:45">
      <c r="AS17385" s="47"/>
    </row>
    <row r="17386" spans="45:45">
      <c r="AS17386" s="47"/>
    </row>
    <row r="17387" spans="45:45">
      <c r="AS17387" s="47"/>
    </row>
    <row r="17388" spans="45:45">
      <c r="AS17388" s="47"/>
    </row>
    <row r="17389" spans="45:45">
      <c r="AS17389" s="47"/>
    </row>
    <row r="17390" spans="45:45">
      <c r="AS17390" s="47"/>
    </row>
    <row r="17391" spans="45:45">
      <c r="AS17391" s="47"/>
    </row>
    <row r="17392" spans="45:45">
      <c r="AS17392" s="47"/>
    </row>
    <row r="17393" spans="45:45">
      <c r="AS17393" s="47"/>
    </row>
    <row r="17394" spans="45:45">
      <c r="AS17394" s="47"/>
    </row>
    <row r="17395" spans="45:45">
      <c r="AS17395" s="47"/>
    </row>
    <row r="17396" spans="45:45">
      <c r="AS17396" s="47"/>
    </row>
    <row r="17397" spans="45:45">
      <c r="AS17397" s="47"/>
    </row>
    <row r="17398" spans="45:45">
      <c r="AS17398" s="47"/>
    </row>
    <row r="17399" spans="45:45">
      <c r="AS17399" s="47"/>
    </row>
    <row r="17400" spans="45:45">
      <c r="AS17400" s="47"/>
    </row>
    <row r="17401" spans="45:45">
      <c r="AS17401" s="47"/>
    </row>
    <row r="17402" spans="45:45">
      <c r="AS17402" s="47"/>
    </row>
    <row r="17403" spans="45:45">
      <c r="AS17403" s="47"/>
    </row>
    <row r="17404" spans="45:45">
      <c r="AS17404" s="47"/>
    </row>
    <row r="17405" spans="45:45">
      <c r="AS17405" s="47"/>
    </row>
    <row r="17406" spans="45:45">
      <c r="AS17406" s="47"/>
    </row>
    <row r="17407" spans="45:45">
      <c r="AS17407" s="47"/>
    </row>
    <row r="17408" spans="45:45">
      <c r="AS17408" s="47"/>
    </row>
    <row r="17409" spans="45:45">
      <c r="AS17409" s="47"/>
    </row>
    <row r="17410" spans="45:45">
      <c r="AS17410" s="47"/>
    </row>
    <row r="17411" spans="45:45">
      <c r="AS17411" s="47"/>
    </row>
    <row r="17412" spans="45:45">
      <c r="AS17412" s="47"/>
    </row>
    <row r="17413" spans="45:45">
      <c r="AS17413" s="47"/>
    </row>
    <row r="17414" spans="45:45">
      <c r="AS17414" s="47"/>
    </row>
    <row r="17415" spans="45:45">
      <c r="AS17415" s="47"/>
    </row>
    <row r="17416" spans="45:45">
      <c r="AS17416" s="47"/>
    </row>
    <row r="17417" spans="45:45">
      <c r="AS17417" s="47"/>
    </row>
    <row r="17418" spans="45:45">
      <c r="AS17418" s="47"/>
    </row>
    <row r="17419" spans="45:45">
      <c r="AS17419" s="47"/>
    </row>
    <row r="17420" spans="45:45">
      <c r="AS17420" s="47"/>
    </row>
    <row r="17421" spans="45:45">
      <c r="AS17421" s="47"/>
    </row>
    <row r="17422" spans="45:45">
      <c r="AS17422" s="47"/>
    </row>
    <row r="17423" spans="45:45">
      <c r="AS17423" s="47"/>
    </row>
    <row r="17424" spans="45:45">
      <c r="AS17424" s="47"/>
    </row>
    <row r="17425" spans="45:45">
      <c r="AS17425" s="47"/>
    </row>
    <row r="17426" spans="45:45">
      <c r="AS17426" s="47"/>
    </row>
    <row r="17427" spans="45:45">
      <c r="AS17427" s="47"/>
    </row>
    <row r="17428" spans="45:45">
      <c r="AS17428" s="47"/>
    </row>
    <row r="17429" spans="45:45">
      <c r="AS17429" s="47"/>
    </row>
    <row r="17430" spans="45:45">
      <c r="AS17430" s="47"/>
    </row>
    <row r="17431" spans="45:45">
      <c r="AS17431" s="47"/>
    </row>
    <row r="17432" spans="45:45">
      <c r="AS17432" s="47"/>
    </row>
    <row r="17433" spans="45:45">
      <c r="AS17433" s="47"/>
    </row>
    <row r="17434" spans="45:45">
      <c r="AS17434" s="47"/>
    </row>
    <row r="17435" spans="45:45">
      <c r="AS17435" s="47"/>
    </row>
    <row r="17436" spans="45:45">
      <c r="AS17436" s="47"/>
    </row>
    <row r="17437" spans="45:45">
      <c r="AS17437" s="47"/>
    </row>
    <row r="17438" spans="45:45">
      <c r="AS17438" s="47"/>
    </row>
    <row r="17439" spans="45:45">
      <c r="AS17439" s="47"/>
    </row>
    <row r="17440" spans="45:45">
      <c r="AS17440" s="47"/>
    </row>
    <row r="17441" spans="45:45">
      <c r="AS17441" s="47"/>
    </row>
    <row r="17442" spans="45:45">
      <c r="AS17442" s="47"/>
    </row>
    <row r="17443" spans="45:45">
      <c r="AS17443" s="47"/>
    </row>
    <row r="17444" spans="45:45">
      <c r="AS17444" s="47"/>
    </row>
    <row r="17445" spans="45:45">
      <c r="AS17445" s="47"/>
    </row>
    <row r="17446" spans="45:45">
      <c r="AS17446" s="47"/>
    </row>
    <row r="17447" spans="45:45">
      <c r="AS17447" s="47"/>
    </row>
    <row r="17448" spans="45:45">
      <c r="AS17448" s="47"/>
    </row>
    <row r="17449" spans="45:45">
      <c r="AS17449" s="47"/>
    </row>
    <row r="17450" spans="45:45">
      <c r="AS17450" s="47"/>
    </row>
    <row r="17451" spans="45:45">
      <c r="AS17451" s="47"/>
    </row>
    <row r="17452" spans="45:45">
      <c r="AS17452" s="47"/>
    </row>
    <row r="17453" spans="45:45">
      <c r="AS17453" s="47"/>
    </row>
    <row r="17454" spans="45:45">
      <c r="AS17454" s="47"/>
    </row>
    <row r="17455" spans="45:45">
      <c r="AS17455" s="47"/>
    </row>
    <row r="17456" spans="45:45">
      <c r="AS17456" s="47"/>
    </row>
    <row r="17457" spans="45:45">
      <c r="AS17457" s="47"/>
    </row>
    <row r="17458" spans="45:45">
      <c r="AS17458" s="47"/>
    </row>
    <row r="17459" spans="45:45">
      <c r="AS17459" s="47"/>
    </row>
    <row r="17460" spans="45:45">
      <c r="AS17460" s="47"/>
    </row>
    <row r="17461" spans="45:45">
      <c r="AS17461" s="47"/>
    </row>
    <row r="17462" spans="45:45">
      <c r="AS17462" s="47"/>
    </row>
    <row r="17463" spans="45:45">
      <c r="AS17463" s="47"/>
    </row>
    <row r="17464" spans="45:45">
      <c r="AS17464" s="47"/>
    </row>
    <row r="17465" spans="45:45">
      <c r="AS17465" s="47"/>
    </row>
    <row r="17466" spans="45:45">
      <c r="AS17466" s="47"/>
    </row>
    <row r="17467" spans="45:45">
      <c r="AS17467" s="47"/>
    </row>
    <row r="17468" spans="45:45">
      <c r="AS17468" s="47"/>
    </row>
    <row r="17469" spans="45:45">
      <c r="AS17469" s="47"/>
    </row>
    <row r="17470" spans="45:45">
      <c r="AS17470" s="47"/>
    </row>
    <row r="17471" spans="45:45">
      <c r="AS17471" s="47"/>
    </row>
    <row r="17472" spans="45:45">
      <c r="AS17472" s="47"/>
    </row>
    <row r="17473" spans="45:45">
      <c r="AS17473" s="47"/>
    </row>
    <row r="17474" spans="45:45">
      <c r="AS17474" s="47"/>
    </row>
    <row r="17475" spans="45:45">
      <c r="AS17475" s="47"/>
    </row>
    <row r="17476" spans="45:45">
      <c r="AS17476" s="47"/>
    </row>
    <row r="17477" spans="45:45">
      <c r="AS17477" s="47"/>
    </row>
    <row r="17478" spans="45:45">
      <c r="AS17478" s="47"/>
    </row>
    <row r="17479" spans="45:45">
      <c r="AS17479" s="47"/>
    </row>
    <row r="17480" spans="45:45">
      <c r="AS17480" s="47"/>
    </row>
    <row r="17481" spans="45:45">
      <c r="AS17481" s="47"/>
    </row>
    <row r="17482" spans="45:45">
      <c r="AS17482" s="47"/>
    </row>
    <row r="17483" spans="45:45">
      <c r="AS17483" s="47"/>
    </row>
    <row r="17484" spans="45:45">
      <c r="AS17484" s="47"/>
    </row>
    <row r="17485" spans="45:45">
      <c r="AS17485" s="47"/>
    </row>
    <row r="17486" spans="45:45">
      <c r="AS17486" s="47"/>
    </row>
    <row r="17487" spans="45:45">
      <c r="AS17487" s="47"/>
    </row>
    <row r="17488" spans="45:45">
      <c r="AS17488" s="47"/>
    </row>
    <row r="17489" spans="45:45">
      <c r="AS17489" s="47"/>
    </row>
    <row r="17490" spans="45:45">
      <c r="AS17490" s="47"/>
    </row>
    <row r="17491" spans="45:45">
      <c r="AS17491" s="47"/>
    </row>
    <row r="17492" spans="45:45">
      <c r="AS17492" s="47"/>
    </row>
    <row r="17493" spans="45:45">
      <c r="AS17493" s="47"/>
    </row>
    <row r="17494" spans="45:45">
      <c r="AS17494" s="47"/>
    </row>
    <row r="17495" spans="45:45">
      <c r="AS17495" s="47"/>
    </row>
    <row r="17496" spans="45:45">
      <c r="AS17496" s="47"/>
    </row>
    <row r="17497" spans="45:45">
      <c r="AS17497" s="47"/>
    </row>
    <row r="17498" spans="45:45">
      <c r="AS17498" s="47"/>
    </row>
    <row r="17499" spans="45:45">
      <c r="AS17499" s="47"/>
    </row>
    <row r="17500" spans="45:45">
      <c r="AS17500" s="47"/>
    </row>
    <row r="17501" spans="45:45">
      <c r="AS17501" s="47"/>
    </row>
    <row r="17502" spans="45:45">
      <c r="AS17502" s="47"/>
    </row>
    <row r="17503" spans="45:45">
      <c r="AS17503" s="47"/>
    </row>
    <row r="17504" spans="45:45">
      <c r="AS17504" s="47"/>
    </row>
    <row r="17505" spans="45:45">
      <c r="AS17505" s="47"/>
    </row>
    <row r="17506" spans="45:45">
      <c r="AS17506" s="47"/>
    </row>
    <row r="17507" spans="45:45">
      <c r="AS17507" s="47"/>
    </row>
    <row r="17508" spans="45:45">
      <c r="AS17508" s="47"/>
    </row>
    <row r="17509" spans="45:45">
      <c r="AS17509" s="47"/>
    </row>
    <row r="17510" spans="45:45">
      <c r="AS17510" s="47"/>
    </row>
    <row r="17511" spans="45:45">
      <c r="AS17511" s="47"/>
    </row>
    <row r="17512" spans="45:45">
      <c r="AS17512" s="47"/>
    </row>
    <row r="17513" spans="45:45">
      <c r="AS17513" s="47"/>
    </row>
    <row r="17514" spans="45:45">
      <c r="AS17514" s="47"/>
    </row>
    <row r="17515" spans="45:45">
      <c r="AS17515" s="47"/>
    </row>
    <row r="17516" spans="45:45">
      <c r="AS17516" s="47"/>
    </row>
    <row r="17517" spans="45:45">
      <c r="AS17517" s="47"/>
    </row>
    <row r="17518" spans="45:45">
      <c r="AS17518" s="47"/>
    </row>
    <row r="17519" spans="45:45">
      <c r="AS17519" s="47"/>
    </row>
    <row r="17520" spans="45:45">
      <c r="AS17520" s="47"/>
    </row>
    <row r="17521" spans="45:45">
      <c r="AS17521" s="47"/>
    </row>
    <row r="17522" spans="45:45">
      <c r="AS17522" s="47"/>
    </row>
    <row r="17523" spans="45:45">
      <c r="AS17523" s="47"/>
    </row>
    <row r="17524" spans="45:45">
      <c r="AS17524" s="47"/>
    </row>
    <row r="17525" spans="45:45">
      <c r="AS17525" s="47"/>
    </row>
    <row r="17526" spans="45:45">
      <c r="AS17526" s="47"/>
    </row>
    <row r="17527" spans="45:45">
      <c r="AS17527" s="47"/>
    </row>
    <row r="17528" spans="45:45">
      <c r="AS17528" s="47"/>
    </row>
    <row r="17529" spans="45:45">
      <c r="AS17529" s="47"/>
    </row>
    <row r="17530" spans="45:45">
      <c r="AS17530" s="47"/>
    </row>
    <row r="17531" spans="45:45">
      <c r="AS17531" s="47"/>
    </row>
    <row r="17532" spans="45:45">
      <c r="AS17532" s="47"/>
    </row>
    <row r="17533" spans="45:45">
      <c r="AS17533" s="47"/>
    </row>
    <row r="17534" spans="45:45">
      <c r="AS17534" s="47"/>
    </row>
    <row r="17535" spans="45:45">
      <c r="AS17535" s="47"/>
    </row>
    <row r="17536" spans="45:45">
      <c r="AS17536" s="47"/>
    </row>
    <row r="17537" spans="45:45">
      <c r="AS17537" s="47"/>
    </row>
    <row r="17538" spans="45:45">
      <c r="AS17538" s="47"/>
    </row>
    <row r="17539" spans="45:45">
      <c r="AS17539" s="47"/>
    </row>
    <row r="17540" spans="45:45">
      <c r="AS17540" s="47"/>
    </row>
    <row r="17541" spans="45:45">
      <c r="AS17541" s="47"/>
    </row>
    <row r="17542" spans="45:45">
      <c r="AS17542" s="47"/>
    </row>
    <row r="17543" spans="45:45">
      <c r="AS17543" s="47"/>
    </row>
    <row r="17544" spans="45:45">
      <c r="AS17544" s="47"/>
    </row>
    <row r="17545" spans="45:45">
      <c r="AS17545" s="47"/>
    </row>
    <row r="17546" spans="45:45">
      <c r="AS17546" s="47"/>
    </row>
    <row r="17547" spans="45:45">
      <c r="AS17547" s="47"/>
    </row>
    <row r="17548" spans="45:45">
      <c r="AS17548" s="47"/>
    </row>
    <row r="17549" spans="45:45">
      <c r="AS17549" s="47"/>
    </row>
    <row r="17550" spans="45:45">
      <c r="AS17550" s="47"/>
    </row>
    <row r="17551" spans="45:45">
      <c r="AS17551" s="47"/>
    </row>
    <row r="17552" spans="45:45">
      <c r="AS17552" s="47"/>
    </row>
    <row r="17553" spans="45:45">
      <c r="AS17553" s="47"/>
    </row>
    <row r="17554" spans="45:45">
      <c r="AS17554" s="47"/>
    </row>
    <row r="17555" spans="45:45">
      <c r="AS17555" s="47"/>
    </row>
    <row r="17556" spans="45:45">
      <c r="AS17556" s="47"/>
    </row>
    <row r="17557" spans="45:45">
      <c r="AS17557" s="47"/>
    </row>
    <row r="17558" spans="45:45">
      <c r="AS17558" s="47"/>
    </row>
    <row r="17559" spans="45:45">
      <c r="AS17559" s="47"/>
    </row>
    <row r="17560" spans="45:45">
      <c r="AS17560" s="47"/>
    </row>
    <row r="17561" spans="45:45">
      <c r="AS17561" s="47"/>
    </row>
    <row r="17562" spans="45:45">
      <c r="AS17562" s="47"/>
    </row>
    <row r="17563" spans="45:45">
      <c r="AS17563" s="47"/>
    </row>
    <row r="17564" spans="45:45">
      <c r="AS17564" s="47"/>
    </row>
    <row r="17565" spans="45:45">
      <c r="AS17565" s="47"/>
    </row>
    <row r="17566" spans="45:45">
      <c r="AS17566" s="47"/>
    </row>
    <row r="17567" spans="45:45">
      <c r="AS17567" s="47"/>
    </row>
    <row r="17568" spans="45:45">
      <c r="AS17568" s="47"/>
    </row>
    <row r="17569" spans="45:45">
      <c r="AS17569" s="47"/>
    </row>
    <row r="17570" spans="45:45">
      <c r="AS17570" s="47"/>
    </row>
    <row r="17571" spans="45:45">
      <c r="AS17571" s="47"/>
    </row>
    <row r="17572" spans="45:45">
      <c r="AS17572" s="47"/>
    </row>
    <row r="17573" spans="45:45">
      <c r="AS17573" s="47"/>
    </row>
    <row r="17574" spans="45:45">
      <c r="AS17574" s="47"/>
    </row>
    <row r="17575" spans="45:45">
      <c r="AS17575" s="47"/>
    </row>
    <row r="17576" spans="45:45">
      <c r="AS17576" s="47"/>
    </row>
    <row r="17577" spans="45:45">
      <c r="AS17577" s="47"/>
    </row>
    <row r="17578" spans="45:45">
      <c r="AS17578" s="47"/>
    </row>
    <row r="17579" spans="45:45">
      <c r="AS17579" s="47"/>
    </row>
    <row r="17580" spans="45:45">
      <c r="AS17580" s="47"/>
    </row>
    <row r="17581" spans="45:45">
      <c r="AS17581" s="47"/>
    </row>
    <row r="17582" spans="45:45">
      <c r="AS17582" s="47"/>
    </row>
    <row r="17583" spans="45:45">
      <c r="AS17583" s="47"/>
    </row>
    <row r="17584" spans="45:45">
      <c r="AS17584" s="47"/>
    </row>
    <row r="17585" spans="45:45">
      <c r="AS17585" s="47"/>
    </row>
    <row r="17586" spans="45:45">
      <c r="AS17586" s="47"/>
    </row>
    <row r="17587" spans="45:45">
      <c r="AS17587" s="47"/>
    </row>
    <row r="17588" spans="45:45">
      <c r="AS17588" s="47"/>
    </row>
    <row r="17589" spans="45:45">
      <c r="AS17589" s="47"/>
    </row>
    <row r="17590" spans="45:45">
      <c r="AS17590" s="47"/>
    </row>
    <row r="17591" spans="45:45">
      <c r="AS17591" s="47"/>
    </row>
    <row r="17592" spans="45:45">
      <c r="AS17592" s="47"/>
    </row>
    <row r="17593" spans="45:45">
      <c r="AS17593" s="47"/>
    </row>
    <row r="17594" spans="45:45">
      <c r="AS17594" s="47"/>
    </row>
    <row r="17595" spans="45:45">
      <c r="AS17595" s="47"/>
    </row>
    <row r="17596" spans="45:45">
      <c r="AS17596" s="47"/>
    </row>
    <row r="17597" spans="45:45">
      <c r="AS17597" s="47"/>
    </row>
    <row r="17598" spans="45:45">
      <c r="AS17598" s="47"/>
    </row>
    <row r="17599" spans="45:45">
      <c r="AS17599" s="47"/>
    </row>
    <row r="17600" spans="45:45">
      <c r="AS17600" s="47"/>
    </row>
    <row r="17601" spans="45:45">
      <c r="AS17601" s="47"/>
    </row>
    <row r="17602" spans="45:45">
      <c r="AS17602" s="47"/>
    </row>
    <row r="17603" spans="45:45">
      <c r="AS17603" s="47"/>
    </row>
    <row r="17604" spans="45:45">
      <c r="AS17604" s="47"/>
    </row>
    <row r="17605" spans="45:45">
      <c r="AS17605" s="47"/>
    </row>
    <row r="17606" spans="45:45">
      <c r="AS17606" s="47"/>
    </row>
    <row r="17607" spans="45:45">
      <c r="AS17607" s="47"/>
    </row>
    <row r="17608" spans="45:45">
      <c r="AS17608" s="47"/>
    </row>
    <row r="17609" spans="45:45">
      <c r="AS17609" s="47"/>
    </row>
    <row r="17610" spans="45:45">
      <c r="AS17610" s="47"/>
    </row>
    <row r="17611" spans="45:45">
      <c r="AS17611" s="47"/>
    </row>
    <row r="17612" spans="45:45">
      <c r="AS17612" s="47"/>
    </row>
    <row r="17613" spans="45:45">
      <c r="AS17613" s="47"/>
    </row>
    <row r="17614" spans="45:45">
      <c r="AS17614" s="47"/>
    </row>
    <row r="17615" spans="45:45">
      <c r="AS17615" s="47"/>
    </row>
    <row r="17616" spans="45:45">
      <c r="AS17616" s="47"/>
    </row>
    <row r="17617" spans="45:45">
      <c r="AS17617" s="47"/>
    </row>
    <row r="17618" spans="45:45">
      <c r="AS17618" s="47"/>
    </row>
    <row r="17619" spans="45:45">
      <c r="AS17619" s="47"/>
    </row>
    <row r="17620" spans="45:45">
      <c r="AS17620" s="47"/>
    </row>
    <row r="17621" spans="45:45">
      <c r="AS17621" s="47"/>
    </row>
    <row r="17622" spans="45:45">
      <c r="AS17622" s="47"/>
    </row>
    <row r="17623" spans="45:45">
      <c r="AS17623" s="47"/>
    </row>
    <row r="17624" spans="45:45">
      <c r="AS17624" s="47"/>
    </row>
    <row r="17625" spans="45:45">
      <c r="AS17625" s="47"/>
    </row>
    <row r="17626" spans="45:45">
      <c r="AS17626" s="47"/>
    </row>
    <row r="17627" spans="45:45">
      <c r="AS17627" s="47"/>
    </row>
    <row r="17628" spans="45:45">
      <c r="AS17628" s="47"/>
    </row>
    <row r="17629" spans="45:45">
      <c r="AS17629" s="47"/>
    </row>
    <row r="17630" spans="45:45">
      <c r="AS17630" s="47"/>
    </row>
    <row r="17631" spans="45:45">
      <c r="AS17631" s="47"/>
    </row>
    <row r="17632" spans="45:45">
      <c r="AS17632" s="47"/>
    </row>
    <row r="17633" spans="45:45">
      <c r="AS17633" s="47"/>
    </row>
    <row r="17634" spans="45:45">
      <c r="AS17634" s="47"/>
    </row>
    <row r="17635" spans="45:45">
      <c r="AS17635" s="47"/>
    </row>
    <row r="17636" spans="45:45">
      <c r="AS17636" s="47"/>
    </row>
    <row r="17637" spans="45:45">
      <c r="AS17637" s="47"/>
    </row>
    <row r="17638" spans="45:45">
      <c r="AS17638" s="47"/>
    </row>
    <row r="17639" spans="45:45">
      <c r="AS17639" s="47"/>
    </row>
    <row r="17640" spans="45:45">
      <c r="AS17640" s="47"/>
    </row>
    <row r="17641" spans="45:45">
      <c r="AS17641" s="47"/>
    </row>
    <row r="17642" spans="45:45">
      <c r="AS17642" s="47"/>
    </row>
    <row r="17643" spans="45:45">
      <c r="AS17643" s="47"/>
    </row>
    <row r="17644" spans="45:45">
      <c r="AS17644" s="47"/>
    </row>
    <row r="17645" spans="45:45">
      <c r="AS17645" s="47"/>
    </row>
    <row r="17646" spans="45:45">
      <c r="AS17646" s="47"/>
    </row>
    <row r="17647" spans="45:45">
      <c r="AS17647" s="47"/>
    </row>
    <row r="17648" spans="45:45">
      <c r="AS17648" s="47"/>
    </row>
    <row r="17649" spans="45:45">
      <c r="AS17649" s="47"/>
    </row>
    <row r="17650" spans="45:45">
      <c r="AS17650" s="47"/>
    </row>
    <row r="17651" spans="45:45">
      <c r="AS17651" s="47"/>
    </row>
    <row r="17652" spans="45:45">
      <c r="AS17652" s="47"/>
    </row>
    <row r="17653" spans="45:45">
      <c r="AS17653" s="47"/>
    </row>
    <row r="17654" spans="45:45">
      <c r="AS17654" s="47"/>
    </row>
    <row r="17655" spans="45:45">
      <c r="AS17655" s="47"/>
    </row>
    <row r="17656" spans="45:45">
      <c r="AS17656" s="47"/>
    </row>
    <row r="17657" spans="45:45">
      <c r="AS17657" s="47"/>
    </row>
    <row r="17658" spans="45:45">
      <c r="AS17658" s="47"/>
    </row>
    <row r="17659" spans="45:45">
      <c r="AS17659" s="47"/>
    </row>
    <row r="17660" spans="45:45">
      <c r="AS17660" s="47"/>
    </row>
    <row r="17661" spans="45:45">
      <c r="AS17661" s="47"/>
    </row>
    <row r="17662" spans="45:45">
      <c r="AS17662" s="47"/>
    </row>
    <row r="17663" spans="45:45">
      <c r="AS17663" s="47"/>
    </row>
    <row r="17664" spans="45:45">
      <c r="AS17664" s="47"/>
    </row>
    <row r="17665" spans="45:45">
      <c r="AS17665" s="47"/>
    </row>
    <row r="17666" spans="45:45">
      <c r="AS17666" s="47"/>
    </row>
    <row r="17667" spans="45:45">
      <c r="AS17667" s="47"/>
    </row>
    <row r="17668" spans="45:45">
      <c r="AS17668" s="47"/>
    </row>
    <row r="17669" spans="45:45">
      <c r="AS17669" s="47"/>
    </row>
    <row r="17670" spans="45:45">
      <c r="AS17670" s="47"/>
    </row>
    <row r="17671" spans="45:45">
      <c r="AS17671" s="47"/>
    </row>
    <row r="17672" spans="45:45">
      <c r="AS17672" s="47"/>
    </row>
    <row r="17673" spans="45:45">
      <c r="AS17673" s="47"/>
    </row>
    <row r="17674" spans="45:45">
      <c r="AS17674" s="47"/>
    </row>
    <row r="17675" spans="45:45">
      <c r="AS17675" s="47"/>
    </row>
    <row r="17676" spans="45:45">
      <c r="AS17676" s="47"/>
    </row>
    <row r="17677" spans="45:45">
      <c r="AS17677" s="47"/>
    </row>
    <row r="17678" spans="45:45">
      <c r="AS17678" s="47"/>
    </row>
    <row r="17679" spans="45:45">
      <c r="AS17679" s="47"/>
    </row>
    <row r="17680" spans="45:45">
      <c r="AS17680" s="47"/>
    </row>
    <row r="17681" spans="45:45">
      <c r="AS17681" s="47"/>
    </row>
    <row r="17682" spans="45:45">
      <c r="AS17682" s="47"/>
    </row>
    <row r="17683" spans="45:45">
      <c r="AS17683" s="47"/>
    </row>
    <row r="17684" spans="45:45">
      <c r="AS17684" s="47"/>
    </row>
    <row r="17685" spans="45:45">
      <c r="AS17685" s="47"/>
    </row>
    <row r="17686" spans="45:45">
      <c r="AS17686" s="47"/>
    </row>
    <row r="17687" spans="45:45">
      <c r="AS17687" s="47"/>
    </row>
    <row r="17688" spans="45:45">
      <c r="AS17688" s="47"/>
    </row>
    <row r="17689" spans="45:45">
      <c r="AS17689" s="47"/>
    </row>
    <row r="17690" spans="45:45">
      <c r="AS17690" s="47"/>
    </row>
    <row r="17691" spans="45:45">
      <c r="AS17691" s="47"/>
    </row>
    <row r="17692" spans="45:45">
      <c r="AS17692" s="47"/>
    </row>
    <row r="17693" spans="45:45">
      <c r="AS17693" s="47"/>
    </row>
    <row r="17694" spans="45:45">
      <c r="AS17694" s="47"/>
    </row>
    <row r="17695" spans="45:45">
      <c r="AS17695" s="47"/>
    </row>
    <row r="17696" spans="45:45">
      <c r="AS17696" s="47"/>
    </row>
    <row r="17697" spans="45:45">
      <c r="AS17697" s="47"/>
    </row>
    <row r="17698" spans="45:45">
      <c r="AS17698" s="47"/>
    </row>
    <row r="17699" spans="45:45">
      <c r="AS17699" s="47"/>
    </row>
    <row r="17700" spans="45:45">
      <c r="AS17700" s="47"/>
    </row>
    <row r="17701" spans="45:45">
      <c r="AS17701" s="47"/>
    </row>
    <row r="17702" spans="45:45">
      <c r="AS17702" s="47"/>
    </row>
    <row r="17703" spans="45:45">
      <c r="AS17703" s="47"/>
    </row>
    <row r="17704" spans="45:45">
      <c r="AS17704" s="47"/>
    </row>
    <row r="17705" spans="45:45">
      <c r="AS17705" s="47"/>
    </row>
    <row r="17706" spans="45:45">
      <c r="AS17706" s="47"/>
    </row>
    <row r="17707" spans="45:45">
      <c r="AS17707" s="47"/>
    </row>
    <row r="17708" spans="45:45">
      <c r="AS17708" s="47"/>
    </row>
    <row r="17709" spans="45:45">
      <c r="AS17709" s="47"/>
    </row>
    <row r="17710" spans="45:45">
      <c r="AS17710" s="47"/>
    </row>
    <row r="17711" spans="45:45">
      <c r="AS17711" s="47"/>
    </row>
    <row r="17712" spans="45:45">
      <c r="AS17712" s="47"/>
    </row>
    <row r="17713" spans="45:45">
      <c r="AS17713" s="47"/>
    </row>
    <row r="17714" spans="45:45">
      <c r="AS17714" s="47"/>
    </row>
    <row r="17715" spans="45:45">
      <c r="AS17715" s="47"/>
    </row>
    <row r="17716" spans="45:45">
      <c r="AS17716" s="47"/>
    </row>
    <row r="17717" spans="45:45">
      <c r="AS17717" s="47"/>
    </row>
    <row r="17718" spans="45:45">
      <c r="AS17718" s="47"/>
    </row>
    <row r="17719" spans="45:45">
      <c r="AS17719" s="47"/>
    </row>
    <row r="17720" spans="45:45">
      <c r="AS17720" s="47"/>
    </row>
    <row r="17721" spans="45:45">
      <c r="AS17721" s="47"/>
    </row>
    <row r="17722" spans="45:45">
      <c r="AS17722" s="47"/>
    </row>
    <row r="17723" spans="45:45">
      <c r="AS17723" s="47"/>
    </row>
    <row r="17724" spans="45:45">
      <c r="AS17724" s="47"/>
    </row>
    <row r="17725" spans="45:45">
      <c r="AS17725" s="47"/>
    </row>
    <row r="17726" spans="45:45">
      <c r="AS17726" s="47"/>
    </row>
    <row r="17727" spans="45:45">
      <c r="AS17727" s="47"/>
    </row>
    <row r="17728" spans="45:45">
      <c r="AS17728" s="47"/>
    </row>
    <row r="17729" spans="45:45">
      <c r="AS17729" s="47"/>
    </row>
    <row r="17730" spans="45:45">
      <c r="AS17730" s="47"/>
    </row>
    <row r="17731" spans="45:45">
      <c r="AS17731" s="47"/>
    </row>
    <row r="17732" spans="45:45">
      <c r="AS17732" s="47"/>
    </row>
    <row r="17733" spans="45:45">
      <c r="AS17733" s="47"/>
    </row>
    <row r="17734" spans="45:45">
      <c r="AS17734" s="47"/>
    </row>
    <row r="17735" spans="45:45">
      <c r="AS17735" s="47"/>
    </row>
    <row r="17736" spans="45:45">
      <c r="AS17736" s="47"/>
    </row>
    <row r="17737" spans="45:45">
      <c r="AS17737" s="47"/>
    </row>
    <row r="17738" spans="45:45">
      <c r="AS17738" s="47"/>
    </row>
    <row r="17739" spans="45:45">
      <c r="AS17739" s="47"/>
    </row>
    <row r="17740" spans="45:45">
      <c r="AS17740" s="47"/>
    </row>
    <row r="17741" spans="45:45">
      <c r="AS17741" s="47"/>
    </row>
    <row r="17742" spans="45:45">
      <c r="AS17742" s="47"/>
    </row>
    <row r="17743" spans="45:45">
      <c r="AS17743" s="47"/>
    </row>
    <row r="17744" spans="45:45">
      <c r="AS17744" s="47"/>
    </row>
    <row r="17745" spans="45:45">
      <c r="AS17745" s="47"/>
    </row>
    <row r="17746" spans="45:45">
      <c r="AS17746" s="47"/>
    </row>
    <row r="17747" spans="45:45">
      <c r="AS17747" s="47"/>
    </row>
    <row r="17748" spans="45:45">
      <c r="AS17748" s="47"/>
    </row>
    <row r="17749" spans="45:45">
      <c r="AS17749" s="47"/>
    </row>
    <row r="17750" spans="45:45">
      <c r="AS17750" s="47"/>
    </row>
    <row r="17751" spans="45:45">
      <c r="AS17751" s="47"/>
    </row>
    <row r="17752" spans="45:45">
      <c r="AS17752" s="47"/>
    </row>
    <row r="17753" spans="45:45">
      <c r="AS17753" s="47"/>
    </row>
    <row r="17754" spans="45:45">
      <c r="AS17754" s="47"/>
    </row>
    <row r="17755" spans="45:45">
      <c r="AS17755" s="47"/>
    </row>
    <row r="17756" spans="45:45">
      <c r="AS17756" s="47"/>
    </row>
    <row r="17757" spans="45:45">
      <c r="AS17757" s="47"/>
    </row>
    <row r="17758" spans="45:45">
      <c r="AS17758" s="47"/>
    </row>
    <row r="17759" spans="45:45">
      <c r="AS17759" s="47"/>
    </row>
    <row r="17760" spans="45:45">
      <c r="AS17760" s="47"/>
    </row>
    <row r="17761" spans="45:45">
      <c r="AS17761" s="47"/>
    </row>
    <row r="17762" spans="45:45">
      <c r="AS17762" s="47"/>
    </row>
    <row r="17763" spans="45:45">
      <c r="AS17763" s="47"/>
    </row>
    <row r="17764" spans="45:45">
      <c r="AS17764" s="47"/>
    </row>
    <row r="17765" spans="45:45">
      <c r="AS17765" s="47"/>
    </row>
    <row r="17766" spans="45:45">
      <c r="AS17766" s="47"/>
    </row>
    <row r="17767" spans="45:45">
      <c r="AS17767" s="47"/>
    </row>
    <row r="17768" spans="45:45">
      <c r="AS17768" s="47"/>
    </row>
    <row r="17769" spans="45:45">
      <c r="AS17769" s="47"/>
    </row>
    <row r="17770" spans="45:45">
      <c r="AS17770" s="47"/>
    </row>
    <row r="17771" spans="45:45">
      <c r="AS17771" s="47"/>
    </row>
    <row r="17772" spans="45:45">
      <c r="AS17772" s="47"/>
    </row>
    <row r="17773" spans="45:45">
      <c r="AS17773" s="47"/>
    </row>
    <row r="17774" spans="45:45">
      <c r="AS17774" s="47"/>
    </row>
    <row r="17775" spans="45:45">
      <c r="AS17775" s="47"/>
    </row>
    <row r="17776" spans="45:45">
      <c r="AS17776" s="47"/>
    </row>
    <row r="17777" spans="45:45">
      <c r="AS17777" s="47"/>
    </row>
    <row r="17778" spans="45:45">
      <c r="AS17778" s="47"/>
    </row>
    <row r="17779" spans="45:45">
      <c r="AS17779" s="47"/>
    </row>
    <row r="17780" spans="45:45">
      <c r="AS17780" s="47"/>
    </row>
    <row r="17781" spans="45:45">
      <c r="AS17781" s="47"/>
    </row>
    <row r="17782" spans="45:45">
      <c r="AS17782" s="47"/>
    </row>
    <row r="17783" spans="45:45">
      <c r="AS17783" s="47"/>
    </row>
    <row r="17784" spans="45:45">
      <c r="AS17784" s="47"/>
    </row>
    <row r="17785" spans="45:45">
      <c r="AS17785" s="47"/>
    </row>
    <row r="17786" spans="45:45">
      <c r="AS17786" s="47"/>
    </row>
    <row r="17787" spans="45:45">
      <c r="AS17787" s="47"/>
    </row>
    <row r="17788" spans="45:45">
      <c r="AS17788" s="47"/>
    </row>
    <row r="17789" spans="45:45">
      <c r="AS17789" s="47"/>
    </row>
    <row r="17790" spans="45:45">
      <c r="AS17790" s="47"/>
    </row>
    <row r="17791" spans="45:45">
      <c r="AS17791" s="47"/>
    </row>
    <row r="17792" spans="45:45">
      <c r="AS17792" s="47"/>
    </row>
    <row r="17793" spans="45:45">
      <c r="AS17793" s="47"/>
    </row>
    <row r="17794" spans="45:45">
      <c r="AS17794" s="47"/>
    </row>
    <row r="17795" spans="45:45">
      <c r="AS17795" s="47"/>
    </row>
    <row r="17796" spans="45:45">
      <c r="AS17796" s="47"/>
    </row>
    <row r="17797" spans="45:45">
      <c r="AS17797" s="47"/>
    </row>
    <row r="17798" spans="45:45">
      <c r="AS17798" s="47"/>
    </row>
    <row r="17799" spans="45:45">
      <c r="AS17799" s="47"/>
    </row>
    <row r="17800" spans="45:45">
      <c r="AS17800" s="47"/>
    </row>
    <row r="17801" spans="45:45">
      <c r="AS17801" s="47"/>
    </row>
    <row r="17802" spans="45:45">
      <c r="AS17802" s="47"/>
    </row>
    <row r="17803" spans="45:45">
      <c r="AS17803" s="47"/>
    </row>
    <row r="17804" spans="45:45">
      <c r="AS17804" s="47"/>
    </row>
    <row r="17805" spans="45:45">
      <c r="AS17805" s="47"/>
    </row>
    <row r="17806" spans="45:45">
      <c r="AS17806" s="47"/>
    </row>
    <row r="17807" spans="45:45">
      <c r="AS17807" s="47"/>
    </row>
    <row r="17808" spans="45:45">
      <c r="AS17808" s="47"/>
    </row>
    <row r="17809" spans="45:45">
      <c r="AS17809" s="47"/>
    </row>
    <row r="17810" spans="45:45">
      <c r="AS17810" s="47"/>
    </row>
    <row r="17811" spans="45:45">
      <c r="AS17811" s="47"/>
    </row>
    <row r="17812" spans="45:45">
      <c r="AS17812" s="47"/>
    </row>
    <row r="17813" spans="45:45">
      <c r="AS17813" s="47"/>
    </row>
    <row r="17814" spans="45:45">
      <c r="AS17814" s="47"/>
    </row>
    <row r="17815" spans="45:45">
      <c r="AS17815" s="47"/>
    </row>
    <row r="17816" spans="45:45">
      <c r="AS17816" s="47"/>
    </row>
    <row r="17817" spans="45:45">
      <c r="AS17817" s="47"/>
    </row>
    <row r="17818" spans="45:45">
      <c r="AS17818" s="47"/>
    </row>
    <row r="17819" spans="45:45">
      <c r="AS17819" s="47"/>
    </row>
    <row r="17820" spans="45:45">
      <c r="AS17820" s="47"/>
    </row>
    <row r="17821" spans="45:45">
      <c r="AS17821" s="47"/>
    </row>
    <row r="17822" spans="45:45">
      <c r="AS17822" s="47"/>
    </row>
    <row r="17823" spans="45:45">
      <c r="AS17823" s="47"/>
    </row>
    <row r="17824" spans="45:45">
      <c r="AS17824" s="47"/>
    </row>
    <row r="17825" spans="45:45">
      <c r="AS17825" s="47"/>
    </row>
    <row r="17826" spans="45:45">
      <c r="AS17826" s="47"/>
    </row>
    <row r="17827" spans="45:45">
      <c r="AS17827" s="47"/>
    </row>
    <row r="17828" spans="45:45">
      <c r="AS17828" s="47"/>
    </row>
    <row r="17829" spans="45:45">
      <c r="AS17829" s="47"/>
    </row>
    <row r="17830" spans="45:45">
      <c r="AS17830" s="47"/>
    </row>
    <row r="17831" spans="45:45">
      <c r="AS17831" s="47"/>
    </row>
    <row r="17832" spans="45:45">
      <c r="AS17832" s="47"/>
    </row>
    <row r="17833" spans="45:45">
      <c r="AS17833" s="47"/>
    </row>
    <row r="17834" spans="45:45">
      <c r="AS17834" s="47"/>
    </row>
    <row r="17835" spans="45:45">
      <c r="AS17835" s="47"/>
    </row>
    <row r="17836" spans="45:45">
      <c r="AS17836" s="47"/>
    </row>
    <row r="17837" spans="45:45">
      <c r="AS17837" s="47"/>
    </row>
    <row r="17838" spans="45:45">
      <c r="AS17838" s="47"/>
    </row>
    <row r="17839" spans="45:45">
      <c r="AS17839" s="47"/>
    </row>
    <row r="17840" spans="45:45">
      <c r="AS17840" s="47"/>
    </row>
    <row r="17841" spans="45:45">
      <c r="AS17841" s="47"/>
    </row>
    <row r="17842" spans="45:45">
      <c r="AS17842" s="47"/>
    </row>
    <row r="17843" spans="45:45">
      <c r="AS17843" s="47"/>
    </row>
    <row r="17844" spans="45:45">
      <c r="AS17844" s="47"/>
    </row>
    <row r="17845" spans="45:45">
      <c r="AS17845" s="47"/>
    </row>
    <row r="17846" spans="45:45">
      <c r="AS17846" s="47"/>
    </row>
    <row r="17847" spans="45:45">
      <c r="AS17847" s="47"/>
    </row>
    <row r="17848" spans="45:45">
      <c r="AS17848" s="47"/>
    </row>
    <row r="17849" spans="45:45">
      <c r="AS17849" s="47"/>
    </row>
    <row r="17850" spans="45:45">
      <c r="AS17850" s="47"/>
    </row>
    <row r="17851" spans="45:45">
      <c r="AS17851" s="47"/>
    </row>
    <row r="17852" spans="45:45">
      <c r="AS17852" s="47"/>
    </row>
    <row r="17853" spans="45:45">
      <c r="AS17853" s="47"/>
    </row>
    <row r="17854" spans="45:45">
      <c r="AS17854" s="47"/>
    </row>
    <row r="17855" spans="45:45">
      <c r="AS17855" s="47"/>
    </row>
    <row r="17856" spans="45:45">
      <c r="AS17856" s="47"/>
    </row>
    <row r="17857" spans="45:45">
      <c r="AS17857" s="47"/>
    </row>
    <row r="17858" spans="45:45">
      <c r="AS17858" s="47"/>
    </row>
    <row r="17859" spans="45:45">
      <c r="AS17859" s="47"/>
    </row>
    <row r="17860" spans="45:45">
      <c r="AS17860" s="47"/>
    </row>
    <row r="17861" spans="45:45">
      <c r="AS17861" s="47"/>
    </row>
    <row r="17862" spans="45:45">
      <c r="AS17862" s="47"/>
    </row>
    <row r="17863" spans="45:45">
      <c r="AS17863" s="47"/>
    </row>
    <row r="17864" spans="45:45">
      <c r="AS17864" s="47"/>
    </row>
    <row r="17865" spans="45:45">
      <c r="AS17865" s="47"/>
    </row>
    <row r="17866" spans="45:45">
      <c r="AS17866" s="47"/>
    </row>
    <row r="17867" spans="45:45">
      <c r="AS17867" s="47"/>
    </row>
    <row r="17868" spans="45:45">
      <c r="AS17868" s="47"/>
    </row>
    <row r="17869" spans="45:45">
      <c r="AS17869" s="47"/>
    </row>
    <row r="17870" spans="45:45">
      <c r="AS17870" s="47"/>
    </row>
    <row r="17871" spans="45:45">
      <c r="AS17871" s="47"/>
    </row>
    <row r="17872" spans="45:45">
      <c r="AS17872" s="47"/>
    </row>
    <row r="17873" spans="45:45">
      <c r="AS17873" s="47"/>
    </row>
    <row r="17874" spans="45:45">
      <c r="AS17874" s="47"/>
    </row>
    <row r="17875" spans="45:45">
      <c r="AS17875" s="47"/>
    </row>
    <row r="17876" spans="45:45">
      <c r="AS17876" s="47"/>
    </row>
    <row r="17877" spans="45:45">
      <c r="AS17877" s="47"/>
    </row>
    <row r="17878" spans="45:45">
      <c r="AS17878" s="47"/>
    </row>
    <row r="17879" spans="45:45">
      <c r="AS17879" s="47"/>
    </row>
    <row r="17880" spans="45:45">
      <c r="AS17880" s="47"/>
    </row>
    <row r="17881" spans="45:45">
      <c r="AS17881" s="47"/>
    </row>
    <row r="17882" spans="45:45">
      <c r="AS17882" s="47"/>
    </row>
    <row r="17883" spans="45:45">
      <c r="AS17883" s="47"/>
    </row>
    <row r="17884" spans="45:45">
      <c r="AS17884" s="47"/>
    </row>
    <row r="17885" spans="45:45">
      <c r="AS17885" s="47"/>
    </row>
    <row r="17886" spans="45:45">
      <c r="AS17886" s="47"/>
    </row>
    <row r="17887" spans="45:45">
      <c r="AS17887" s="47"/>
    </row>
    <row r="17888" spans="45:45">
      <c r="AS17888" s="47"/>
    </row>
    <row r="17889" spans="45:45">
      <c r="AS17889" s="47"/>
    </row>
    <row r="17890" spans="45:45">
      <c r="AS17890" s="47"/>
    </row>
    <row r="17891" spans="45:45">
      <c r="AS17891" s="47"/>
    </row>
    <row r="17892" spans="45:45">
      <c r="AS17892" s="47"/>
    </row>
    <row r="17893" spans="45:45">
      <c r="AS17893" s="47"/>
    </row>
    <row r="17894" spans="45:45">
      <c r="AS17894" s="47"/>
    </row>
    <row r="17895" spans="45:45">
      <c r="AS17895" s="47"/>
    </row>
    <row r="17896" spans="45:45">
      <c r="AS17896" s="47"/>
    </row>
    <row r="17897" spans="45:45">
      <c r="AS17897" s="47"/>
    </row>
    <row r="17898" spans="45:45">
      <c r="AS17898" s="47"/>
    </row>
    <row r="17899" spans="45:45">
      <c r="AS17899" s="47"/>
    </row>
    <row r="17900" spans="45:45">
      <c r="AS17900" s="47"/>
    </row>
    <row r="17901" spans="45:45">
      <c r="AS17901" s="47"/>
    </row>
    <row r="17902" spans="45:45">
      <c r="AS17902" s="47"/>
    </row>
    <row r="17903" spans="45:45">
      <c r="AS17903" s="47"/>
    </row>
    <row r="17904" spans="45:45">
      <c r="AS17904" s="47"/>
    </row>
    <row r="17905" spans="45:45">
      <c r="AS17905" s="47"/>
    </row>
    <row r="17906" spans="45:45">
      <c r="AS17906" s="47"/>
    </row>
    <row r="17907" spans="45:45">
      <c r="AS17907" s="47"/>
    </row>
    <row r="17908" spans="45:45">
      <c r="AS17908" s="47"/>
    </row>
    <row r="17909" spans="45:45">
      <c r="AS17909" s="47"/>
    </row>
    <row r="17910" spans="45:45">
      <c r="AS17910" s="47"/>
    </row>
    <row r="17911" spans="45:45">
      <c r="AS17911" s="47"/>
    </row>
    <row r="17912" spans="45:45">
      <c r="AS17912" s="47"/>
    </row>
    <row r="17913" spans="45:45">
      <c r="AS17913" s="47"/>
    </row>
    <row r="17914" spans="45:45">
      <c r="AS17914" s="47"/>
    </row>
    <row r="17915" spans="45:45">
      <c r="AS17915" s="47"/>
    </row>
    <row r="17916" spans="45:45">
      <c r="AS17916" s="47"/>
    </row>
    <row r="17917" spans="45:45">
      <c r="AS17917" s="47"/>
    </row>
    <row r="17918" spans="45:45">
      <c r="AS17918" s="47"/>
    </row>
    <row r="17919" spans="45:45">
      <c r="AS17919" s="47"/>
    </row>
    <row r="17920" spans="45:45">
      <c r="AS17920" s="47"/>
    </row>
    <row r="17921" spans="45:45">
      <c r="AS17921" s="47"/>
    </row>
    <row r="17922" spans="45:45">
      <c r="AS17922" s="47"/>
    </row>
    <row r="17923" spans="45:45">
      <c r="AS17923" s="47"/>
    </row>
    <row r="17924" spans="45:45">
      <c r="AS17924" s="47"/>
    </row>
    <row r="17925" spans="45:45">
      <c r="AS17925" s="47"/>
    </row>
    <row r="17926" spans="45:45">
      <c r="AS17926" s="47"/>
    </row>
    <row r="17927" spans="45:45">
      <c r="AS17927" s="47"/>
    </row>
    <row r="17928" spans="45:45">
      <c r="AS17928" s="47"/>
    </row>
    <row r="17929" spans="45:45">
      <c r="AS17929" s="47"/>
    </row>
    <row r="17930" spans="45:45">
      <c r="AS17930" s="47"/>
    </row>
    <row r="17931" spans="45:45">
      <c r="AS17931" s="47"/>
    </row>
    <row r="17932" spans="45:45">
      <c r="AS17932" s="47"/>
    </row>
    <row r="17933" spans="45:45">
      <c r="AS17933" s="47"/>
    </row>
    <row r="17934" spans="45:45">
      <c r="AS17934" s="47"/>
    </row>
    <row r="17935" spans="45:45">
      <c r="AS17935" s="47"/>
    </row>
    <row r="17936" spans="45:45">
      <c r="AS17936" s="47"/>
    </row>
    <row r="17937" spans="45:45">
      <c r="AS17937" s="47"/>
    </row>
    <row r="17938" spans="45:45">
      <c r="AS17938" s="47"/>
    </row>
    <row r="17939" spans="45:45">
      <c r="AS17939" s="47"/>
    </row>
    <row r="17940" spans="45:45">
      <c r="AS17940" s="47"/>
    </row>
    <row r="17941" spans="45:45">
      <c r="AS17941" s="47"/>
    </row>
    <row r="17942" spans="45:45">
      <c r="AS17942" s="47"/>
    </row>
    <row r="17943" spans="45:45">
      <c r="AS17943" s="47"/>
    </row>
    <row r="17944" spans="45:45">
      <c r="AS17944" s="47"/>
    </row>
    <row r="17945" spans="45:45">
      <c r="AS17945" s="47"/>
    </row>
    <row r="17946" spans="45:45">
      <c r="AS17946" s="47"/>
    </row>
    <row r="17947" spans="45:45">
      <c r="AS17947" s="47"/>
    </row>
    <row r="17948" spans="45:45">
      <c r="AS17948" s="47"/>
    </row>
    <row r="17949" spans="45:45">
      <c r="AS17949" s="47"/>
    </row>
    <row r="17950" spans="45:45">
      <c r="AS17950" s="47"/>
    </row>
    <row r="17951" spans="45:45">
      <c r="AS17951" s="47"/>
    </row>
    <row r="17952" spans="45:45">
      <c r="AS17952" s="47"/>
    </row>
    <row r="17953" spans="45:45">
      <c r="AS17953" s="47"/>
    </row>
    <row r="17954" spans="45:45">
      <c r="AS17954" s="47"/>
    </row>
    <row r="17955" spans="45:45">
      <c r="AS17955" s="47"/>
    </row>
    <row r="17956" spans="45:45">
      <c r="AS17956" s="47"/>
    </row>
    <row r="17957" spans="45:45">
      <c r="AS17957" s="47"/>
    </row>
    <row r="17958" spans="45:45">
      <c r="AS17958" s="47"/>
    </row>
    <row r="17959" spans="45:45">
      <c r="AS17959" s="47"/>
    </row>
    <row r="17960" spans="45:45">
      <c r="AS17960" s="47"/>
    </row>
    <row r="17961" spans="45:45">
      <c r="AS17961" s="47"/>
    </row>
    <row r="17962" spans="45:45">
      <c r="AS17962" s="47"/>
    </row>
    <row r="17963" spans="45:45">
      <c r="AS17963" s="47"/>
    </row>
    <row r="17964" spans="45:45">
      <c r="AS17964" s="47"/>
    </row>
    <row r="17965" spans="45:45">
      <c r="AS17965" s="47"/>
    </row>
    <row r="17966" spans="45:45">
      <c r="AS17966" s="47"/>
    </row>
    <row r="17967" spans="45:45">
      <c r="AS17967" s="47"/>
    </row>
    <row r="17968" spans="45:45">
      <c r="AS17968" s="47"/>
    </row>
    <row r="17969" spans="45:45">
      <c r="AS17969" s="47"/>
    </row>
    <row r="17970" spans="45:45">
      <c r="AS17970" s="47"/>
    </row>
    <row r="17971" spans="45:45">
      <c r="AS17971" s="47"/>
    </row>
    <row r="17972" spans="45:45">
      <c r="AS17972" s="47"/>
    </row>
    <row r="17973" spans="45:45">
      <c r="AS17973" s="47"/>
    </row>
    <row r="17974" spans="45:45">
      <c r="AS17974" s="47"/>
    </row>
    <row r="17975" spans="45:45">
      <c r="AS17975" s="47"/>
    </row>
    <row r="17976" spans="45:45">
      <c r="AS17976" s="47"/>
    </row>
    <row r="17977" spans="45:45">
      <c r="AS17977" s="47"/>
    </row>
    <row r="17978" spans="45:45">
      <c r="AS17978" s="47"/>
    </row>
    <row r="17979" spans="45:45">
      <c r="AS17979" s="47"/>
    </row>
    <row r="17980" spans="45:45">
      <c r="AS17980" s="47"/>
    </row>
    <row r="17981" spans="45:45">
      <c r="AS17981" s="47"/>
    </row>
    <row r="17982" spans="45:45">
      <c r="AS17982" s="47"/>
    </row>
    <row r="17983" spans="45:45">
      <c r="AS17983" s="47"/>
    </row>
    <row r="17984" spans="45:45">
      <c r="AS17984" s="47"/>
    </row>
    <row r="17985" spans="45:45">
      <c r="AS17985" s="47"/>
    </row>
    <row r="17986" spans="45:45">
      <c r="AS17986" s="47"/>
    </row>
    <row r="17987" spans="45:45">
      <c r="AS17987" s="47"/>
    </row>
    <row r="17988" spans="45:45">
      <c r="AS17988" s="47"/>
    </row>
    <row r="17989" spans="45:45">
      <c r="AS17989" s="47"/>
    </row>
    <row r="17990" spans="45:45">
      <c r="AS17990" s="47"/>
    </row>
    <row r="17991" spans="45:45">
      <c r="AS17991" s="47"/>
    </row>
    <row r="17992" spans="45:45">
      <c r="AS17992" s="47"/>
    </row>
    <row r="17993" spans="45:45">
      <c r="AS17993" s="47"/>
    </row>
    <row r="17994" spans="45:45">
      <c r="AS17994" s="47"/>
    </row>
    <row r="17995" spans="45:45">
      <c r="AS17995" s="47"/>
    </row>
    <row r="17996" spans="45:45">
      <c r="AS17996" s="47"/>
    </row>
    <row r="17997" spans="45:45">
      <c r="AS17997" s="47"/>
    </row>
    <row r="17998" spans="45:45">
      <c r="AS17998" s="47"/>
    </row>
    <row r="17999" spans="45:45">
      <c r="AS17999" s="47"/>
    </row>
    <row r="18000" spans="45:45">
      <c r="AS18000" s="47"/>
    </row>
    <row r="18001" spans="45:45">
      <c r="AS18001" s="47"/>
    </row>
    <row r="18002" spans="45:45">
      <c r="AS18002" s="47"/>
    </row>
    <row r="18003" spans="45:45">
      <c r="AS18003" s="47"/>
    </row>
    <row r="18004" spans="45:45">
      <c r="AS18004" s="47"/>
    </row>
    <row r="18005" spans="45:45">
      <c r="AS18005" s="47"/>
    </row>
    <row r="18006" spans="45:45">
      <c r="AS18006" s="47"/>
    </row>
    <row r="18007" spans="45:45">
      <c r="AS18007" s="47"/>
    </row>
    <row r="18008" spans="45:45">
      <c r="AS18008" s="47"/>
    </row>
    <row r="18009" spans="45:45">
      <c r="AS18009" s="47"/>
    </row>
    <row r="18010" spans="45:45">
      <c r="AS18010" s="47"/>
    </row>
    <row r="18011" spans="45:45">
      <c r="AS18011" s="47"/>
    </row>
    <row r="18012" spans="45:45">
      <c r="AS18012" s="47"/>
    </row>
    <row r="18013" spans="45:45">
      <c r="AS18013" s="47"/>
    </row>
    <row r="18014" spans="45:45">
      <c r="AS18014" s="47"/>
    </row>
    <row r="18015" spans="45:45">
      <c r="AS18015" s="47"/>
    </row>
    <row r="18016" spans="45:45">
      <c r="AS18016" s="47"/>
    </row>
    <row r="18017" spans="45:45">
      <c r="AS18017" s="47"/>
    </row>
    <row r="18018" spans="45:45">
      <c r="AS18018" s="47"/>
    </row>
    <row r="18019" spans="45:45">
      <c r="AS18019" s="47"/>
    </row>
    <row r="18020" spans="45:45">
      <c r="AS18020" s="47"/>
    </row>
    <row r="18021" spans="45:45">
      <c r="AS18021" s="47"/>
    </row>
    <row r="18022" spans="45:45">
      <c r="AS18022" s="47"/>
    </row>
    <row r="18023" spans="45:45">
      <c r="AS18023" s="47"/>
    </row>
    <row r="18024" spans="45:45">
      <c r="AS18024" s="47"/>
    </row>
    <row r="18025" spans="45:45">
      <c r="AS18025" s="47"/>
    </row>
    <row r="18026" spans="45:45">
      <c r="AS18026" s="47"/>
    </row>
    <row r="18027" spans="45:45">
      <c r="AS18027" s="47"/>
    </row>
    <row r="18028" spans="45:45">
      <c r="AS18028" s="47"/>
    </row>
    <row r="18029" spans="45:45">
      <c r="AS18029" s="47"/>
    </row>
    <row r="18030" spans="45:45">
      <c r="AS18030" s="47"/>
    </row>
    <row r="18031" spans="45:45">
      <c r="AS18031" s="47"/>
    </row>
    <row r="18032" spans="45:45">
      <c r="AS18032" s="47"/>
    </row>
    <row r="18033" spans="45:45">
      <c r="AS18033" s="47"/>
    </row>
    <row r="18034" spans="45:45">
      <c r="AS18034" s="47"/>
    </row>
    <row r="18035" spans="45:45">
      <c r="AS18035" s="47"/>
    </row>
    <row r="18036" spans="45:45">
      <c r="AS18036" s="47"/>
    </row>
    <row r="18037" spans="45:45">
      <c r="AS18037" s="47"/>
    </row>
    <row r="18038" spans="45:45">
      <c r="AS18038" s="47"/>
    </row>
    <row r="18039" spans="45:45">
      <c r="AS18039" s="47"/>
    </row>
    <row r="18040" spans="45:45">
      <c r="AS18040" s="47"/>
    </row>
    <row r="18041" spans="45:45">
      <c r="AS18041" s="47"/>
    </row>
    <row r="18042" spans="45:45">
      <c r="AS18042" s="47"/>
    </row>
    <row r="18043" spans="45:45">
      <c r="AS18043" s="47"/>
    </row>
    <row r="18044" spans="45:45">
      <c r="AS18044" s="47"/>
    </row>
    <row r="18045" spans="45:45">
      <c r="AS18045" s="47"/>
    </row>
    <row r="18046" spans="45:45">
      <c r="AS18046" s="47"/>
    </row>
    <row r="18047" spans="45:45">
      <c r="AS18047" s="47"/>
    </row>
    <row r="18048" spans="45:45">
      <c r="AS18048" s="47"/>
    </row>
    <row r="18049" spans="45:45">
      <c r="AS18049" s="47"/>
    </row>
    <row r="18050" spans="45:45">
      <c r="AS18050" s="47"/>
    </row>
    <row r="18051" spans="45:45">
      <c r="AS18051" s="47"/>
    </row>
    <row r="18052" spans="45:45">
      <c r="AS18052" s="47"/>
    </row>
    <row r="18053" spans="45:45">
      <c r="AS18053" s="47"/>
    </row>
    <row r="18054" spans="45:45">
      <c r="AS18054" s="47"/>
    </row>
    <row r="18055" spans="45:45">
      <c r="AS18055" s="47"/>
    </row>
    <row r="18056" spans="45:45">
      <c r="AS18056" s="47"/>
    </row>
    <row r="18057" spans="45:45">
      <c r="AS18057" s="47"/>
    </row>
    <row r="18058" spans="45:45">
      <c r="AS18058" s="47"/>
    </row>
    <row r="18059" spans="45:45">
      <c r="AS18059" s="47"/>
    </row>
    <row r="18060" spans="45:45">
      <c r="AS18060" s="47"/>
    </row>
    <row r="18061" spans="45:45">
      <c r="AS18061" s="47"/>
    </row>
    <row r="18062" spans="45:45">
      <c r="AS18062" s="47"/>
    </row>
    <row r="18063" spans="45:45">
      <c r="AS18063" s="47"/>
    </row>
    <row r="18064" spans="45:45">
      <c r="AS18064" s="47"/>
    </row>
    <row r="18065" spans="45:45">
      <c r="AS18065" s="47"/>
    </row>
    <row r="18066" spans="45:45">
      <c r="AS18066" s="47"/>
    </row>
    <row r="18067" spans="45:45">
      <c r="AS18067" s="47"/>
    </row>
    <row r="18068" spans="45:45">
      <c r="AS18068" s="47"/>
    </row>
    <row r="18069" spans="45:45">
      <c r="AS18069" s="47"/>
    </row>
    <row r="18070" spans="45:45">
      <c r="AS18070" s="47"/>
    </row>
    <row r="18071" spans="45:45">
      <c r="AS18071" s="47"/>
    </row>
    <row r="18072" spans="45:45">
      <c r="AS18072" s="47"/>
    </row>
    <row r="18073" spans="45:45">
      <c r="AS18073" s="47"/>
    </row>
    <row r="18074" spans="45:45">
      <c r="AS18074" s="47"/>
    </row>
    <row r="18075" spans="45:45">
      <c r="AS18075" s="47"/>
    </row>
    <row r="18076" spans="45:45">
      <c r="AS18076" s="47"/>
    </row>
    <row r="18077" spans="45:45">
      <c r="AS18077" s="47"/>
    </row>
    <row r="18078" spans="45:45">
      <c r="AS18078" s="47"/>
    </row>
    <row r="18079" spans="45:45">
      <c r="AS18079" s="47"/>
    </row>
    <row r="18080" spans="45:45">
      <c r="AS18080" s="47"/>
    </row>
    <row r="18081" spans="45:45">
      <c r="AS18081" s="47"/>
    </row>
    <row r="18082" spans="45:45">
      <c r="AS18082" s="47"/>
    </row>
    <row r="18083" spans="45:45">
      <c r="AS18083" s="47"/>
    </row>
    <row r="18084" spans="45:45">
      <c r="AS18084" s="47"/>
    </row>
    <row r="18085" spans="45:45">
      <c r="AS18085" s="47"/>
    </row>
    <row r="18086" spans="45:45">
      <c r="AS18086" s="47"/>
    </row>
    <row r="18087" spans="45:45">
      <c r="AS18087" s="47"/>
    </row>
    <row r="18088" spans="45:45">
      <c r="AS18088" s="47"/>
    </row>
    <row r="18089" spans="45:45">
      <c r="AS18089" s="47"/>
    </row>
    <row r="18090" spans="45:45">
      <c r="AS18090" s="47"/>
    </row>
    <row r="18091" spans="45:45">
      <c r="AS18091" s="47"/>
    </row>
    <row r="18092" spans="45:45">
      <c r="AS18092" s="47"/>
    </row>
    <row r="18093" spans="45:45">
      <c r="AS18093" s="47"/>
    </row>
    <row r="18094" spans="45:45">
      <c r="AS18094" s="47"/>
    </row>
    <row r="18095" spans="45:45">
      <c r="AS18095" s="47"/>
    </row>
    <row r="18096" spans="45:45">
      <c r="AS18096" s="47"/>
    </row>
    <row r="18097" spans="45:45">
      <c r="AS18097" s="47"/>
    </row>
    <row r="18098" spans="45:45">
      <c r="AS18098" s="47"/>
    </row>
    <row r="18099" spans="45:45">
      <c r="AS18099" s="47"/>
    </row>
    <row r="18100" spans="45:45">
      <c r="AS18100" s="47"/>
    </row>
    <row r="18101" spans="45:45">
      <c r="AS18101" s="47"/>
    </row>
    <row r="18102" spans="45:45">
      <c r="AS18102" s="47"/>
    </row>
    <row r="18103" spans="45:45">
      <c r="AS18103" s="47"/>
    </row>
    <row r="18104" spans="45:45">
      <c r="AS18104" s="47"/>
    </row>
    <row r="18105" spans="45:45">
      <c r="AS18105" s="47"/>
    </row>
    <row r="18106" spans="45:45">
      <c r="AS18106" s="47"/>
    </row>
    <row r="18107" spans="45:45">
      <c r="AS18107" s="47"/>
    </row>
    <row r="18108" spans="45:45">
      <c r="AS18108" s="47"/>
    </row>
    <row r="18109" spans="45:45">
      <c r="AS18109" s="47"/>
    </row>
    <row r="18110" spans="45:45">
      <c r="AS18110" s="47"/>
    </row>
    <row r="18111" spans="45:45">
      <c r="AS18111" s="47"/>
    </row>
    <row r="18112" spans="45:45">
      <c r="AS18112" s="47"/>
    </row>
    <row r="18113" spans="45:45">
      <c r="AS18113" s="47"/>
    </row>
    <row r="18114" spans="45:45">
      <c r="AS18114" s="47"/>
    </row>
    <row r="18115" spans="45:45">
      <c r="AS18115" s="47"/>
    </row>
    <row r="18116" spans="45:45">
      <c r="AS18116" s="47"/>
    </row>
    <row r="18117" spans="45:45">
      <c r="AS18117" s="47"/>
    </row>
    <row r="18118" spans="45:45">
      <c r="AS18118" s="47"/>
    </row>
    <row r="18119" spans="45:45">
      <c r="AS18119" s="47"/>
    </row>
    <row r="18120" spans="45:45">
      <c r="AS18120" s="47"/>
    </row>
    <row r="18121" spans="45:45">
      <c r="AS18121" s="47"/>
    </row>
    <row r="18122" spans="45:45">
      <c r="AS18122" s="47"/>
    </row>
    <row r="18123" spans="45:45">
      <c r="AS18123" s="47"/>
    </row>
    <row r="18124" spans="45:45">
      <c r="AS18124" s="47"/>
    </row>
    <row r="18125" spans="45:45">
      <c r="AS18125" s="47"/>
    </row>
    <row r="18126" spans="45:45">
      <c r="AS18126" s="47"/>
    </row>
    <row r="18127" spans="45:45">
      <c r="AS18127" s="47"/>
    </row>
    <row r="18128" spans="45:45">
      <c r="AS18128" s="47"/>
    </row>
    <row r="18129" spans="45:45">
      <c r="AS18129" s="47"/>
    </row>
    <row r="18130" spans="45:45">
      <c r="AS18130" s="47"/>
    </row>
    <row r="18131" spans="45:45">
      <c r="AS18131" s="47"/>
    </row>
    <row r="18132" spans="45:45">
      <c r="AS18132" s="47"/>
    </row>
    <row r="18133" spans="45:45">
      <c r="AS18133" s="47"/>
    </row>
    <row r="18134" spans="45:45">
      <c r="AS18134" s="47"/>
    </row>
    <row r="18135" spans="45:45">
      <c r="AS18135" s="47"/>
    </row>
    <row r="18136" spans="45:45">
      <c r="AS18136" s="47"/>
    </row>
    <row r="18137" spans="45:45">
      <c r="AS18137" s="47"/>
    </row>
    <row r="18138" spans="45:45">
      <c r="AS18138" s="47"/>
    </row>
    <row r="18139" spans="45:45">
      <c r="AS18139" s="47"/>
    </row>
    <row r="18140" spans="45:45">
      <c r="AS18140" s="47"/>
    </row>
    <row r="18141" spans="45:45">
      <c r="AS18141" s="47"/>
    </row>
    <row r="18142" spans="45:45">
      <c r="AS18142" s="47"/>
    </row>
    <row r="18143" spans="45:45">
      <c r="AS18143" s="47"/>
    </row>
    <row r="18144" spans="45:45">
      <c r="AS18144" s="47"/>
    </row>
    <row r="18145" spans="45:45">
      <c r="AS18145" s="47"/>
    </row>
    <row r="18146" spans="45:45">
      <c r="AS18146" s="47"/>
    </row>
    <row r="18147" spans="45:45">
      <c r="AS18147" s="47"/>
    </row>
    <row r="18148" spans="45:45">
      <c r="AS18148" s="47"/>
    </row>
    <row r="18149" spans="45:45">
      <c r="AS18149" s="47"/>
    </row>
    <row r="18150" spans="45:45">
      <c r="AS18150" s="47"/>
    </row>
    <row r="18151" spans="45:45">
      <c r="AS18151" s="47"/>
    </row>
    <row r="18152" spans="45:45">
      <c r="AS18152" s="47"/>
    </row>
    <row r="18153" spans="45:45">
      <c r="AS18153" s="47"/>
    </row>
    <row r="18154" spans="45:45">
      <c r="AS18154" s="47"/>
    </row>
    <row r="18155" spans="45:45">
      <c r="AS18155" s="47"/>
    </row>
    <row r="18156" spans="45:45">
      <c r="AS18156" s="47"/>
    </row>
    <row r="18157" spans="45:45">
      <c r="AS18157" s="47"/>
    </row>
    <row r="18158" spans="45:45">
      <c r="AS18158" s="47"/>
    </row>
    <row r="18159" spans="45:45">
      <c r="AS18159" s="47"/>
    </row>
    <row r="18160" spans="45:45">
      <c r="AS18160" s="47"/>
    </row>
    <row r="18161" spans="45:45">
      <c r="AS18161" s="47"/>
    </row>
    <row r="18162" spans="45:45">
      <c r="AS18162" s="47"/>
    </row>
    <row r="18163" spans="45:45">
      <c r="AS18163" s="47"/>
    </row>
    <row r="18164" spans="45:45">
      <c r="AS18164" s="47"/>
    </row>
    <row r="18165" spans="45:45">
      <c r="AS18165" s="47"/>
    </row>
    <row r="18166" spans="45:45">
      <c r="AS18166" s="47"/>
    </row>
    <row r="18167" spans="45:45">
      <c r="AS18167" s="47"/>
    </row>
    <row r="18168" spans="45:45">
      <c r="AS18168" s="47"/>
    </row>
    <row r="18169" spans="45:45">
      <c r="AS18169" s="47"/>
    </row>
    <row r="18170" spans="45:45">
      <c r="AS18170" s="47"/>
    </row>
    <row r="18171" spans="45:45">
      <c r="AS18171" s="47"/>
    </row>
    <row r="18172" spans="45:45">
      <c r="AS18172" s="47"/>
    </row>
    <row r="18173" spans="45:45">
      <c r="AS18173" s="47"/>
    </row>
    <row r="18174" spans="45:45">
      <c r="AS18174" s="47"/>
    </row>
    <row r="18175" spans="45:45">
      <c r="AS18175" s="47"/>
    </row>
    <row r="18176" spans="45:45">
      <c r="AS18176" s="47"/>
    </row>
    <row r="18177" spans="45:45">
      <c r="AS18177" s="47"/>
    </row>
    <row r="18178" spans="45:45">
      <c r="AS18178" s="47"/>
    </row>
    <row r="18179" spans="45:45">
      <c r="AS18179" s="47"/>
    </row>
    <row r="18180" spans="45:45">
      <c r="AS18180" s="47"/>
    </row>
    <row r="18181" spans="45:45">
      <c r="AS18181" s="47"/>
    </row>
    <row r="18182" spans="45:45">
      <c r="AS18182" s="47"/>
    </row>
    <row r="18183" spans="45:45">
      <c r="AS18183" s="47"/>
    </row>
    <row r="18184" spans="45:45">
      <c r="AS18184" s="47"/>
    </row>
    <row r="18185" spans="45:45">
      <c r="AS18185" s="47"/>
    </row>
    <row r="18186" spans="45:45">
      <c r="AS18186" s="47"/>
    </row>
    <row r="18187" spans="45:45">
      <c r="AS18187" s="47"/>
    </row>
    <row r="18188" spans="45:45">
      <c r="AS18188" s="47"/>
    </row>
    <row r="18189" spans="45:45">
      <c r="AS18189" s="47"/>
    </row>
    <row r="18190" spans="45:45">
      <c r="AS18190" s="47"/>
    </row>
    <row r="18191" spans="45:45">
      <c r="AS18191" s="47"/>
    </row>
    <row r="18192" spans="45:45">
      <c r="AS18192" s="47"/>
    </row>
    <row r="18193" spans="45:45">
      <c r="AS18193" s="47"/>
    </row>
    <row r="18194" spans="45:45">
      <c r="AS18194" s="47"/>
    </row>
    <row r="18195" spans="45:45">
      <c r="AS18195" s="47"/>
    </row>
    <row r="18196" spans="45:45">
      <c r="AS18196" s="47"/>
    </row>
    <row r="18197" spans="45:45">
      <c r="AS18197" s="47"/>
    </row>
    <row r="18198" spans="45:45">
      <c r="AS18198" s="47"/>
    </row>
    <row r="18199" spans="45:45">
      <c r="AS18199" s="47"/>
    </row>
    <row r="18200" spans="45:45">
      <c r="AS18200" s="47"/>
    </row>
    <row r="18201" spans="45:45">
      <c r="AS18201" s="47"/>
    </row>
    <row r="18202" spans="45:45">
      <c r="AS18202" s="47"/>
    </row>
    <row r="18203" spans="45:45">
      <c r="AS18203" s="47"/>
    </row>
    <row r="18204" spans="45:45">
      <c r="AS18204" s="47"/>
    </row>
    <row r="18205" spans="45:45">
      <c r="AS18205" s="47"/>
    </row>
    <row r="18206" spans="45:45">
      <c r="AS18206" s="47"/>
    </row>
    <row r="18207" spans="45:45">
      <c r="AS18207" s="47"/>
    </row>
    <row r="18208" spans="45:45">
      <c r="AS18208" s="47"/>
    </row>
    <row r="18209" spans="45:45">
      <c r="AS18209" s="47"/>
    </row>
    <row r="18210" spans="45:45">
      <c r="AS18210" s="47"/>
    </row>
    <row r="18211" spans="45:45">
      <c r="AS18211" s="47"/>
    </row>
    <row r="18212" spans="45:45">
      <c r="AS18212" s="47"/>
    </row>
    <row r="18213" spans="45:45">
      <c r="AS18213" s="47"/>
    </row>
    <row r="18214" spans="45:45">
      <c r="AS18214" s="47"/>
    </row>
    <row r="18215" spans="45:45">
      <c r="AS18215" s="47"/>
    </row>
    <row r="18216" spans="45:45">
      <c r="AS18216" s="47"/>
    </row>
    <row r="18217" spans="45:45">
      <c r="AS18217" s="47"/>
    </row>
    <row r="18218" spans="45:45">
      <c r="AS18218" s="47"/>
    </row>
    <row r="18219" spans="45:45">
      <c r="AS18219" s="47"/>
    </row>
    <row r="18220" spans="45:45">
      <c r="AS18220" s="47"/>
    </row>
    <row r="18221" spans="45:45">
      <c r="AS18221" s="47"/>
    </row>
    <row r="18222" spans="45:45">
      <c r="AS18222" s="47"/>
    </row>
    <row r="18223" spans="45:45">
      <c r="AS18223" s="47"/>
    </row>
    <row r="18224" spans="45:45">
      <c r="AS18224" s="47"/>
    </row>
    <row r="18225" spans="45:45">
      <c r="AS18225" s="47"/>
    </row>
    <row r="18226" spans="45:45">
      <c r="AS18226" s="47"/>
    </row>
    <row r="18227" spans="45:45">
      <c r="AS18227" s="47"/>
    </row>
    <row r="18228" spans="45:45">
      <c r="AS18228" s="47"/>
    </row>
    <row r="18229" spans="45:45">
      <c r="AS18229" s="47"/>
    </row>
    <row r="18230" spans="45:45">
      <c r="AS18230" s="47"/>
    </row>
    <row r="18231" spans="45:45">
      <c r="AS18231" s="47"/>
    </row>
    <row r="18232" spans="45:45">
      <c r="AS18232" s="47"/>
    </row>
    <row r="18233" spans="45:45">
      <c r="AS18233" s="47"/>
    </row>
    <row r="18234" spans="45:45">
      <c r="AS18234" s="47"/>
    </row>
    <row r="18235" spans="45:45">
      <c r="AS18235" s="47"/>
    </row>
    <row r="18236" spans="45:45">
      <c r="AS18236" s="47"/>
    </row>
    <row r="18237" spans="45:45">
      <c r="AS18237" s="47"/>
    </row>
    <row r="18238" spans="45:45">
      <c r="AS18238" s="47"/>
    </row>
    <row r="18239" spans="45:45">
      <c r="AS18239" s="47"/>
    </row>
    <row r="18240" spans="45:45">
      <c r="AS18240" s="47"/>
    </row>
    <row r="18241" spans="45:45">
      <c r="AS18241" s="47"/>
    </row>
    <row r="18242" spans="45:45">
      <c r="AS18242" s="47"/>
    </row>
    <row r="18243" spans="45:45">
      <c r="AS18243" s="47"/>
    </row>
    <row r="18244" spans="45:45">
      <c r="AS18244" s="47"/>
    </row>
    <row r="18245" spans="45:45">
      <c r="AS18245" s="47"/>
    </row>
    <row r="18246" spans="45:45">
      <c r="AS18246" s="47"/>
    </row>
    <row r="18247" spans="45:45">
      <c r="AS18247" s="47"/>
    </row>
    <row r="18248" spans="45:45">
      <c r="AS18248" s="47"/>
    </row>
    <row r="18249" spans="45:45">
      <c r="AS18249" s="47"/>
    </row>
    <row r="18250" spans="45:45">
      <c r="AS18250" s="47"/>
    </row>
    <row r="18251" spans="45:45">
      <c r="AS18251" s="47"/>
    </row>
    <row r="18252" spans="45:45">
      <c r="AS18252" s="47"/>
    </row>
    <row r="18253" spans="45:45">
      <c r="AS18253" s="47"/>
    </row>
    <row r="18254" spans="45:45">
      <c r="AS18254" s="47"/>
    </row>
    <row r="18255" spans="45:45">
      <c r="AS18255" s="47"/>
    </row>
    <row r="18256" spans="45:45">
      <c r="AS18256" s="47"/>
    </row>
    <row r="18257" spans="45:45">
      <c r="AS18257" s="47"/>
    </row>
    <row r="18258" spans="45:45">
      <c r="AS18258" s="47"/>
    </row>
    <row r="18259" spans="45:45">
      <c r="AS18259" s="47"/>
    </row>
    <row r="18260" spans="45:45">
      <c r="AS18260" s="47"/>
    </row>
    <row r="18261" spans="45:45">
      <c r="AS18261" s="47"/>
    </row>
    <row r="18262" spans="45:45">
      <c r="AS18262" s="47"/>
    </row>
    <row r="18263" spans="45:45">
      <c r="AS18263" s="47"/>
    </row>
    <row r="18264" spans="45:45">
      <c r="AS18264" s="47"/>
    </row>
    <row r="18265" spans="45:45">
      <c r="AS18265" s="47"/>
    </row>
    <row r="18266" spans="45:45">
      <c r="AS18266" s="47"/>
    </row>
    <row r="18267" spans="45:45">
      <c r="AS18267" s="47"/>
    </row>
    <row r="18268" spans="45:45">
      <c r="AS18268" s="47"/>
    </row>
    <row r="18269" spans="45:45">
      <c r="AS18269" s="47"/>
    </row>
    <row r="18270" spans="45:45">
      <c r="AS18270" s="47"/>
    </row>
    <row r="18271" spans="45:45">
      <c r="AS18271" s="47"/>
    </row>
    <row r="18272" spans="45:45">
      <c r="AS18272" s="47"/>
    </row>
    <row r="18273" spans="45:45">
      <c r="AS18273" s="47"/>
    </row>
    <row r="18274" spans="45:45">
      <c r="AS18274" s="47"/>
    </row>
    <row r="18275" spans="45:45">
      <c r="AS18275" s="47"/>
    </row>
    <row r="18276" spans="45:45">
      <c r="AS18276" s="47"/>
    </row>
    <row r="18277" spans="45:45">
      <c r="AS18277" s="47"/>
    </row>
    <row r="18278" spans="45:45">
      <c r="AS18278" s="47"/>
    </row>
    <row r="18279" spans="45:45">
      <c r="AS18279" s="47"/>
    </row>
    <row r="18280" spans="45:45">
      <c r="AS18280" s="47"/>
    </row>
    <row r="18281" spans="45:45">
      <c r="AS18281" s="47"/>
    </row>
    <row r="18282" spans="45:45">
      <c r="AS18282" s="47"/>
    </row>
    <row r="18283" spans="45:45">
      <c r="AS18283" s="47"/>
    </row>
    <row r="18284" spans="45:45">
      <c r="AS18284" s="47"/>
    </row>
    <row r="18285" spans="45:45">
      <c r="AS18285" s="47"/>
    </row>
    <row r="18286" spans="45:45">
      <c r="AS18286" s="47"/>
    </row>
    <row r="18287" spans="45:45">
      <c r="AS18287" s="47"/>
    </row>
    <row r="18288" spans="45:45">
      <c r="AS18288" s="47"/>
    </row>
    <row r="18289" spans="45:45">
      <c r="AS18289" s="47"/>
    </row>
    <row r="18290" spans="45:45">
      <c r="AS18290" s="47"/>
    </row>
    <row r="18291" spans="45:45">
      <c r="AS18291" s="47"/>
    </row>
    <row r="18292" spans="45:45">
      <c r="AS18292" s="47"/>
    </row>
    <row r="18293" spans="45:45">
      <c r="AS18293" s="47"/>
    </row>
    <row r="18294" spans="45:45">
      <c r="AS18294" s="47"/>
    </row>
    <row r="18295" spans="45:45">
      <c r="AS18295" s="47"/>
    </row>
    <row r="18296" spans="45:45">
      <c r="AS18296" s="47"/>
    </row>
    <row r="18297" spans="45:45">
      <c r="AS18297" s="47"/>
    </row>
    <row r="18298" spans="45:45">
      <c r="AS18298" s="47"/>
    </row>
    <row r="18299" spans="45:45">
      <c r="AS18299" s="47"/>
    </row>
    <row r="18300" spans="45:45">
      <c r="AS18300" s="47"/>
    </row>
    <row r="18301" spans="45:45">
      <c r="AS18301" s="47"/>
    </row>
    <row r="18302" spans="45:45">
      <c r="AS18302" s="47"/>
    </row>
    <row r="18303" spans="45:45">
      <c r="AS18303" s="47"/>
    </row>
    <row r="18304" spans="45:45">
      <c r="AS18304" s="47"/>
    </row>
    <row r="18305" spans="45:45">
      <c r="AS18305" s="47"/>
    </row>
    <row r="18306" spans="45:45">
      <c r="AS18306" s="47"/>
    </row>
    <row r="18307" spans="45:45">
      <c r="AS18307" s="47"/>
    </row>
    <row r="18308" spans="45:45">
      <c r="AS18308" s="47"/>
    </row>
    <row r="18309" spans="45:45">
      <c r="AS18309" s="47"/>
    </row>
    <row r="18310" spans="45:45">
      <c r="AS18310" s="47"/>
    </row>
    <row r="18311" spans="45:45">
      <c r="AS18311" s="47"/>
    </row>
    <row r="18312" spans="45:45">
      <c r="AS18312" s="47"/>
    </row>
    <row r="18313" spans="45:45">
      <c r="AS18313" s="47"/>
    </row>
    <row r="18314" spans="45:45">
      <c r="AS18314" s="47"/>
    </row>
    <row r="18315" spans="45:45">
      <c r="AS18315" s="47"/>
    </row>
    <row r="18316" spans="45:45">
      <c r="AS18316" s="47"/>
    </row>
    <row r="18317" spans="45:45">
      <c r="AS18317" s="47"/>
    </row>
    <row r="18318" spans="45:45">
      <c r="AS18318" s="47"/>
    </row>
    <row r="18319" spans="45:45">
      <c r="AS18319" s="47"/>
    </row>
    <row r="18320" spans="45:45">
      <c r="AS18320" s="47"/>
    </row>
    <row r="18321" spans="45:45">
      <c r="AS18321" s="47"/>
    </row>
    <row r="18322" spans="45:45">
      <c r="AS18322" s="47"/>
    </row>
    <row r="18323" spans="45:45">
      <c r="AS18323" s="47"/>
    </row>
    <row r="18324" spans="45:45">
      <c r="AS18324" s="47"/>
    </row>
    <row r="18325" spans="45:45">
      <c r="AS18325" s="47"/>
    </row>
    <row r="18326" spans="45:45">
      <c r="AS18326" s="47"/>
    </row>
    <row r="18327" spans="45:45">
      <c r="AS18327" s="47"/>
    </row>
    <row r="18328" spans="45:45">
      <c r="AS18328" s="47"/>
    </row>
    <row r="18329" spans="45:45">
      <c r="AS18329" s="47"/>
    </row>
    <row r="18330" spans="45:45">
      <c r="AS18330" s="47"/>
    </row>
    <row r="18331" spans="45:45">
      <c r="AS18331" s="47"/>
    </row>
    <row r="18332" spans="45:45">
      <c r="AS18332" s="47"/>
    </row>
    <row r="18333" spans="45:45">
      <c r="AS18333" s="47"/>
    </row>
    <row r="18334" spans="45:45">
      <c r="AS18334" s="47"/>
    </row>
    <row r="18335" spans="45:45">
      <c r="AS18335" s="47"/>
    </row>
    <row r="18336" spans="45:45">
      <c r="AS18336" s="47"/>
    </row>
    <row r="18337" spans="45:45">
      <c r="AS18337" s="47"/>
    </row>
    <row r="18338" spans="45:45">
      <c r="AS18338" s="47"/>
    </row>
    <row r="18339" spans="45:45">
      <c r="AS18339" s="47"/>
    </row>
    <row r="18340" spans="45:45">
      <c r="AS18340" s="47"/>
    </row>
    <row r="18341" spans="45:45">
      <c r="AS18341" s="47"/>
    </row>
    <row r="18342" spans="45:45">
      <c r="AS18342" s="47"/>
    </row>
    <row r="18343" spans="45:45">
      <c r="AS18343" s="47"/>
    </row>
    <row r="18344" spans="45:45">
      <c r="AS18344" s="47"/>
    </row>
    <row r="18345" spans="45:45">
      <c r="AS18345" s="47"/>
    </row>
    <row r="18346" spans="45:45">
      <c r="AS18346" s="47"/>
    </row>
    <row r="18347" spans="45:45">
      <c r="AS18347" s="47"/>
    </row>
    <row r="18348" spans="45:45">
      <c r="AS18348" s="47"/>
    </row>
    <row r="18349" spans="45:45">
      <c r="AS18349" s="47"/>
    </row>
    <row r="18350" spans="45:45">
      <c r="AS18350" s="47"/>
    </row>
    <row r="18351" spans="45:45">
      <c r="AS18351" s="47"/>
    </row>
    <row r="18352" spans="45:45">
      <c r="AS18352" s="47"/>
    </row>
    <row r="18353" spans="45:45">
      <c r="AS18353" s="47"/>
    </row>
    <row r="18354" spans="45:45">
      <c r="AS18354" s="47"/>
    </row>
    <row r="18355" spans="45:45">
      <c r="AS18355" s="47"/>
    </row>
    <row r="18356" spans="45:45">
      <c r="AS18356" s="47"/>
    </row>
    <row r="18357" spans="45:45">
      <c r="AS18357" s="47"/>
    </row>
    <row r="18358" spans="45:45">
      <c r="AS18358" s="47"/>
    </row>
    <row r="18359" spans="45:45">
      <c r="AS18359" s="47"/>
    </row>
    <row r="18360" spans="45:45">
      <c r="AS18360" s="47"/>
    </row>
    <row r="18361" spans="45:45">
      <c r="AS18361" s="47"/>
    </row>
    <row r="18362" spans="45:45">
      <c r="AS18362" s="47"/>
    </row>
    <row r="18363" spans="45:45">
      <c r="AS18363" s="47"/>
    </row>
    <row r="18364" spans="45:45">
      <c r="AS18364" s="47"/>
    </row>
    <row r="18365" spans="45:45">
      <c r="AS18365" s="47"/>
    </row>
    <row r="18366" spans="45:45">
      <c r="AS18366" s="47"/>
    </row>
    <row r="18367" spans="45:45">
      <c r="AS18367" s="47"/>
    </row>
    <row r="18368" spans="45:45">
      <c r="AS18368" s="47"/>
    </row>
    <row r="18369" spans="45:45">
      <c r="AS18369" s="47"/>
    </row>
    <row r="18370" spans="45:45">
      <c r="AS18370" s="47"/>
    </row>
    <row r="18371" spans="45:45">
      <c r="AS18371" s="47"/>
    </row>
    <row r="18372" spans="45:45">
      <c r="AS18372" s="47"/>
    </row>
    <row r="18373" spans="45:45">
      <c r="AS18373" s="47"/>
    </row>
    <row r="18374" spans="45:45">
      <c r="AS18374" s="47"/>
    </row>
    <row r="18375" spans="45:45">
      <c r="AS18375" s="47"/>
    </row>
    <row r="18376" spans="45:45">
      <c r="AS18376" s="47"/>
    </row>
    <row r="18377" spans="45:45">
      <c r="AS18377" s="47"/>
    </row>
    <row r="18378" spans="45:45">
      <c r="AS18378" s="47"/>
    </row>
    <row r="18379" spans="45:45">
      <c r="AS18379" s="47"/>
    </row>
    <row r="18380" spans="45:45">
      <c r="AS18380" s="47"/>
    </row>
    <row r="18381" spans="45:45">
      <c r="AS18381" s="47"/>
    </row>
    <row r="18382" spans="45:45">
      <c r="AS18382" s="47"/>
    </row>
    <row r="18383" spans="45:45">
      <c r="AS18383" s="47"/>
    </row>
    <row r="18384" spans="45:45">
      <c r="AS18384" s="47"/>
    </row>
    <row r="18385" spans="45:45">
      <c r="AS18385" s="47"/>
    </row>
    <row r="18386" spans="45:45">
      <c r="AS18386" s="47"/>
    </row>
    <row r="18387" spans="45:45">
      <c r="AS18387" s="47"/>
    </row>
    <row r="18388" spans="45:45">
      <c r="AS18388" s="47"/>
    </row>
    <row r="18389" spans="45:45">
      <c r="AS18389" s="47"/>
    </row>
    <row r="18390" spans="45:45">
      <c r="AS18390" s="47"/>
    </row>
    <row r="18391" spans="45:45">
      <c r="AS18391" s="47"/>
    </row>
    <row r="18392" spans="45:45">
      <c r="AS18392" s="47"/>
    </row>
    <row r="18393" spans="45:45">
      <c r="AS18393" s="47"/>
    </row>
    <row r="18394" spans="45:45">
      <c r="AS18394" s="47"/>
    </row>
    <row r="18395" spans="45:45">
      <c r="AS18395" s="47"/>
    </row>
    <row r="18396" spans="45:45">
      <c r="AS18396" s="47"/>
    </row>
    <row r="18397" spans="45:45">
      <c r="AS18397" s="47"/>
    </row>
    <row r="18398" spans="45:45">
      <c r="AS18398" s="47"/>
    </row>
    <row r="18399" spans="45:45">
      <c r="AS18399" s="47"/>
    </row>
    <row r="18400" spans="45:45">
      <c r="AS18400" s="47"/>
    </row>
    <row r="18401" spans="45:45">
      <c r="AS18401" s="47"/>
    </row>
    <row r="18402" spans="45:45">
      <c r="AS18402" s="47"/>
    </row>
    <row r="18403" spans="45:45">
      <c r="AS18403" s="47"/>
    </row>
    <row r="18404" spans="45:45">
      <c r="AS18404" s="47"/>
    </row>
    <row r="18405" spans="45:45">
      <c r="AS18405" s="47"/>
    </row>
    <row r="18406" spans="45:45">
      <c r="AS18406" s="47"/>
    </row>
    <row r="18407" spans="45:45">
      <c r="AS18407" s="47"/>
    </row>
    <row r="18408" spans="45:45">
      <c r="AS18408" s="47"/>
    </row>
    <row r="18409" spans="45:45">
      <c r="AS18409" s="47"/>
    </row>
    <row r="18410" spans="45:45">
      <c r="AS18410" s="47"/>
    </row>
    <row r="18411" spans="45:45">
      <c r="AS18411" s="47"/>
    </row>
    <row r="18412" spans="45:45">
      <c r="AS18412" s="47"/>
    </row>
    <row r="18413" spans="45:45">
      <c r="AS18413" s="47"/>
    </row>
    <row r="18414" spans="45:45">
      <c r="AS18414" s="47"/>
    </row>
    <row r="18415" spans="45:45">
      <c r="AS18415" s="47"/>
    </row>
    <row r="18416" spans="45:45">
      <c r="AS18416" s="47"/>
    </row>
    <row r="18417" spans="45:45">
      <c r="AS18417" s="47"/>
    </row>
    <row r="18418" spans="45:45">
      <c r="AS18418" s="47"/>
    </row>
    <row r="18419" spans="45:45">
      <c r="AS18419" s="47"/>
    </row>
    <row r="18420" spans="45:45">
      <c r="AS18420" s="47"/>
    </row>
    <row r="18421" spans="45:45">
      <c r="AS18421" s="47"/>
    </row>
    <row r="18422" spans="45:45">
      <c r="AS18422" s="47"/>
    </row>
    <row r="18423" spans="45:45">
      <c r="AS18423" s="47"/>
    </row>
    <row r="18424" spans="45:45">
      <c r="AS18424" s="47"/>
    </row>
    <row r="18425" spans="45:45">
      <c r="AS18425" s="47"/>
    </row>
    <row r="18426" spans="45:45">
      <c r="AS18426" s="47"/>
    </row>
    <row r="18427" spans="45:45">
      <c r="AS18427" s="47"/>
    </row>
    <row r="18428" spans="45:45">
      <c r="AS18428" s="47"/>
    </row>
    <row r="18429" spans="45:45">
      <c r="AS18429" s="47"/>
    </row>
    <row r="18430" spans="45:45">
      <c r="AS18430" s="47"/>
    </row>
    <row r="18431" spans="45:45">
      <c r="AS18431" s="47"/>
    </row>
    <row r="18432" spans="45:45">
      <c r="AS18432" s="47"/>
    </row>
    <row r="18433" spans="45:45">
      <c r="AS18433" s="47"/>
    </row>
    <row r="18434" spans="45:45">
      <c r="AS18434" s="47"/>
    </row>
    <row r="18435" spans="45:45">
      <c r="AS18435" s="47"/>
    </row>
    <row r="18436" spans="45:45">
      <c r="AS18436" s="47"/>
    </row>
    <row r="18437" spans="45:45">
      <c r="AS18437" s="47"/>
    </row>
    <row r="18438" spans="45:45">
      <c r="AS18438" s="47"/>
    </row>
    <row r="18439" spans="45:45">
      <c r="AS18439" s="47"/>
    </row>
    <row r="18440" spans="45:45">
      <c r="AS18440" s="47"/>
    </row>
    <row r="18441" spans="45:45">
      <c r="AS18441" s="47"/>
    </row>
    <row r="18442" spans="45:45">
      <c r="AS18442" s="47"/>
    </row>
    <row r="18443" spans="45:45">
      <c r="AS18443" s="47"/>
    </row>
    <row r="18444" spans="45:45">
      <c r="AS18444" s="47"/>
    </row>
    <row r="18445" spans="45:45">
      <c r="AS18445" s="47"/>
    </row>
    <row r="18446" spans="45:45">
      <c r="AS18446" s="47"/>
    </row>
    <row r="18447" spans="45:45">
      <c r="AS18447" s="47"/>
    </row>
    <row r="18448" spans="45:45">
      <c r="AS18448" s="47"/>
    </row>
    <row r="18449" spans="45:45">
      <c r="AS18449" s="47"/>
    </row>
    <row r="18450" spans="45:45">
      <c r="AS18450" s="47"/>
    </row>
    <row r="18451" spans="45:45">
      <c r="AS18451" s="47"/>
    </row>
    <row r="18452" spans="45:45">
      <c r="AS18452" s="47"/>
    </row>
    <row r="18453" spans="45:45">
      <c r="AS18453" s="47"/>
    </row>
    <row r="18454" spans="45:45">
      <c r="AS18454" s="47"/>
    </row>
    <row r="18455" spans="45:45">
      <c r="AS18455" s="47"/>
    </row>
    <row r="18456" spans="45:45">
      <c r="AS18456" s="47"/>
    </row>
    <row r="18457" spans="45:45">
      <c r="AS18457" s="47"/>
    </row>
    <row r="18458" spans="45:45">
      <c r="AS18458" s="47"/>
    </row>
    <row r="18459" spans="45:45">
      <c r="AS18459" s="47"/>
    </row>
    <row r="18460" spans="45:45">
      <c r="AS18460" s="47"/>
    </row>
    <row r="18461" spans="45:45">
      <c r="AS18461" s="47"/>
    </row>
    <row r="18462" spans="45:45">
      <c r="AS18462" s="47"/>
    </row>
    <row r="18463" spans="45:45">
      <c r="AS18463" s="47"/>
    </row>
    <row r="18464" spans="45:45">
      <c r="AS18464" s="47"/>
    </row>
    <row r="18465" spans="45:45">
      <c r="AS18465" s="47"/>
    </row>
    <row r="18466" spans="45:45">
      <c r="AS18466" s="47"/>
    </row>
    <row r="18467" spans="45:45">
      <c r="AS18467" s="47"/>
    </row>
    <row r="18468" spans="45:45">
      <c r="AS18468" s="47"/>
    </row>
    <row r="18469" spans="45:45">
      <c r="AS18469" s="47"/>
    </row>
    <row r="18470" spans="45:45">
      <c r="AS18470" s="47"/>
    </row>
    <row r="18471" spans="45:45">
      <c r="AS18471" s="47"/>
    </row>
    <row r="18472" spans="45:45">
      <c r="AS18472" s="47"/>
    </row>
    <row r="18473" spans="45:45">
      <c r="AS18473" s="47"/>
    </row>
    <row r="18474" spans="45:45">
      <c r="AS18474" s="47"/>
    </row>
    <row r="18475" spans="45:45">
      <c r="AS18475" s="47"/>
    </row>
    <row r="18476" spans="45:45">
      <c r="AS18476" s="47"/>
    </row>
    <row r="18477" spans="45:45">
      <c r="AS18477" s="47"/>
    </row>
    <row r="18478" spans="45:45">
      <c r="AS18478" s="47"/>
    </row>
    <row r="18479" spans="45:45">
      <c r="AS18479" s="47"/>
    </row>
    <row r="18480" spans="45:45">
      <c r="AS18480" s="47"/>
    </row>
    <row r="18481" spans="45:45">
      <c r="AS18481" s="47"/>
    </row>
    <row r="18482" spans="45:45">
      <c r="AS18482" s="47"/>
    </row>
    <row r="18483" spans="45:45">
      <c r="AS18483" s="47"/>
    </row>
    <row r="18484" spans="45:45">
      <c r="AS18484" s="47"/>
    </row>
    <row r="18485" spans="45:45">
      <c r="AS18485" s="47"/>
    </row>
    <row r="18486" spans="45:45">
      <c r="AS18486" s="47"/>
    </row>
    <row r="18487" spans="45:45">
      <c r="AS18487" s="47"/>
    </row>
    <row r="18488" spans="45:45">
      <c r="AS18488" s="47"/>
    </row>
    <row r="18489" spans="45:45">
      <c r="AS18489" s="47"/>
    </row>
    <row r="18490" spans="45:45">
      <c r="AS18490" s="47"/>
    </row>
    <row r="18491" spans="45:45">
      <c r="AS18491" s="47"/>
    </row>
    <row r="18492" spans="45:45">
      <c r="AS18492" s="47"/>
    </row>
    <row r="18493" spans="45:45">
      <c r="AS18493" s="47"/>
    </row>
    <row r="18494" spans="45:45">
      <c r="AS18494" s="47"/>
    </row>
    <row r="18495" spans="45:45">
      <c r="AS18495" s="47"/>
    </row>
    <row r="18496" spans="45:45">
      <c r="AS18496" s="47"/>
    </row>
    <row r="18497" spans="45:45">
      <c r="AS18497" s="47"/>
    </row>
    <row r="18498" spans="45:45">
      <c r="AS18498" s="47"/>
    </row>
    <row r="18499" spans="45:45">
      <c r="AS18499" s="47"/>
    </row>
    <row r="18500" spans="45:45">
      <c r="AS18500" s="47"/>
    </row>
    <row r="18501" spans="45:45">
      <c r="AS18501" s="47"/>
    </row>
    <row r="18502" spans="45:45">
      <c r="AS18502" s="47"/>
    </row>
    <row r="18503" spans="45:45">
      <c r="AS18503" s="47"/>
    </row>
    <row r="18504" spans="45:45">
      <c r="AS18504" s="47"/>
    </row>
    <row r="18505" spans="45:45">
      <c r="AS18505" s="47"/>
    </row>
    <row r="18506" spans="45:45">
      <c r="AS18506" s="47"/>
    </row>
    <row r="18507" spans="45:45">
      <c r="AS18507" s="47"/>
    </row>
    <row r="18508" spans="45:45">
      <c r="AS18508" s="47"/>
    </row>
    <row r="18509" spans="45:45">
      <c r="AS18509" s="47"/>
    </row>
    <row r="18510" spans="45:45">
      <c r="AS18510" s="47"/>
    </row>
    <row r="18511" spans="45:45">
      <c r="AS18511" s="47"/>
    </row>
    <row r="18512" spans="45:45">
      <c r="AS18512" s="47"/>
    </row>
    <row r="18513" spans="45:45">
      <c r="AS18513" s="47"/>
    </row>
    <row r="18514" spans="45:45">
      <c r="AS18514" s="47"/>
    </row>
    <row r="18515" spans="45:45">
      <c r="AS18515" s="47"/>
    </row>
    <row r="18516" spans="45:45">
      <c r="AS18516" s="47"/>
    </row>
    <row r="18517" spans="45:45">
      <c r="AS18517" s="47"/>
    </row>
    <row r="18518" spans="45:45">
      <c r="AS18518" s="47"/>
    </row>
    <row r="18519" spans="45:45">
      <c r="AS18519" s="47"/>
    </row>
    <row r="18520" spans="45:45">
      <c r="AS18520" s="47"/>
    </row>
    <row r="18521" spans="45:45">
      <c r="AS18521" s="47"/>
    </row>
    <row r="18522" spans="45:45">
      <c r="AS18522" s="47"/>
    </row>
    <row r="18523" spans="45:45">
      <c r="AS18523" s="47"/>
    </row>
    <row r="18524" spans="45:45">
      <c r="AS18524" s="47"/>
    </row>
    <row r="18525" spans="45:45">
      <c r="AS18525" s="47"/>
    </row>
    <row r="18526" spans="45:45">
      <c r="AS18526" s="47"/>
    </row>
    <row r="18527" spans="45:45">
      <c r="AS18527" s="47"/>
    </row>
    <row r="18528" spans="45:45">
      <c r="AS18528" s="47"/>
    </row>
    <row r="18529" spans="45:45">
      <c r="AS18529" s="47"/>
    </row>
    <row r="18530" spans="45:45">
      <c r="AS18530" s="47"/>
    </row>
    <row r="18531" spans="45:45">
      <c r="AS18531" s="47"/>
    </row>
    <row r="18532" spans="45:45">
      <c r="AS18532" s="47"/>
    </row>
    <row r="18533" spans="45:45">
      <c r="AS18533" s="47"/>
    </row>
    <row r="18534" spans="45:45">
      <c r="AS18534" s="47"/>
    </row>
    <row r="18535" spans="45:45">
      <c r="AS18535" s="47"/>
    </row>
    <row r="18536" spans="45:45">
      <c r="AS18536" s="47"/>
    </row>
    <row r="18537" spans="45:45">
      <c r="AS18537" s="47"/>
    </row>
    <row r="18538" spans="45:45">
      <c r="AS18538" s="47"/>
    </row>
    <row r="18539" spans="45:45">
      <c r="AS18539" s="47"/>
    </row>
    <row r="18540" spans="45:45">
      <c r="AS18540" s="47"/>
    </row>
    <row r="18541" spans="45:45">
      <c r="AS18541" s="47"/>
    </row>
    <row r="18542" spans="45:45">
      <c r="AS18542" s="47"/>
    </row>
    <row r="18543" spans="45:45">
      <c r="AS18543" s="47"/>
    </row>
    <row r="18544" spans="45:45">
      <c r="AS18544" s="47"/>
    </row>
    <row r="18545" spans="45:45">
      <c r="AS18545" s="47"/>
    </row>
    <row r="18546" spans="45:45">
      <c r="AS18546" s="47"/>
    </row>
    <row r="18547" spans="45:45">
      <c r="AS18547" s="47"/>
    </row>
    <row r="18548" spans="45:45">
      <c r="AS18548" s="47"/>
    </row>
    <row r="18549" spans="45:45">
      <c r="AS18549" s="47"/>
    </row>
    <row r="18550" spans="45:45">
      <c r="AS18550" s="47"/>
    </row>
    <row r="18551" spans="45:45">
      <c r="AS18551" s="47"/>
    </row>
    <row r="18552" spans="45:45">
      <c r="AS18552" s="47"/>
    </row>
    <row r="18553" spans="45:45">
      <c r="AS18553" s="47"/>
    </row>
    <row r="18554" spans="45:45">
      <c r="AS18554" s="47"/>
    </row>
    <row r="18555" spans="45:45">
      <c r="AS18555" s="47"/>
    </row>
    <row r="18556" spans="45:45">
      <c r="AS18556" s="47"/>
    </row>
    <row r="18557" spans="45:45">
      <c r="AS18557" s="47"/>
    </row>
    <row r="18558" spans="45:45">
      <c r="AS18558" s="47"/>
    </row>
    <row r="18559" spans="45:45">
      <c r="AS18559" s="47"/>
    </row>
    <row r="18560" spans="45:45">
      <c r="AS18560" s="47"/>
    </row>
    <row r="18561" spans="45:45">
      <c r="AS18561" s="47"/>
    </row>
    <row r="18562" spans="45:45">
      <c r="AS18562" s="47"/>
    </row>
    <row r="18563" spans="45:45">
      <c r="AS18563" s="47"/>
    </row>
    <row r="18564" spans="45:45">
      <c r="AS18564" s="47"/>
    </row>
    <row r="18565" spans="45:45">
      <c r="AS18565" s="47"/>
    </row>
    <row r="18566" spans="45:45">
      <c r="AS18566" s="47"/>
    </row>
    <row r="18567" spans="45:45">
      <c r="AS18567" s="47"/>
    </row>
    <row r="18568" spans="45:45">
      <c r="AS18568" s="47"/>
    </row>
    <row r="18569" spans="45:45">
      <c r="AS18569" s="47"/>
    </row>
    <row r="18570" spans="45:45">
      <c r="AS18570" s="47"/>
    </row>
    <row r="18571" spans="45:45">
      <c r="AS18571" s="47"/>
    </row>
    <row r="18572" spans="45:45">
      <c r="AS18572" s="47"/>
    </row>
    <row r="18573" spans="45:45">
      <c r="AS18573" s="47"/>
    </row>
    <row r="18574" spans="45:45">
      <c r="AS18574" s="47"/>
    </row>
    <row r="18575" spans="45:45">
      <c r="AS18575" s="47"/>
    </row>
    <row r="18576" spans="45:45">
      <c r="AS18576" s="47"/>
    </row>
    <row r="18577" spans="45:45">
      <c r="AS18577" s="47"/>
    </row>
    <row r="18578" spans="45:45">
      <c r="AS18578" s="47"/>
    </row>
    <row r="18579" spans="45:45">
      <c r="AS18579" s="47"/>
    </row>
    <row r="18580" spans="45:45">
      <c r="AS18580" s="47"/>
    </row>
    <row r="18581" spans="45:45">
      <c r="AS18581" s="47"/>
    </row>
    <row r="18582" spans="45:45">
      <c r="AS18582" s="47"/>
    </row>
    <row r="18583" spans="45:45">
      <c r="AS18583" s="47"/>
    </row>
    <row r="18584" spans="45:45">
      <c r="AS18584" s="47"/>
    </row>
    <row r="18585" spans="45:45">
      <c r="AS18585" s="47"/>
    </row>
    <row r="18586" spans="45:45">
      <c r="AS18586" s="47"/>
    </row>
    <row r="18587" spans="45:45">
      <c r="AS18587" s="47"/>
    </row>
    <row r="18588" spans="45:45">
      <c r="AS18588" s="47"/>
    </row>
    <row r="18589" spans="45:45">
      <c r="AS18589" s="47"/>
    </row>
    <row r="18590" spans="45:45">
      <c r="AS18590" s="47"/>
    </row>
    <row r="18591" spans="45:45">
      <c r="AS18591" s="47"/>
    </row>
    <row r="18592" spans="45:45">
      <c r="AS18592" s="47"/>
    </row>
    <row r="18593" spans="45:45">
      <c r="AS18593" s="47"/>
    </row>
    <row r="18594" spans="45:45">
      <c r="AS18594" s="47"/>
    </row>
    <row r="18595" spans="45:45">
      <c r="AS18595" s="47"/>
    </row>
    <row r="18596" spans="45:45">
      <c r="AS18596" s="47"/>
    </row>
    <row r="18597" spans="45:45">
      <c r="AS18597" s="47"/>
    </row>
    <row r="18598" spans="45:45">
      <c r="AS18598" s="47"/>
    </row>
    <row r="18599" spans="45:45">
      <c r="AS18599" s="47"/>
    </row>
    <row r="18600" spans="45:45">
      <c r="AS18600" s="47"/>
    </row>
    <row r="18601" spans="45:45">
      <c r="AS18601" s="47"/>
    </row>
    <row r="18602" spans="45:45">
      <c r="AS18602" s="47"/>
    </row>
    <row r="18603" spans="45:45">
      <c r="AS18603" s="47"/>
    </row>
    <row r="18604" spans="45:45">
      <c r="AS18604" s="47"/>
    </row>
    <row r="18605" spans="45:45">
      <c r="AS18605" s="47"/>
    </row>
    <row r="18606" spans="45:45">
      <c r="AS18606" s="47"/>
    </row>
    <row r="18607" spans="45:45">
      <c r="AS18607" s="47"/>
    </row>
    <row r="18608" spans="45:45">
      <c r="AS18608" s="47"/>
    </row>
    <row r="18609" spans="45:45">
      <c r="AS18609" s="47"/>
    </row>
    <row r="18610" spans="45:45">
      <c r="AS18610" s="47"/>
    </row>
    <row r="18611" spans="45:45">
      <c r="AS18611" s="47"/>
    </row>
    <row r="18612" spans="45:45">
      <c r="AS18612" s="47"/>
    </row>
    <row r="18613" spans="45:45">
      <c r="AS18613" s="47"/>
    </row>
    <row r="18614" spans="45:45">
      <c r="AS18614" s="47"/>
    </row>
    <row r="18615" spans="45:45">
      <c r="AS18615" s="47"/>
    </row>
    <row r="18616" spans="45:45">
      <c r="AS18616" s="47"/>
    </row>
    <row r="18617" spans="45:45">
      <c r="AS18617" s="47"/>
    </row>
    <row r="18618" spans="45:45">
      <c r="AS18618" s="47"/>
    </row>
    <row r="18619" spans="45:45">
      <c r="AS18619" s="47"/>
    </row>
    <row r="18620" spans="45:45">
      <c r="AS18620" s="47"/>
    </row>
    <row r="18621" spans="45:45">
      <c r="AS18621" s="47"/>
    </row>
    <row r="18622" spans="45:45">
      <c r="AS18622" s="47"/>
    </row>
    <row r="18623" spans="45:45">
      <c r="AS18623" s="47"/>
    </row>
    <row r="18624" spans="45:45">
      <c r="AS18624" s="47"/>
    </row>
    <row r="18625" spans="45:45">
      <c r="AS18625" s="47"/>
    </row>
    <row r="18626" spans="45:45">
      <c r="AS18626" s="47"/>
    </row>
    <row r="18627" spans="45:45">
      <c r="AS18627" s="47"/>
    </row>
    <row r="18628" spans="45:45">
      <c r="AS18628" s="47"/>
    </row>
    <row r="18629" spans="45:45">
      <c r="AS18629" s="47"/>
    </row>
    <row r="18630" spans="45:45">
      <c r="AS18630" s="47"/>
    </row>
    <row r="18631" spans="45:45">
      <c r="AS18631" s="47"/>
    </row>
    <row r="18632" spans="45:45">
      <c r="AS18632" s="47"/>
    </row>
    <row r="18633" spans="45:45">
      <c r="AS18633" s="47"/>
    </row>
    <row r="18634" spans="45:45">
      <c r="AS18634" s="47"/>
    </row>
    <row r="18635" spans="45:45">
      <c r="AS18635" s="47"/>
    </row>
    <row r="18636" spans="45:45">
      <c r="AS18636" s="47"/>
    </row>
    <row r="18637" spans="45:45">
      <c r="AS18637" s="47"/>
    </row>
    <row r="18638" spans="45:45">
      <c r="AS18638" s="47"/>
    </row>
    <row r="18639" spans="45:45">
      <c r="AS18639" s="47"/>
    </row>
    <row r="18640" spans="45:45">
      <c r="AS18640" s="47"/>
    </row>
    <row r="18641" spans="45:45">
      <c r="AS18641" s="47"/>
    </row>
    <row r="18642" spans="45:45">
      <c r="AS18642" s="47"/>
    </row>
    <row r="18643" spans="45:45">
      <c r="AS18643" s="47"/>
    </row>
    <row r="18644" spans="45:45">
      <c r="AS18644" s="47"/>
    </row>
    <row r="18645" spans="45:45">
      <c r="AS18645" s="47"/>
    </row>
    <row r="18646" spans="45:45">
      <c r="AS18646" s="47"/>
    </row>
    <row r="18647" spans="45:45">
      <c r="AS18647" s="47"/>
    </row>
    <row r="18648" spans="45:45">
      <c r="AS18648" s="47"/>
    </row>
    <row r="18649" spans="45:45">
      <c r="AS18649" s="47"/>
    </row>
    <row r="18650" spans="45:45">
      <c r="AS18650" s="47"/>
    </row>
    <row r="18651" spans="45:45">
      <c r="AS18651" s="47"/>
    </row>
    <row r="18652" spans="45:45">
      <c r="AS18652" s="47"/>
    </row>
    <row r="18653" spans="45:45">
      <c r="AS18653" s="47"/>
    </row>
    <row r="18654" spans="45:45">
      <c r="AS18654" s="47"/>
    </row>
    <row r="18655" spans="45:45">
      <c r="AS18655" s="47"/>
    </row>
    <row r="18656" spans="45:45">
      <c r="AS18656" s="47"/>
    </row>
    <row r="18657" spans="45:45">
      <c r="AS18657" s="47"/>
    </row>
    <row r="18658" spans="45:45">
      <c r="AS18658" s="47"/>
    </row>
    <row r="18659" spans="45:45">
      <c r="AS18659" s="47"/>
    </row>
    <row r="18660" spans="45:45">
      <c r="AS18660" s="47"/>
    </row>
    <row r="18661" spans="45:45">
      <c r="AS18661" s="47"/>
    </row>
    <row r="18662" spans="45:45">
      <c r="AS18662" s="47"/>
    </row>
    <row r="18663" spans="45:45">
      <c r="AS18663" s="47"/>
    </row>
    <row r="18664" spans="45:45">
      <c r="AS18664" s="47"/>
    </row>
    <row r="18665" spans="45:45">
      <c r="AS18665" s="47"/>
    </row>
    <row r="18666" spans="45:45">
      <c r="AS18666" s="47"/>
    </row>
    <row r="18667" spans="45:45">
      <c r="AS18667" s="47"/>
    </row>
    <row r="18668" spans="45:45">
      <c r="AS18668" s="47"/>
    </row>
    <row r="18669" spans="45:45">
      <c r="AS18669" s="47"/>
    </row>
    <row r="18670" spans="45:45">
      <c r="AS18670" s="47"/>
    </row>
    <row r="18671" spans="45:45">
      <c r="AS18671" s="47"/>
    </row>
    <row r="18672" spans="45:45">
      <c r="AS18672" s="47"/>
    </row>
    <row r="18673" spans="45:45">
      <c r="AS18673" s="47"/>
    </row>
    <row r="18674" spans="45:45">
      <c r="AS18674" s="47"/>
    </row>
    <row r="18675" spans="45:45">
      <c r="AS18675" s="47"/>
    </row>
    <row r="18676" spans="45:45">
      <c r="AS18676" s="47"/>
    </row>
    <row r="18677" spans="45:45">
      <c r="AS18677" s="47"/>
    </row>
    <row r="18678" spans="45:45">
      <c r="AS18678" s="47"/>
    </row>
    <row r="18679" spans="45:45">
      <c r="AS18679" s="47"/>
    </row>
    <row r="18680" spans="45:45">
      <c r="AS18680" s="47"/>
    </row>
    <row r="18681" spans="45:45">
      <c r="AS18681" s="47"/>
    </row>
    <row r="18682" spans="45:45">
      <c r="AS18682" s="47"/>
    </row>
    <row r="18683" spans="45:45">
      <c r="AS18683" s="47"/>
    </row>
    <row r="18684" spans="45:45">
      <c r="AS18684" s="47"/>
    </row>
    <row r="18685" spans="45:45">
      <c r="AS18685" s="47"/>
    </row>
    <row r="18686" spans="45:45">
      <c r="AS18686" s="47"/>
    </row>
    <row r="18687" spans="45:45">
      <c r="AS18687" s="47"/>
    </row>
    <row r="18688" spans="45:45">
      <c r="AS18688" s="47"/>
    </row>
    <row r="18689" spans="45:45">
      <c r="AS18689" s="47"/>
    </row>
    <row r="18690" spans="45:45">
      <c r="AS18690" s="47"/>
    </row>
    <row r="18691" spans="45:45">
      <c r="AS18691" s="47"/>
    </row>
    <row r="18692" spans="45:45">
      <c r="AS18692" s="47"/>
    </row>
    <row r="18693" spans="45:45">
      <c r="AS18693" s="47"/>
    </row>
    <row r="18694" spans="45:45">
      <c r="AS18694" s="47"/>
    </row>
    <row r="18695" spans="45:45">
      <c r="AS18695" s="47"/>
    </row>
    <row r="18696" spans="45:45">
      <c r="AS18696" s="47"/>
    </row>
    <row r="18697" spans="45:45">
      <c r="AS18697" s="47"/>
    </row>
    <row r="18698" spans="45:45">
      <c r="AS18698" s="47"/>
    </row>
    <row r="18699" spans="45:45">
      <c r="AS18699" s="47"/>
    </row>
    <row r="18700" spans="45:45">
      <c r="AS18700" s="47"/>
    </row>
    <row r="18701" spans="45:45">
      <c r="AS18701" s="47"/>
    </row>
    <row r="18702" spans="45:45">
      <c r="AS18702" s="47"/>
    </row>
    <row r="18703" spans="45:45">
      <c r="AS18703" s="47"/>
    </row>
    <row r="18704" spans="45:45">
      <c r="AS18704" s="47"/>
    </row>
    <row r="18705" spans="45:45">
      <c r="AS18705" s="47"/>
    </row>
    <row r="18706" spans="45:45">
      <c r="AS18706" s="47"/>
    </row>
    <row r="18707" spans="45:45">
      <c r="AS18707" s="47"/>
    </row>
    <row r="18708" spans="45:45">
      <c r="AS18708" s="47"/>
    </row>
    <row r="18709" spans="45:45">
      <c r="AS18709" s="47"/>
    </row>
    <row r="18710" spans="45:45">
      <c r="AS18710" s="47"/>
    </row>
    <row r="18711" spans="45:45">
      <c r="AS18711" s="47"/>
    </row>
    <row r="18712" spans="45:45">
      <c r="AS18712" s="47"/>
    </row>
    <row r="18713" spans="45:45">
      <c r="AS18713" s="47"/>
    </row>
    <row r="18714" spans="45:45">
      <c r="AS18714" s="47"/>
    </row>
    <row r="18715" spans="45:45">
      <c r="AS18715" s="47"/>
    </row>
    <row r="18716" spans="45:45">
      <c r="AS18716" s="47"/>
    </row>
    <row r="18717" spans="45:45">
      <c r="AS18717" s="47"/>
    </row>
    <row r="18718" spans="45:45">
      <c r="AS18718" s="47"/>
    </row>
    <row r="18719" spans="45:45">
      <c r="AS18719" s="47"/>
    </row>
    <row r="18720" spans="45:45">
      <c r="AS18720" s="47"/>
    </row>
    <row r="18721" spans="45:45">
      <c r="AS18721" s="47"/>
    </row>
    <row r="18722" spans="45:45">
      <c r="AS18722" s="47"/>
    </row>
    <row r="18723" spans="45:45">
      <c r="AS18723" s="47"/>
    </row>
    <row r="18724" spans="45:45">
      <c r="AS18724" s="47"/>
    </row>
    <row r="18725" spans="45:45">
      <c r="AS18725" s="47"/>
    </row>
    <row r="18726" spans="45:45">
      <c r="AS18726" s="47"/>
    </row>
    <row r="18727" spans="45:45">
      <c r="AS18727" s="47"/>
    </row>
    <row r="18728" spans="45:45">
      <c r="AS18728" s="47"/>
    </row>
    <row r="18729" spans="45:45">
      <c r="AS18729" s="47"/>
    </row>
    <row r="18730" spans="45:45">
      <c r="AS18730" s="47"/>
    </row>
    <row r="18731" spans="45:45">
      <c r="AS18731" s="47"/>
    </row>
    <row r="18732" spans="45:45">
      <c r="AS18732" s="47"/>
    </row>
    <row r="18733" spans="45:45">
      <c r="AS18733" s="47"/>
    </row>
    <row r="18734" spans="45:45">
      <c r="AS18734" s="47"/>
    </row>
    <row r="18735" spans="45:45">
      <c r="AS18735" s="47"/>
    </row>
    <row r="18736" spans="45:45">
      <c r="AS18736" s="47"/>
    </row>
    <row r="18737" spans="45:45">
      <c r="AS18737" s="47"/>
    </row>
    <row r="18738" spans="45:45">
      <c r="AS18738" s="47"/>
    </row>
    <row r="18739" spans="45:45">
      <c r="AS18739" s="47"/>
    </row>
    <row r="18740" spans="45:45">
      <c r="AS18740" s="47"/>
    </row>
    <row r="18741" spans="45:45">
      <c r="AS18741" s="47"/>
    </row>
    <row r="18742" spans="45:45">
      <c r="AS18742" s="47"/>
    </row>
    <row r="18743" spans="45:45">
      <c r="AS18743" s="47"/>
    </row>
    <row r="18744" spans="45:45">
      <c r="AS18744" s="47"/>
    </row>
    <row r="18745" spans="45:45">
      <c r="AS18745" s="47"/>
    </row>
    <row r="18746" spans="45:45">
      <c r="AS18746" s="47"/>
    </row>
    <row r="18747" spans="45:45">
      <c r="AS18747" s="47"/>
    </row>
    <row r="18748" spans="45:45">
      <c r="AS18748" s="47"/>
    </row>
    <row r="18749" spans="45:45">
      <c r="AS18749" s="47"/>
    </row>
    <row r="18750" spans="45:45">
      <c r="AS18750" s="47"/>
    </row>
    <row r="18751" spans="45:45">
      <c r="AS18751" s="47"/>
    </row>
    <row r="18752" spans="45:45">
      <c r="AS18752" s="47"/>
    </row>
    <row r="18753" spans="45:45">
      <c r="AS18753" s="47"/>
    </row>
    <row r="18754" spans="45:45">
      <c r="AS18754" s="47"/>
    </row>
    <row r="18755" spans="45:45">
      <c r="AS18755" s="47"/>
    </row>
    <row r="18756" spans="45:45">
      <c r="AS18756" s="47"/>
    </row>
    <row r="18757" spans="45:45">
      <c r="AS18757" s="47"/>
    </row>
    <row r="18758" spans="45:45">
      <c r="AS18758" s="47"/>
    </row>
    <row r="18759" spans="45:45">
      <c r="AS18759" s="47"/>
    </row>
    <row r="18760" spans="45:45">
      <c r="AS18760" s="47"/>
    </row>
    <row r="18761" spans="45:45">
      <c r="AS18761" s="47"/>
    </row>
    <row r="18762" spans="45:45">
      <c r="AS18762" s="47"/>
    </row>
    <row r="18763" spans="45:45">
      <c r="AS18763" s="47"/>
    </row>
    <row r="18764" spans="45:45">
      <c r="AS18764" s="47"/>
    </row>
    <row r="18765" spans="45:45">
      <c r="AS18765" s="47"/>
    </row>
    <row r="18766" spans="45:45">
      <c r="AS18766" s="47"/>
    </row>
    <row r="18767" spans="45:45">
      <c r="AS18767" s="47"/>
    </row>
    <row r="18768" spans="45:45">
      <c r="AS18768" s="47"/>
    </row>
    <row r="18769" spans="45:45">
      <c r="AS18769" s="47"/>
    </row>
    <row r="18770" spans="45:45">
      <c r="AS18770" s="47"/>
    </row>
    <row r="18771" spans="45:45">
      <c r="AS18771" s="47"/>
    </row>
    <row r="18772" spans="45:45">
      <c r="AS18772" s="47"/>
    </row>
    <row r="18773" spans="45:45">
      <c r="AS18773" s="47"/>
    </row>
    <row r="18774" spans="45:45">
      <c r="AS18774" s="47"/>
    </row>
    <row r="18775" spans="45:45">
      <c r="AS18775" s="47"/>
    </row>
    <row r="18776" spans="45:45">
      <c r="AS18776" s="47"/>
    </row>
    <row r="18777" spans="45:45">
      <c r="AS18777" s="47"/>
    </row>
    <row r="18778" spans="45:45">
      <c r="AS18778" s="47"/>
    </row>
    <row r="18779" spans="45:45">
      <c r="AS18779" s="47"/>
    </row>
    <row r="18780" spans="45:45">
      <c r="AS18780" s="47"/>
    </row>
    <row r="18781" spans="45:45">
      <c r="AS18781" s="47"/>
    </row>
    <row r="18782" spans="45:45">
      <c r="AS18782" s="47"/>
    </row>
    <row r="18783" spans="45:45">
      <c r="AS18783" s="47"/>
    </row>
    <row r="18784" spans="45:45">
      <c r="AS18784" s="47"/>
    </row>
    <row r="18785" spans="45:45">
      <c r="AS18785" s="47"/>
    </row>
    <row r="18786" spans="45:45">
      <c r="AS18786" s="47"/>
    </row>
    <row r="18787" spans="45:45">
      <c r="AS18787" s="47"/>
    </row>
    <row r="18788" spans="45:45">
      <c r="AS18788" s="47"/>
    </row>
    <row r="18789" spans="45:45">
      <c r="AS18789" s="47"/>
    </row>
    <row r="18790" spans="45:45">
      <c r="AS18790" s="47"/>
    </row>
    <row r="18791" spans="45:45">
      <c r="AS18791" s="47"/>
    </row>
    <row r="18792" spans="45:45">
      <c r="AS18792" s="47"/>
    </row>
    <row r="18793" spans="45:45">
      <c r="AS18793" s="47"/>
    </row>
    <row r="18794" spans="45:45">
      <c r="AS18794" s="47"/>
    </row>
    <row r="18795" spans="45:45">
      <c r="AS18795" s="47"/>
    </row>
    <row r="18796" spans="45:45">
      <c r="AS18796" s="47"/>
    </row>
    <row r="18797" spans="45:45">
      <c r="AS18797" s="47"/>
    </row>
    <row r="18798" spans="45:45">
      <c r="AS18798" s="47"/>
    </row>
    <row r="18799" spans="45:45">
      <c r="AS18799" s="47"/>
    </row>
    <row r="18800" spans="45:45">
      <c r="AS18800" s="47"/>
    </row>
    <row r="18801" spans="45:45">
      <c r="AS18801" s="47"/>
    </row>
    <row r="18802" spans="45:45">
      <c r="AS18802" s="47"/>
    </row>
    <row r="18803" spans="45:45">
      <c r="AS18803" s="47"/>
    </row>
    <row r="18804" spans="45:45">
      <c r="AS18804" s="47"/>
    </row>
    <row r="18805" spans="45:45">
      <c r="AS18805" s="47"/>
    </row>
    <row r="18806" spans="45:45">
      <c r="AS18806" s="47"/>
    </row>
    <row r="18807" spans="45:45">
      <c r="AS18807" s="47"/>
    </row>
    <row r="18808" spans="45:45">
      <c r="AS18808" s="47"/>
    </row>
    <row r="18809" spans="45:45">
      <c r="AS18809" s="47"/>
    </row>
    <row r="18810" spans="45:45">
      <c r="AS18810" s="47"/>
    </row>
    <row r="18811" spans="45:45">
      <c r="AS18811" s="47"/>
    </row>
    <row r="18812" spans="45:45">
      <c r="AS18812" s="47"/>
    </row>
    <row r="18813" spans="45:45">
      <c r="AS18813" s="47"/>
    </row>
    <row r="18814" spans="45:45">
      <c r="AS18814" s="47"/>
    </row>
    <row r="18815" spans="45:45">
      <c r="AS18815" s="47"/>
    </row>
    <row r="18816" spans="45:45">
      <c r="AS18816" s="47"/>
    </row>
    <row r="18817" spans="45:45">
      <c r="AS18817" s="47"/>
    </row>
    <row r="18818" spans="45:45">
      <c r="AS18818" s="47"/>
    </row>
    <row r="18819" spans="45:45">
      <c r="AS18819" s="47"/>
    </row>
    <row r="18820" spans="45:45">
      <c r="AS18820" s="47"/>
    </row>
    <row r="18821" spans="45:45">
      <c r="AS18821" s="47"/>
    </row>
    <row r="18822" spans="45:45">
      <c r="AS18822" s="47"/>
    </row>
    <row r="18823" spans="45:45">
      <c r="AS18823" s="47"/>
    </row>
    <row r="18824" spans="45:45">
      <c r="AS18824" s="47"/>
    </row>
    <row r="18825" spans="45:45">
      <c r="AS18825" s="47"/>
    </row>
    <row r="18826" spans="45:45">
      <c r="AS18826" s="47"/>
    </row>
    <row r="18827" spans="45:45">
      <c r="AS18827" s="47"/>
    </row>
    <row r="18828" spans="45:45">
      <c r="AS18828" s="47"/>
    </row>
    <row r="18829" spans="45:45">
      <c r="AS18829" s="47"/>
    </row>
    <row r="18830" spans="45:45">
      <c r="AS18830" s="47"/>
    </row>
    <row r="18831" spans="45:45">
      <c r="AS18831" s="47"/>
    </row>
    <row r="18832" spans="45:45">
      <c r="AS18832" s="47"/>
    </row>
    <row r="18833" spans="45:45">
      <c r="AS18833" s="47"/>
    </row>
    <row r="18834" spans="45:45">
      <c r="AS18834" s="47"/>
    </row>
    <row r="18835" spans="45:45">
      <c r="AS18835" s="47"/>
    </row>
    <row r="18836" spans="45:45">
      <c r="AS18836" s="47"/>
    </row>
    <row r="18837" spans="45:45">
      <c r="AS18837" s="47"/>
    </row>
    <row r="18838" spans="45:45">
      <c r="AS18838" s="47"/>
    </row>
    <row r="18839" spans="45:45">
      <c r="AS18839" s="47"/>
    </row>
    <row r="18840" spans="45:45">
      <c r="AS18840" s="47"/>
    </row>
    <row r="18841" spans="45:45">
      <c r="AS18841" s="47"/>
    </row>
    <row r="18842" spans="45:45">
      <c r="AS18842" s="47"/>
    </row>
    <row r="18843" spans="45:45">
      <c r="AS18843" s="47"/>
    </row>
    <row r="18844" spans="45:45">
      <c r="AS18844" s="47"/>
    </row>
    <row r="18845" spans="45:45">
      <c r="AS18845" s="47"/>
    </row>
    <row r="18846" spans="45:45">
      <c r="AS18846" s="47"/>
    </row>
    <row r="18847" spans="45:45">
      <c r="AS18847" s="47"/>
    </row>
    <row r="18848" spans="45:45">
      <c r="AS18848" s="47"/>
    </row>
    <row r="18849" spans="45:45">
      <c r="AS18849" s="47"/>
    </row>
    <row r="18850" spans="45:45">
      <c r="AS18850" s="47"/>
    </row>
    <row r="18851" spans="45:45">
      <c r="AS18851" s="47"/>
    </row>
    <row r="18852" spans="45:45">
      <c r="AS18852" s="47"/>
    </row>
    <row r="18853" spans="45:45">
      <c r="AS18853" s="47"/>
    </row>
    <row r="18854" spans="45:45">
      <c r="AS18854" s="47"/>
    </row>
    <row r="18855" spans="45:45">
      <c r="AS18855" s="47"/>
    </row>
    <row r="18856" spans="45:45">
      <c r="AS18856" s="47"/>
    </row>
    <row r="18857" spans="45:45">
      <c r="AS18857" s="47"/>
    </row>
    <row r="18858" spans="45:45">
      <c r="AS18858" s="47"/>
    </row>
    <row r="18859" spans="45:45">
      <c r="AS18859" s="47"/>
    </row>
    <row r="18860" spans="45:45">
      <c r="AS18860" s="47"/>
    </row>
    <row r="18861" spans="45:45">
      <c r="AS18861" s="47"/>
    </row>
    <row r="18862" spans="45:45">
      <c r="AS18862" s="47"/>
    </row>
    <row r="18863" spans="45:45">
      <c r="AS18863" s="47"/>
    </row>
    <row r="18864" spans="45:45">
      <c r="AS18864" s="47"/>
    </row>
    <row r="18865" spans="45:45">
      <c r="AS18865" s="47"/>
    </row>
    <row r="18866" spans="45:45">
      <c r="AS18866" s="47"/>
    </row>
    <row r="18867" spans="45:45">
      <c r="AS18867" s="47"/>
    </row>
    <row r="18868" spans="45:45">
      <c r="AS18868" s="47"/>
    </row>
    <row r="18869" spans="45:45">
      <c r="AS18869" s="47"/>
    </row>
    <row r="18870" spans="45:45">
      <c r="AS18870" s="47"/>
    </row>
    <row r="18871" spans="45:45">
      <c r="AS18871" s="47"/>
    </row>
    <row r="18872" spans="45:45">
      <c r="AS18872" s="47"/>
    </row>
    <row r="18873" spans="45:45">
      <c r="AS18873" s="47"/>
    </row>
    <row r="18874" spans="45:45">
      <c r="AS18874" s="47"/>
    </row>
    <row r="18875" spans="45:45">
      <c r="AS18875" s="47"/>
    </row>
    <row r="18876" spans="45:45">
      <c r="AS18876" s="47"/>
    </row>
    <row r="18877" spans="45:45">
      <c r="AS18877" s="47"/>
    </row>
    <row r="18878" spans="45:45">
      <c r="AS18878" s="47"/>
    </row>
    <row r="18879" spans="45:45">
      <c r="AS18879" s="47"/>
    </row>
    <row r="18880" spans="45:45">
      <c r="AS18880" s="47"/>
    </row>
    <row r="18881" spans="45:45">
      <c r="AS18881" s="47"/>
    </row>
    <row r="18882" spans="45:45">
      <c r="AS18882" s="47"/>
    </row>
    <row r="18883" spans="45:45">
      <c r="AS18883" s="47"/>
    </row>
    <row r="18884" spans="45:45">
      <c r="AS18884" s="47"/>
    </row>
    <row r="18885" spans="45:45">
      <c r="AS18885" s="47"/>
    </row>
    <row r="18886" spans="45:45">
      <c r="AS18886" s="47"/>
    </row>
    <row r="18887" spans="45:45">
      <c r="AS18887" s="47"/>
    </row>
    <row r="18888" spans="45:45">
      <c r="AS18888" s="47"/>
    </row>
    <row r="18889" spans="45:45">
      <c r="AS18889" s="47"/>
    </row>
    <row r="18890" spans="45:45">
      <c r="AS18890" s="47"/>
    </row>
    <row r="18891" spans="45:45">
      <c r="AS18891" s="47"/>
    </row>
    <row r="18892" spans="45:45">
      <c r="AS18892" s="47"/>
    </row>
    <row r="18893" spans="45:45">
      <c r="AS18893" s="47"/>
    </row>
    <row r="18894" spans="45:45">
      <c r="AS18894" s="47"/>
    </row>
    <row r="18895" spans="45:45">
      <c r="AS18895" s="47"/>
    </row>
    <row r="18896" spans="45:45">
      <c r="AS18896" s="47"/>
    </row>
    <row r="18897" spans="45:45">
      <c r="AS18897" s="47"/>
    </row>
    <row r="18898" spans="45:45">
      <c r="AS18898" s="47"/>
    </row>
    <row r="18899" spans="45:45">
      <c r="AS18899" s="47"/>
    </row>
    <row r="18900" spans="45:45">
      <c r="AS18900" s="47"/>
    </row>
    <row r="18901" spans="45:45">
      <c r="AS18901" s="47"/>
    </row>
    <row r="18902" spans="45:45">
      <c r="AS18902" s="47"/>
    </row>
    <row r="18903" spans="45:45">
      <c r="AS18903" s="47"/>
    </row>
    <row r="18904" spans="45:45">
      <c r="AS18904" s="47"/>
    </row>
    <row r="18905" spans="45:45">
      <c r="AS18905" s="47"/>
    </row>
    <row r="18906" spans="45:45">
      <c r="AS18906" s="47"/>
    </row>
    <row r="18907" spans="45:45">
      <c r="AS18907" s="47"/>
    </row>
    <row r="18908" spans="45:45">
      <c r="AS18908" s="47"/>
    </row>
    <row r="18909" spans="45:45">
      <c r="AS18909" s="47"/>
    </row>
    <row r="18910" spans="45:45">
      <c r="AS18910" s="47"/>
    </row>
    <row r="18911" spans="45:45">
      <c r="AS18911" s="47"/>
    </row>
    <row r="18912" spans="45:45">
      <c r="AS18912" s="47"/>
    </row>
    <row r="18913" spans="45:45">
      <c r="AS18913" s="47"/>
    </row>
    <row r="18914" spans="45:45">
      <c r="AS18914" s="47"/>
    </row>
    <row r="18915" spans="45:45">
      <c r="AS18915" s="47"/>
    </row>
    <row r="18916" spans="45:45">
      <c r="AS18916" s="47"/>
    </row>
    <row r="18917" spans="45:45">
      <c r="AS18917" s="47"/>
    </row>
    <row r="18918" spans="45:45">
      <c r="AS18918" s="47"/>
    </row>
    <row r="18919" spans="45:45">
      <c r="AS18919" s="47"/>
    </row>
    <row r="18920" spans="45:45">
      <c r="AS18920" s="47"/>
    </row>
    <row r="18921" spans="45:45">
      <c r="AS18921" s="47"/>
    </row>
    <row r="18922" spans="45:45">
      <c r="AS18922" s="47"/>
    </row>
    <row r="18923" spans="45:45">
      <c r="AS18923" s="47"/>
    </row>
    <row r="18924" spans="45:45">
      <c r="AS18924" s="47"/>
    </row>
    <row r="18925" spans="45:45">
      <c r="AS18925" s="47"/>
    </row>
    <row r="18926" spans="45:45">
      <c r="AS18926" s="47"/>
    </row>
    <row r="18927" spans="45:45">
      <c r="AS18927" s="47"/>
    </row>
    <row r="18928" spans="45:45">
      <c r="AS18928" s="47"/>
    </row>
    <row r="18929" spans="45:45">
      <c r="AS18929" s="47"/>
    </row>
    <row r="18930" spans="45:45">
      <c r="AS18930" s="47"/>
    </row>
    <row r="18931" spans="45:45">
      <c r="AS18931" s="47"/>
    </row>
    <row r="18932" spans="45:45">
      <c r="AS18932" s="47"/>
    </row>
    <row r="18933" spans="45:45">
      <c r="AS18933" s="47"/>
    </row>
    <row r="18934" spans="45:45">
      <c r="AS18934" s="47"/>
    </row>
    <row r="18935" spans="45:45">
      <c r="AS18935" s="47"/>
    </row>
    <row r="18936" spans="45:45">
      <c r="AS18936" s="47"/>
    </row>
    <row r="18937" spans="45:45">
      <c r="AS18937" s="47"/>
    </row>
    <row r="18938" spans="45:45">
      <c r="AS18938" s="47"/>
    </row>
    <row r="18939" spans="45:45">
      <c r="AS18939" s="47"/>
    </row>
    <row r="18940" spans="45:45">
      <c r="AS18940" s="47"/>
    </row>
    <row r="18941" spans="45:45">
      <c r="AS18941" s="47"/>
    </row>
    <row r="18942" spans="45:45">
      <c r="AS18942" s="47"/>
    </row>
    <row r="18943" spans="45:45">
      <c r="AS18943" s="47"/>
    </row>
    <row r="18944" spans="45:45">
      <c r="AS18944" s="47"/>
    </row>
    <row r="18945" spans="45:45">
      <c r="AS18945" s="47"/>
    </row>
    <row r="18946" spans="45:45">
      <c r="AS18946" s="47"/>
    </row>
    <row r="18947" spans="45:45">
      <c r="AS18947" s="47"/>
    </row>
    <row r="18948" spans="45:45">
      <c r="AS18948" s="47"/>
    </row>
    <row r="18949" spans="45:45">
      <c r="AS18949" s="47"/>
    </row>
    <row r="18950" spans="45:45">
      <c r="AS18950" s="47"/>
    </row>
    <row r="18951" spans="45:45">
      <c r="AS18951" s="47"/>
    </row>
    <row r="18952" spans="45:45">
      <c r="AS18952" s="47"/>
    </row>
    <row r="18953" spans="45:45">
      <c r="AS18953" s="47"/>
    </row>
    <row r="18954" spans="45:45">
      <c r="AS18954" s="47"/>
    </row>
    <row r="18955" spans="45:45">
      <c r="AS18955" s="47"/>
    </row>
    <row r="18956" spans="45:45">
      <c r="AS18956" s="47"/>
    </row>
    <row r="18957" spans="45:45">
      <c r="AS18957" s="47"/>
    </row>
    <row r="18958" spans="45:45">
      <c r="AS18958" s="47"/>
    </row>
    <row r="18959" spans="45:45">
      <c r="AS18959" s="47"/>
    </row>
    <row r="18960" spans="45:45">
      <c r="AS18960" s="47"/>
    </row>
    <row r="18961" spans="45:45">
      <c r="AS18961" s="47"/>
    </row>
    <row r="18962" spans="45:45">
      <c r="AS18962" s="47"/>
    </row>
    <row r="18963" spans="45:45">
      <c r="AS18963" s="47"/>
    </row>
    <row r="18964" spans="45:45">
      <c r="AS18964" s="47"/>
    </row>
    <row r="18965" spans="45:45">
      <c r="AS18965" s="47"/>
    </row>
    <row r="18966" spans="45:45">
      <c r="AS18966" s="47"/>
    </row>
    <row r="18967" spans="45:45">
      <c r="AS18967" s="47"/>
    </row>
    <row r="18968" spans="45:45">
      <c r="AS18968" s="47"/>
    </row>
    <row r="18969" spans="45:45">
      <c r="AS18969" s="47"/>
    </row>
    <row r="18970" spans="45:45">
      <c r="AS18970" s="47"/>
    </row>
    <row r="18971" spans="45:45">
      <c r="AS18971" s="47"/>
    </row>
    <row r="18972" spans="45:45">
      <c r="AS18972" s="47"/>
    </row>
    <row r="18973" spans="45:45">
      <c r="AS18973" s="47"/>
    </row>
    <row r="18974" spans="45:45">
      <c r="AS18974" s="47"/>
    </row>
    <row r="18975" spans="45:45">
      <c r="AS18975" s="47"/>
    </row>
    <row r="18976" spans="45:45">
      <c r="AS18976" s="47"/>
    </row>
    <row r="18977" spans="45:45">
      <c r="AS18977" s="47"/>
    </row>
    <row r="18978" spans="45:45">
      <c r="AS18978" s="47"/>
    </row>
    <row r="18979" spans="45:45">
      <c r="AS18979" s="47"/>
    </row>
    <row r="18980" spans="45:45">
      <c r="AS18980" s="47"/>
    </row>
    <row r="18981" spans="45:45">
      <c r="AS18981" s="47"/>
    </row>
    <row r="18982" spans="45:45">
      <c r="AS18982" s="47"/>
    </row>
    <row r="18983" spans="45:45">
      <c r="AS18983" s="47"/>
    </row>
    <row r="18984" spans="45:45">
      <c r="AS18984" s="47"/>
    </row>
    <row r="18985" spans="45:45">
      <c r="AS18985" s="47"/>
    </row>
    <row r="18986" spans="45:45">
      <c r="AS18986" s="47"/>
    </row>
    <row r="18987" spans="45:45">
      <c r="AS18987" s="47"/>
    </row>
    <row r="18988" spans="45:45">
      <c r="AS18988" s="47"/>
    </row>
    <row r="18989" spans="45:45">
      <c r="AS18989" s="47"/>
    </row>
    <row r="18990" spans="45:45">
      <c r="AS18990" s="47"/>
    </row>
    <row r="18991" spans="45:45">
      <c r="AS18991" s="47"/>
    </row>
    <row r="18992" spans="45:45">
      <c r="AS18992" s="47"/>
    </row>
    <row r="18993" spans="45:45">
      <c r="AS18993" s="47"/>
    </row>
    <row r="18994" spans="45:45">
      <c r="AS18994" s="47"/>
    </row>
    <row r="18995" spans="45:45">
      <c r="AS18995" s="47"/>
    </row>
    <row r="18996" spans="45:45">
      <c r="AS18996" s="47"/>
    </row>
    <row r="18997" spans="45:45">
      <c r="AS18997" s="47"/>
    </row>
    <row r="18998" spans="45:45">
      <c r="AS18998" s="47"/>
    </row>
    <row r="18999" spans="45:45">
      <c r="AS18999" s="47"/>
    </row>
    <row r="19000" spans="45:45">
      <c r="AS19000" s="47"/>
    </row>
    <row r="19001" spans="45:45">
      <c r="AS19001" s="47"/>
    </row>
    <row r="19002" spans="45:45">
      <c r="AS19002" s="47"/>
    </row>
    <row r="19003" spans="45:45">
      <c r="AS19003" s="47"/>
    </row>
    <row r="19004" spans="45:45">
      <c r="AS19004" s="47"/>
    </row>
    <row r="19005" spans="45:45">
      <c r="AS19005" s="47"/>
    </row>
    <row r="19006" spans="45:45">
      <c r="AS19006" s="47"/>
    </row>
    <row r="19007" spans="45:45">
      <c r="AS19007" s="47"/>
    </row>
    <row r="19008" spans="45:45">
      <c r="AS19008" s="47"/>
    </row>
    <row r="19009" spans="45:45">
      <c r="AS19009" s="47"/>
    </row>
    <row r="19010" spans="45:45">
      <c r="AS19010" s="47"/>
    </row>
    <row r="19011" spans="45:45">
      <c r="AS19011" s="47"/>
    </row>
    <row r="19012" spans="45:45">
      <c r="AS19012" s="47"/>
    </row>
    <row r="19013" spans="45:45">
      <c r="AS19013" s="47"/>
    </row>
    <row r="19014" spans="45:45">
      <c r="AS19014" s="47"/>
    </row>
    <row r="19015" spans="45:45">
      <c r="AS19015" s="47"/>
    </row>
    <row r="19016" spans="45:45">
      <c r="AS19016" s="47"/>
    </row>
    <row r="19017" spans="45:45">
      <c r="AS19017" s="47"/>
    </row>
    <row r="19018" spans="45:45">
      <c r="AS19018" s="47"/>
    </row>
    <row r="19019" spans="45:45">
      <c r="AS19019" s="47"/>
    </row>
    <row r="19020" spans="45:45">
      <c r="AS19020" s="47"/>
    </row>
    <row r="19021" spans="45:45">
      <c r="AS19021" s="47"/>
    </row>
    <row r="19022" spans="45:45">
      <c r="AS19022" s="47"/>
    </row>
    <row r="19023" spans="45:45">
      <c r="AS19023" s="47"/>
    </row>
    <row r="19024" spans="45:45">
      <c r="AS19024" s="47"/>
    </row>
    <row r="19025" spans="45:45">
      <c r="AS19025" s="47"/>
    </row>
    <row r="19026" spans="45:45">
      <c r="AS19026" s="47"/>
    </row>
    <row r="19027" spans="45:45">
      <c r="AS19027" s="47"/>
    </row>
    <row r="19028" spans="45:45">
      <c r="AS19028" s="47"/>
    </row>
    <row r="19029" spans="45:45">
      <c r="AS19029" s="47"/>
    </row>
    <row r="19030" spans="45:45">
      <c r="AS19030" s="47"/>
    </row>
    <row r="19031" spans="45:45">
      <c r="AS19031" s="47"/>
    </row>
    <row r="19032" spans="45:45">
      <c r="AS19032" s="47"/>
    </row>
    <row r="19033" spans="45:45">
      <c r="AS19033" s="47"/>
    </row>
    <row r="19034" spans="45:45">
      <c r="AS19034" s="47"/>
    </row>
    <row r="19035" spans="45:45">
      <c r="AS19035" s="47"/>
    </row>
    <row r="19036" spans="45:45">
      <c r="AS19036" s="47"/>
    </row>
    <row r="19037" spans="45:45">
      <c r="AS19037" s="47"/>
    </row>
    <row r="19038" spans="45:45">
      <c r="AS19038" s="47"/>
    </row>
    <row r="19039" spans="45:45">
      <c r="AS19039" s="47"/>
    </row>
    <row r="19040" spans="45:45">
      <c r="AS19040" s="47"/>
    </row>
    <row r="19041" spans="45:45">
      <c r="AS19041" s="47"/>
    </row>
    <row r="19042" spans="45:45">
      <c r="AS19042" s="47"/>
    </row>
    <row r="19043" spans="45:45">
      <c r="AS19043" s="47"/>
    </row>
    <row r="19044" spans="45:45">
      <c r="AS19044" s="47"/>
    </row>
    <row r="19045" spans="45:45">
      <c r="AS19045" s="47"/>
    </row>
    <row r="19046" spans="45:45">
      <c r="AS19046" s="47"/>
    </row>
    <row r="19047" spans="45:45">
      <c r="AS19047" s="47"/>
    </row>
    <row r="19048" spans="45:45">
      <c r="AS19048" s="47"/>
    </row>
    <row r="19049" spans="45:45">
      <c r="AS19049" s="47"/>
    </row>
    <row r="19050" spans="45:45">
      <c r="AS19050" s="47"/>
    </row>
    <row r="19051" spans="45:45">
      <c r="AS19051" s="47"/>
    </row>
    <row r="19052" spans="45:45">
      <c r="AS19052" s="47"/>
    </row>
    <row r="19053" spans="45:45">
      <c r="AS19053" s="47"/>
    </row>
    <row r="19054" spans="45:45">
      <c r="AS19054" s="47"/>
    </row>
    <row r="19055" spans="45:45">
      <c r="AS19055" s="47"/>
    </row>
    <row r="19056" spans="45:45">
      <c r="AS19056" s="47"/>
    </row>
    <row r="19057" spans="45:45">
      <c r="AS19057" s="47"/>
    </row>
    <row r="19058" spans="45:45">
      <c r="AS19058" s="47"/>
    </row>
    <row r="19059" spans="45:45">
      <c r="AS19059" s="47"/>
    </row>
    <row r="19060" spans="45:45">
      <c r="AS19060" s="47"/>
    </row>
    <row r="19061" spans="45:45">
      <c r="AS19061" s="47"/>
    </row>
    <row r="19062" spans="45:45">
      <c r="AS19062" s="47"/>
    </row>
    <row r="19063" spans="45:45">
      <c r="AS19063" s="47"/>
    </row>
    <row r="19064" spans="45:45">
      <c r="AS19064" s="47"/>
    </row>
    <row r="19065" spans="45:45">
      <c r="AS19065" s="47"/>
    </row>
    <row r="19066" spans="45:45">
      <c r="AS19066" s="47"/>
    </row>
    <row r="19067" spans="45:45">
      <c r="AS19067" s="47"/>
    </row>
    <row r="19068" spans="45:45">
      <c r="AS19068" s="47"/>
    </row>
    <row r="19069" spans="45:45">
      <c r="AS19069" s="47"/>
    </row>
    <row r="19070" spans="45:45">
      <c r="AS19070" s="47"/>
    </row>
    <row r="19071" spans="45:45">
      <c r="AS19071" s="47"/>
    </row>
    <row r="19072" spans="45:45">
      <c r="AS19072" s="47"/>
    </row>
    <row r="19073" spans="45:45">
      <c r="AS19073" s="47"/>
    </row>
    <row r="19074" spans="45:45">
      <c r="AS19074" s="47"/>
    </row>
    <row r="19075" spans="45:45">
      <c r="AS19075" s="47"/>
    </row>
    <row r="19076" spans="45:45">
      <c r="AS19076" s="47"/>
    </row>
    <row r="19077" spans="45:45">
      <c r="AS19077" s="47"/>
    </row>
    <row r="19078" spans="45:45">
      <c r="AS19078" s="47"/>
    </row>
    <row r="19079" spans="45:45">
      <c r="AS19079" s="47"/>
    </row>
    <row r="19080" spans="45:45">
      <c r="AS19080" s="47"/>
    </row>
    <row r="19081" spans="45:45">
      <c r="AS19081" s="47"/>
    </row>
    <row r="19082" spans="45:45">
      <c r="AS19082" s="47"/>
    </row>
    <row r="19083" spans="45:45">
      <c r="AS19083" s="47"/>
    </row>
    <row r="19084" spans="45:45">
      <c r="AS19084" s="47"/>
    </row>
    <row r="19085" spans="45:45">
      <c r="AS19085" s="47"/>
    </row>
    <row r="19086" spans="45:45">
      <c r="AS19086" s="47"/>
    </row>
    <row r="19087" spans="45:45">
      <c r="AS19087" s="47"/>
    </row>
    <row r="19088" spans="45:45">
      <c r="AS19088" s="47"/>
    </row>
    <row r="19089" spans="45:45">
      <c r="AS19089" s="47"/>
    </row>
    <row r="19090" spans="45:45">
      <c r="AS19090" s="47"/>
    </row>
    <row r="19091" spans="45:45">
      <c r="AS19091" s="47"/>
    </row>
    <row r="19092" spans="45:45">
      <c r="AS19092" s="47"/>
    </row>
    <row r="19093" spans="45:45">
      <c r="AS19093" s="47"/>
    </row>
    <row r="19094" spans="45:45">
      <c r="AS19094" s="47"/>
    </row>
    <row r="19095" spans="45:45">
      <c r="AS19095" s="47"/>
    </row>
    <row r="19096" spans="45:45">
      <c r="AS19096" s="47"/>
    </row>
    <row r="19097" spans="45:45">
      <c r="AS19097" s="47"/>
    </row>
    <row r="19098" spans="45:45">
      <c r="AS19098" s="47"/>
    </row>
    <row r="19099" spans="45:45">
      <c r="AS19099" s="47"/>
    </row>
    <row r="19100" spans="45:45">
      <c r="AS19100" s="47"/>
    </row>
    <row r="19101" spans="45:45">
      <c r="AS19101" s="47"/>
    </row>
    <row r="19102" spans="45:45">
      <c r="AS19102" s="47"/>
    </row>
    <row r="19103" spans="45:45">
      <c r="AS19103" s="47"/>
    </row>
    <row r="19104" spans="45:45">
      <c r="AS19104" s="47"/>
    </row>
    <row r="19105" spans="45:45">
      <c r="AS19105" s="47"/>
    </row>
    <row r="19106" spans="45:45">
      <c r="AS19106" s="47"/>
    </row>
    <row r="19107" spans="45:45">
      <c r="AS19107" s="47"/>
    </row>
    <row r="19108" spans="45:45">
      <c r="AS19108" s="47"/>
    </row>
    <row r="19109" spans="45:45">
      <c r="AS19109" s="47"/>
    </row>
    <row r="19110" spans="45:45">
      <c r="AS19110" s="47"/>
    </row>
    <row r="19111" spans="45:45">
      <c r="AS19111" s="47"/>
    </row>
    <row r="19112" spans="45:45">
      <c r="AS19112" s="47"/>
    </row>
    <row r="19113" spans="45:45">
      <c r="AS19113" s="47"/>
    </row>
    <row r="19114" spans="45:45">
      <c r="AS19114" s="47"/>
    </row>
    <row r="19115" spans="45:45">
      <c r="AS19115" s="47"/>
    </row>
    <row r="19116" spans="45:45">
      <c r="AS19116" s="47"/>
    </row>
    <row r="19117" spans="45:45">
      <c r="AS19117" s="47"/>
    </row>
    <row r="19118" spans="45:45">
      <c r="AS19118" s="47"/>
    </row>
    <row r="19119" spans="45:45">
      <c r="AS19119" s="47"/>
    </row>
    <row r="19120" spans="45:45">
      <c r="AS19120" s="47"/>
    </row>
    <row r="19121" spans="45:45">
      <c r="AS19121" s="47"/>
    </row>
    <row r="19122" spans="45:45">
      <c r="AS19122" s="47"/>
    </row>
    <row r="19123" spans="45:45">
      <c r="AS19123" s="47"/>
    </row>
    <row r="19124" spans="45:45">
      <c r="AS19124" s="47"/>
    </row>
    <row r="19125" spans="45:45">
      <c r="AS19125" s="47"/>
    </row>
    <row r="19126" spans="45:45">
      <c r="AS19126" s="47"/>
    </row>
    <row r="19127" spans="45:45">
      <c r="AS19127" s="47"/>
    </row>
    <row r="19128" spans="45:45">
      <c r="AS19128" s="47"/>
    </row>
    <row r="19129" spans="45:45">
      <c r="AS19129" s="47"/>
    </row>
    <row r="19130" spans="45:45">
      <c r="AS19130" s="47"/>
    </row>
    <row r="19131" spans="45:45">
      <c r="AS19131" s="47"/>
    </row>
    <row r="19132" spans="45:45">
      <c r="AS19132" s="47"/>
    </row>
    <row r="19133" spans="45:45">
      <c r="AS19133" s="47"/>
    </row>
    <row r="19134" spans="45:45">
      <c r="AS19134" s="47"/>
    </row>
    <row r="19135" spans="45:45">
      <c r="AS19135" s="47"/>
    </row>
    <row r="19136" spans="45:45">
      <c r="AS19136" s="47"/>
    </row>
    <row r="19137" spans="45:45">
      <c r="AS19137" s="47"/>
    </row>
    <row r="19138" spans="45:45">
      <c r="AS19138" s="47"/>
    </row>
    <row r="19139" spans="45:45">
      <c r="AS19139" s="47"/>
    </row>
    <row r="19140" spans="45:45">
      <c r="AS19140" s="47"/>
    </row>
    <row r="19141" spans="45:45">
      <c r="AS19141" s="47"/>
    </row>
    <row r="19142" spans="45:45">
      <c r="AS19142" s="47"/>
    </row>
    <row r="19143" spans="45:45">
      <c r="AS19143" s="47"/>
    </row>
    <row r="19144" spans="45:45">
      <c r="AS19144" s="47"/>
    </row>
    <row r="19145" spans="45:45">
      <c r="AS19145" s="47"/>
    </row>
    <row r="19146" spans="45:45">
      <c r="AS19146" s="47"/>
    </row>
    <row r="19147" spans="45:45">
      <c r="AS19147" s="47"/>
    </row>
    <row r="19148" spans="45:45">
      <c r="AS19148" s="47"/>
    </row>
    <row r="19149" spans="45:45">
      <c r="AS19149" s="47"/>
    </row>
    <row r="19150" spans="45:45">
      <c r="AS19150" s="47"/>
    </row>
    <row r="19151" spans="45:45">
      <c r="AS19151" s="47"/>
    </row>
    <row r="19152" spans="45:45">
      <c r="AS19152" s="47"/>
    </row>
    <row r="19153" spans="45:45">
      <c r="AS19153" s="47"/>
    </row>
    <row r="19154" spans="45:45">
      <c r="AS19154" s="47"/>
    </row>
    <row r="19155" spans="45:45">
      <c r="AS19155" s="47"/>
    </row>
    <row r="19156" spans="45:45">
      <c r="AS19156" s="47"/>
    </row>
    <row r="19157" spans="45:45">
      <c r="AS19157" s="47"/>
    </row>
    <row r="19158" spans="45:45">
      <c r="AS19158" s="47"/>
    </row>
    <row r="19159" spans="45:45">
      <c r="AS19159" s="47"/>
    </row>
    <row r="19160" spans="45:45">
      <c r="AS19160" s="47"/>
    </row>
    <row r="19161" spans="45:45">
      <c r="AS19161" s="47"/>
    </row>
    <row r="19162" spans="45:45">
      <c r="AS19162" s="47"/>
    </row>
    <row r="19163" spans="45:45">
      <c r="AS19163" s="47"/>
    </row>
    <row r="19164" spans="45:45">
      <c r="AS19164" s="47"/>
    </row>
    <row r="19165" spans="45:45">
      <c r="AS19165" s="47"/>
    </row>
    <row r="19166" spans="45:45">
      <c r="AS19166" s="47"/>
    </row>
    <row r="19167" spans="45:45">
      <c r="AS19167" s="47"/>
    </row>
    <row r="19168" spans="45:45">
      <c r="AS19168" s="47"/>
    </row>
    <row r="19169" spans="45:45">
      <c r="AS19169" s="47"/>
    </row>
    <row r="19170" spans="45:45">
      <c r="AS19170" s="47"/>
    </row>
    <row r="19171" spans="45:45">
      <c r="AS19171" s="47"/>
    </row>
    <row r="19172" spans="45:45">
      <c r="AS19172" s="47"/>
    </row>
    <row r="19173" spans="45:45">
      <c r="AS19173" s="47"/>
    </row>
    <row r="19174" spans="45:45">
      <c r="AS19174" s="47"/>
    </row>
    <row r="19175" spans="45:45">
      <c r="AS19175" s="47"/>
    </row>
    <row r="19176" spans="45:45">
      <c r="AS19176" s="47"/>
    </row>
    <row r="19177" spans="45:45">
      <c r="AS19177" s="47"/>
    </row>
    <row r="19178" spans="45:45">
      <c r="AS19178" s="47"/>
    </row>
    <row r="19179" spans="45:45">
      <c r="AS19179" s="47"/>
    </row>
    <row r="19180" spans="45:45">
      <c r="AS19180" s="47"/>
    </row>
    <row r="19181" spans="45:45">
      <c r="AS19181" s="47"/>
    </row>
    <row r="19182" spans="45:45">
      <c r="AS19182" s="47"/>
    </row>
    <row r="19183" spans="45:45">
      <c r="AS19183" s="47"/>
    </row>
    <row r="19184" spans="45:45">
      <c r="AS19184" s="47"/>
    </row>
    <row r="19185" spans="45:45">
      <c r="AS19185" s="47"/>
    </row>
    <row r="19186" spans="45:45">
      <c r="AS19186" s="47"/>
    </row>
    <row r="19187" spans="45:45">
      <c r="AS19187" s="47"/>
    </row>
    <row r="19188" spans="45:45">
      <c r="AS19188" s="47"/>
    </row>
    <row r="19189" spans="45:45">
      <c r="AS19189" s="47"/>
    </row>
    <row r="19190" spans="45:45">
      <c r="AS19190" s="47"/>
    </row>
    <row r="19191" spans="45:45">
      <c r="AS19191" s="47"/>
    </row>
    <row r="19192" spans="45:45">
      <c r="AS19192" s="47"/>
    </row>
    <row r="19193" spans="45:45">
      <c r="AS19193" s="47"/>
    </row>
    <row r="19194" spans="45:45">
      <c r="AS19194" s="47"/>
    </row>
    <row r="19195" spans="45:45">
      <c r="AS19195" s="47"/>
    </row>
    <row r="19196" spans="45:45">
      <c r="AS19196" s="47"/>
    </row>
    <row r="19197" spans="45:45">
      <c r="AS19197" s="47"/>
    </row>
    <row r="19198" spans="45:45">
      <c r="AS19198" s="47"/>
    </row>
    <row r="19199" spans="45:45">
      <c r="AS19199" s="47"/>
    </row>
    <row r="19200" spans="45:45">
      <c r="AS19200" s="47"/>
    </row>
    <row r="19201" spans="45:45">
      <c r="AS19201" s="47"/>
    </row>
    <row r="19202" spans="45:45">
      <c r="AS19202" s="47"/>
    </row>
    <row r="19203" spans="45:45">
      <c r="AS19203" s="47"/>
    </row>
    <row r="19204" spans="45:45">
      <c r="AS19204" s="47"/>
    </row>
    <row r="19205" spans="45:45">
      <c r="AS19205" s="47"/>
    </row>
    <row r="19206" spans="45:45">
      <c r="AS19206" s="47"/>
    </row>
    <row r="19207" spans="45:45">
      <c r="AS19207" s="47"/>
    </row>
    <row r="19208" spans="45:45">
      <c r="AS19208" s="47"/>
    </row>
    <row r="19209" spans="45:45">
      <c r="AS19209" s="47"/>
    </row>
    <row r="19210" spans="45:45">
      <c r="AS19210" s="47"/>
    </row>
    <row r="19211" spans="45:45">
      <c r="AS19211" s="47"/>
    </row>
    <row r="19212" spans="45:45">
      <c r="AS19212" s="47"/>
    </row>
    <row r="19213" spans="45:45">
      <c r="AS19213" s="47"/>
    </row>
    <row r="19214" spans="45:45">
      <c r="AS19214" s="47"/>
    </row>
    <row r="19215" spans="45:45">
      <c r="AS19215" s="47"/>
    </row>
    <row r="19216" spans="45:45">
      <c r="AS19216" s="47"/>
    </row>
    <row r="19217" spans="45:45">
      <c r="AS19217" s="47"/>
    </row>
    <row r="19218" spans="45:45">
      <c r="AS19218" s="47"/>
    </row>
    <row r="19219" spans="45:45">
      <c r="AS19219" s="47"/>
    </row>
    <row r="19220" spans="45:45">
      <c r="AS19220" s="47"/>
    </row>
    <row r="19221" spans="45:45">
      <c r="AS19221" s="47"/>
    </row>
    <row r="19222" spans="45:45">
      <c r="AS19222" s="47"/>
    </row>
    <row r="19223" spans="45:45">
      <c r="AS19223" s="47"/>
    </row>
    <row r="19224" spans="45:45">
      <c r="AS19224" s="47"/>
    </row>
    <row r="19225" spans="45:45">
      <c r="AS19225" s="47"/>
    </row>
    <row r="19226" spans="45:45">
      <c r="AS19226" s="47"/>
    </row>
    <row r="19227" spans="45:45">
      <c r="AS19227" s="47"/>
    </row>
    <row r="19228" spans="45:45">
      <c r="AS19228" s="47"/>
    </row>
    <row r="19229" spans="45:45">
      <c r="AS19229" s="47"/>
    </row>
    <row r="19230" spans="45:45">
      <c r="AS19230" s="47"/>
    </row>
    <row r="19231" spans="45:45">
      <c r="AS19231" s="47"/>
    </row>
    <row r="19232" spans="45:45">
      <c r="AS19232" s="47"/>
    </row>
    <row r="19233" spans="45:45">
      <c r="AS19233" s="47"/>
    </row>
    <row r="19234" spans="45:45">
      <c r="AS19234" s="47"/>
    </row>
    <row r="19235" spans="45:45">
      <c r="AS19235" s="47"/>
    </row>
    <row r="19236" spans="45:45">
      <c r="AS19236" s="47"/>
    </row>
    <row r="19237" spans="45:45">
      <c r="AS19237" s="47"/>
    </row>
    <row r="19238" spans="45:45">
      <c r="AS19238" s="47"/>
    </row>
    <row r="19239" spans="45:45">
      <c r="AS19239" s="47"/>
    </row>
    <row r="19240" spans="45:45">
      <c r="AS19240" s="47"/>
    </row>
    <row r="19241" spans="45:45">
      <c r="AS19241" s="47"/>
    </row>
    <row r="19242" spans="45:45">
      <c r="AS19242" s="47"/>
    </row>
    <row r="19243" spans="45:45">
      <c r="AS19243" s="47"/>
    </row>
    <row r="19244" spans="45:45">
      <c r="AS19244" s="47"/>
    </row>
    <row r="19245" spans="45:45">
      <c r="AS19245" s="47"/>
    </row>
    <row r="19246" spans="45:45">
      <c r="AS19246" s="47"/>
    </row>
    <row r="19247" spans="45:45">
      <c r="AS19247" s="47"/>
    </row>
    <row r="19248" spans="45:45">
      <c r="AS19248" s="47"/>
    </row>
    <row r="19249" spans="45:45">
      <c r="AS19249" s="47"/>
    </row>
    <row r="19250" spans="45:45">
      <c r="AS19250" s="47"/>
    </row>
    <row r="19251" spans="45:45">
      <c r="AS19251" s="47"/>
    </row>
    <row r="19252" spans="45:45">
      <c r="AS19252" s="47"/>
    </row>
    <row r="19253" spans="45:45">
      <c r="AS19253" s="47"/>
    </row>
    <row r="19254" spans="45:45">
      <c r="AS19254" s="47"/>
    </row>
    <row r="19255" spans="45:45">
      <c r="AS19255" s="47"/>
    </row>
    <row r="19256" spans="45:45">
      <c r="AS19256" s="47"/>
    </row>
    <row r="19257" spans="45:45">
      <c r="AS19257" s="47"/>
    </row>
    <row r="19258" spans="45:45">
      <c r="AS19258" s="47"/>
    </row>
    <row r="19259" spans="45:45">
      <c r="AS19259" s="47"/>
    </row>
    <row r="19260" spans="45:45">
      <c r="AS19260" s="47"/>
    </row>
    <row r="19261" spans="45:45">
      <c r="AS19261" s="47"/>
    </row>
    <row r="19262" spans="45:45">
      <c r="AS19262" s="47"/>
    </row>
    <row r="19263" spans="45:45">
      <c r="AS19263" s="47"/>
    </row>
    <row r="19264" spans="45:45">
      <c r="AS19264" s="47"/>
    </row>
    <row r="19265" spans="45:45">
      <c r="AS19265" s="47"/>
    </row>
    <row r="19266" spans="45:45">
      <c r="AS19266" s="47"/>
    </row>
    <row r="19267" spans="45:45">
      <c r="AS19267" s="47"/>
    </row>
    <row r="19268" spans="45:45">
      <c r="AS19268" s="47"/>
    </row>
    <row r="19269" spans="45:45">
      <c r="AS19269" s="47"/>
    </row>
    <row r="19270" spans="45:45">
      <c r="AS19270" s="47"/>
    </row>
    <row r="19271" spans="45:45">
      <c r="AS19271" s="47"/>
    </row>
    <row r="19272" spans="45:45">
      <c r="AS19272" s="47"/>
    </row>
    <row r="19273" spans="45:45">
      <c r="AS19273" s="47"/>
    </row>
    <row r="19274" spans="45:45">
      <c r="AS19274" s="47"/>
    </row>
    <row r="19275" spans="45:45">
      <c r="AS19275" s="47"/>
    </row>
    <row r="19276" spans="45:45">
      <c r="AS19276" s="47"/>
    </row>
    <row r="19277" spans="45:45">
      <c r="AS19277" s="47"/>
    </row>
    <row r="19278" spans="45:45">
      <c r="AS19278" s="47"/>
    </row>
    <row r="19279" spans="45:45">
      <c r="AS19279" s="47"/>
    </row>
    <row r="19280" spans="45:45">
      <c r="AS19280" s="47"/>
    </row>
    <row r="19281" spans="45:45">
      <c r="AS19281" s="47"/>
    </row>
    <row r="19282" spans="45:45">
      <c r="AS19282" s="47"/>
    </row>
    <row r="19283" spans="45:45">
      <c r="AS19283" s="47"/>
    </row>
    <row r="19284" spans="45:45">
      <c r="AS19284" s="47"/>
    </row>
    <row r="19285" spans="45:45">
      <c r="AS19285" s="47"/>
    </row>
    <row r="19286" spans="45:45">
      <c r="AS19286" s="47"/>
    </row>
    <row r="19287" spans="45:45">
      <c r="AS19287" s="47"/>
    </row>
    <row r="19288" spans="45:45">
      <c r="AS19288" s="47"/>
    </row>
    <row r="19289" spans="45:45">
      <c r="AS19289" s="47"/>
    </row>
    <row r="19290" spans="45:45">
      <c r="AS19290" s="47"/>
    </row>
    <row r="19291" spans="45:45">
      <c r="AS19291" s="47"/>
    </row>
    <row r="19292" spans="45:45">
      <c r="AS19292" s="47"/>
    </row>
    <row r="19293" spans="45:45">
      <c r="AS19293" s="47"/>
    </row>
    <row r="19294" spans="45:45">
      <c r="AS19294" s="47"/>
    </row>
    <row r="19295" spans="45:45">
      <c r="AS19295" s="47"/>
    </row>
    <row r="19296" spans="45:45">
      <c r="AS19296" s="47"/>
    </row>
    <row r="19297" spans="45:45">
      <c r="AS19297" s="47"/>
    </row>
    <row r="19298" spans="45:45">
      <c r="AS19298" s="47"/>
    </row>
    <row r="19299" spans="45:45">
      <c r="AS19299" s="47"/>
    </row>
    <row r="19300" spans="45:45">
      <c r="AS19300" s="47"/>
    </row>
    <row r="19301" spans="45:45">
      <c r="AS19301" s="47"/>
    </row>
    <row r="19302" spans="45:45">
      <c r="AS19302" s="47"/>
    </row>
    <row r="19303" spans="45:45">
      <c r="AS19303" s="47"/>
    </row>
    <row r="19304" spans="45:45">
      <c r="AS19304" s="47"/>
    </row>
    <row r="19305" spans="45:45">
      <c r="AS19305" s="47"/>
    </row>
    <row r="19306" spans="45:45">
      <c r="AS19306" s="47"/>
    </row>
    <row r="19307" spans="45:45">
      <c r="AS19307" s="47"/>
    </row>
    <row r="19308" spans="45:45">
      <c r="AS19308" s="47"/>
    </row>
    <row r="19309" spans="45:45">
      <c r="AS19309" s="47"/>
    </row>
    <row r="19310" spans="45:45">
      <c r="AS19310" s="47"/>
    </row>
    <row r="19311" spans="45:45">
      <c r="AS19311" s="47"/>
    </row>
    <row r="19312" spans="45:45">
      <c r="AS19312" s="47"/>
    </row>
    <row r="19313" spans="45:45">
      <c r="AS19313" s="47"/>
    </row>
    <row r="19314" spans="45:45">
      <c r="AS19314" s="47"/>
    </row>
    <row r="19315" spans="45:45">
      <c r="AS19315" s="47"/>
    </row>
    <row r="19316" spans="45:45">
      <c r="AS19316" s="47"/>
    </row>
    <row r="19317" spans="45:45">
      <c r="AS19317" s="47"/>
    </row>
    <row r="19318" spans="45:45">
      <c r="AS19318" s="47"/>
    </row>
    <row r="19319" spans="45:45">
      <c r="AS19319" s="47"/>
    </row>
    <row r="19320" spans="45:45">
      <c r="AS19320" s="47"/>
    </row>
    <row r="19321" spans="45:45">
      <c r="AS19321" s="47"/>
    </row>
    <row r="19322" spans="45:45">
      <c r="AS19322" s="47"/>
    </row>
    <row r="19323" spans="45:45">
      <c r="AS19323" s="47"/>
    </row>
    <row r="19324" spans="45:45">
      <c r="AS19324" s="47"/>
    </row>
    <row r="19325" spans="45:45">
      <c r="AS19325" s="47"/>
    </row>
    <row r="19326" spans="45:45">
      <c r="AS19326" s="47"/>
    </row>
    <row r="19327" spans="45:45">
      <c r="AS19327" s="47"/>
    </row>
    <row r="19328" spans="45:45">
      <c r="AS19328" s="47"/>
    </row>
    <row r="19329" spans="45:45">
      <c r="AS19329" s="47"/>
    </row>
    <row r="19330" spans="45:45">
      <c r="AS19330" s="47"/>
    </row>
    <row r="19331" spans="45:45">
      <c r="AS19331" s="47"/>
    </row>
    <row r="19332" spans="45:45">
      <c r="AS19332" s="47"/>
    </row>
    <row r="19333" spans="45:45">
      <c r="AS19333" s="47"/>
    </row>
    <row r="19334" spans="45:45">
      <c r="AS19334" s="47"/>
    </row>
    <row r="19335" spans="45:45">
      <c r="AS19335" s="47"/>
    </row>
    <row r="19336" spans="45:45">
      <c r="AS19336" s="47"/>
    </row>
    <row r="19337" spans="45:45">
      <c r="AS19337" s="47"/>
    </row>
    <row r="19338" spans="45:45">
      <c r="AS19338" s="47"/>
    </row>
    <row r="19339" spans="45:45">
      <c r="AS19339" s="47"/>
    </row>
    <row r="19340" spans="45:45">
      <c r="AS19340" s="47"/>
    </row>
    <row r="19341" spans="45:45">
      <c r="AS19341" s="47"/>
    </row>
    <row r="19342" spans="45:45">
      <c r="AS19342" s="47"/>
    </row>
    <row r="19343" spans="45:45">
      <c r="AS19343" s="47"/>
    </row>
    <row r="19344" spans="45:45">
      <c r="AS19344" s="47"/>
    </row>
    <row r="19345" spans="45:45">
      <c r="AS19345" s="47"/>
    </row>
    <row r="19346" spans="45:45">
      <c r="AS19346" s="47"/>
    </row>
    <row r="19347" spans="45:45">
      <c r="AS19347" s="47"/>
    </row>
    <row r="19348" spans="45:45">
      <c r="AS19348" s="47"/>
    </row>
    <row r="19349" spans="45:45">
      <c r="AS19349" s="47"/>
    </row>
    <row r="19350" spans="45:45">
      <c r="AS19350" s="47"/>
    </row>
    <row r="19351" spans="45:45">
      <c r="AS19351" s="47"/>
    </row>
    <row r="19352" spans="45:45">
      <c r="AS19352" s="47"/>
    </row>
    <row r="19353" spans="45:45">
      <c r="AS19353" s="47"/>
    </row>
    <row r="19354" spans="45:45">
      <c r="AS19354" s="47"/>
    </row>
    <row r="19355" spans="45:45">
      <c r="AS19355" s="47"/>
    </row>
    <row r="19356" spans="45:45">
      <c r="AS19356" s="47"/>
    </row>
    <row r="19357" spans="45:45">
      <c r="AS19357" s="47"/>
    </row>
    <row r="19358" spans="45:45">
      <c r="AS19358" s="47"/>
    </row>
    <row r="19359" spans="45:45">
      <c r="AS19359" s="47"/>
    </row>
    <row r="19360" spans="45:45">
      <c r="AS19360" s="47"/>
    </row>
    <row r="19361" spans="45:45">
      <c r="AS19361" s="47"/>
    </row>
    <row r="19362" spans="45:45">
      <c r="AS19362" s="47"/>
    </row>
    <row r="19363" spans="45:45">
      <c r="AS19363" s="47"/>
    </row>
    <row r="19364" spans="45:45">
      <c r="AS19364" s="47"/>
    </row>
    <row r="19365" spans="45:45">
      <c r="AS19365" s="47"/>
    </row>
    <row r="19366" spans="45:45">
      <c r="AS19366" s="47"/>
    </row>
    <row r="19367" spans="45:45">
      <c r="AS19367" s="47"/>
    </row>
    <row r="19368" spans="45:45">
      <c r="AS19368" s="47"/>
    </row>
    <row r="19369" spans="45:45">
      <c r="AS19369" s="47"/>
    </row>
    <row r="19370" spans="45:45">
      <c r="AS19370" s="47"/>
    </row>
    <row r="19371" spans="45:45">
      <c r="AS19371" s="47"/>
    </row>
    <row r="19372" spans="45:45">
      <c r="AS19372" s="47"/>
    </row>
    <row r="19373" spans="45:45">
      <c r="AS19373" s="47"/>
    </row>
    <row r="19374" spans="45:45">
      <c r="AS19374" s="47"/>
    </row>
    <row r="19375" spans="45:45">
      <c r="AS19375" s="47"/>
    </row>
    <row r="19376" spans="45:45">
      <c r="AS19376" s="47"/>
    </row>
    <row r="19377" spans="45:45">
      <c r="AS19377" s="47"/>
    </row>
    <row r="19378" spans="45:45">
      <c r="AS19378" s="47"/>
    </row>
    <row r="19379" spans="45:45">
      <c r="AS19379" s="47"/>
    </row>
    <row r="19380" spans="45:45">
      <c r="AS19380" s="47"/>
    </row>
    <row r="19381" spans="45:45">
      <c r="AS19381" s="47"/>
    </row>
    <row r="19382" spans="45:45">
      <c r="AS19382" s="47"/>
    </row>
    <row r="19383" spans="45:45">
      <c r="AS19383" s="47"/>
    </row>
    <row r="19384" spans="45:45">
      <c r="AS19384" s="47"/>
    </row>
    <row r="19385" spans="45:45">
      <c r="AS19385" s="47"/>
    </row>
    <row r="19386" spans="45:45">
      <c r="AS19386" s="47"/>
    </row>
    <row r="19387" spans="45:45">
      <c r="AS19387" s="47"/>
    </row>
    <row r="19388" spans="45:45">
      <c r="AS19388" s="47"/>
    </row>
    <row r="19389" spans="45:45">
      <c r="AS19389" s="47"/>
    </row>
    <row r="19390" spans="45:45">
      <c r="AS19390" s="47"/>
    </row>
    <row r="19391" spans="45:45">
      <c r="AS19391" s="47"/>
    </row>
    <row r="19392" spans="45:45">
      <c r="AS19392" s="47"/>
    </row>
    <row r="19393" spans="45:45">
      <c r="AS19393" s="47"/>
    </row>
    <row r="19394" spans="45:45">
      <c r="AS19394" s="47"/>
    </row>
    <row r="19395" spans="45:45">
      <c r="AS19395" s="47"/>
    </row>
    <row r="19396" spans="45:45">
      <c r="AS19396" s="47"/>
    </row>
    <row r="19397" spans="45:45">
      <c r="AS19397" s="47"/>
    </row>
    <row r="19398" spans="45:45">
      <c r="AS19398" s="47"/>
    </row>
    <row r="19399" spans="45:45">
      <c r="AS19399" s="47"/>
    </row>
    <row r="19400" spans="45:45">
      <c r="AS19400" s="47"/>
    </row>
    <row r="19401" spans="45:45">
      <c r="AS19401" s="47"/>
    </row>
    <row r="19402" spans="45:45">
      <c r="AS19402" s="47"/>
    </row>
    <row r="19403" spans="45:45">
      <c r="AS19403" s="47"/>
    </row>
    <row r="19404" spans="45:45">
      <c r="AS19404" s="47"/>
    </row>
    <row r="19405" spans="45:45">
      <c r="AS19405" s="47"/>
    </row>
    <row r="19406" spans="45:45">
      <c r="AS19406" s="47"/>
    </row>
    <row r="19407" spans="45:45">
      <c r="AS19407" s="47"/>
    </row>
    <row r="19408" spans="45:45">
      <c r="AS19408" s="47"/>
    </row>
    <row r="19409" spans="45:45">
      <c r="AS19409" s="47"/>
    </row>
    <row r="19410" spans="45:45">
      <c r="AS19410" s="47"/>
    </row>
    <row r="19411" spans="45:45">
      <c r="AS19411" s="47"/>
    </row>
    <row r="19412" spans="45:45">
      <c r="AS19412" s="47"/>
    </row>
    <row r="19413" spans="45:45">
      <c r="AS19413" s="47"/>
    </row>
    <row r="19414" spans="45:45">
      <c r="AS19414" s="47"/>
    </row>
    <row r="19415" spans="45:45">
      <c r="AS19415" s="47"/>
    </row>
    <row r="19416" spans="45:45">
      <c r="AS19416" s="47"/>
    </row>
    <row r="19417" spans="45:45">
      <c r="AS19417" s="47"/>
    </row>
    <row r="19418" spans="45:45">
      <c r="AS19418" s="47"/>
    </row>
    <row r="19419" spans="45:45">
      <c r="AS19419" s="47"/>
    </row>
    <row r="19420" spans="45:45">
      <c r="AS19420" s="47"/>
    </row>
    <row r="19421" spans="45:45">
      <c r="AS19421" s="47"/>
    </row>
    <row r="19422" spans="45:45">
      <c r="AS19422" s="47"/>
    </row>
    <row r="19423" spans="45:45">
      <c r="AS19423" s="47"/>
    </row>
    <row r="19424" spans="45:45">
      <c r="AS19424" s="47"/>
    </row>
    <row r="19425" spans="45:45">
      <c r="AS19425" s="47"/>
    </row>
    <row r="19426" spans="45:45">
      <c r="AS19426" s="47"/>
    </row>
    <row r="19427" spans="45:45">
      <c r="AS19427" s="47"/>
    </row>
    <row r="19428" spans="45:45">
      <c r="AS19428" s="47"/>
    </row>
    <row r="19429" spans="45:45">
      <c r="AS19429" s="47"/>
    </row>
    <row r="19430" spans="45:45">
      <c r="AS19430" s="47"/>
    </row>
    <row r="19431" spans="45:45">
      <c r="AS19431" s="47"/>
    </row>
    <row r="19432" spans="45:45">
      <c r="AS19432" s="47"/>
    </row>
    <row r="19433" spans="45:45">
      <c r="AS19433" s="47"/>
    </row>
    <row r="19434" spans="45:45">
      <c r="AS19434" s="47"/>
    </row>
    <row r="19435" spans="45:45">
      <c r="AS19435" s="47"/>
    </row>
    <row r="19436" spans="45:45">
      <c r="AS19436" s="47"/>
    </row>
    <row r="19437" spans="45:45">
      <c r="AS19437" s="47"/>
    </row>
    <row r="19438" spans="45:45">
      <c r="AS19438" s="47"/>
    </row>
    <row r="19439" spans="45:45">
      <c r="AS19439" s="47"/>
    </row>
    <row r="19440" spans="45:45">
      <c r="AS19440" s="47"/>
    </row>
    <row r="19441" spans="45:45">
      <c r="AS19441" s="47"/>
    </row>
    <row r="19442" spans="45:45">
      <c r="AS19442" s="47"/>
    </row>
    <row r="19443" spans="45:45">
      <c r="AS19443" s="47"/>
    </row>
    <row r="19444" spans="45:45">
      <c r="AS19444" s="47"/>
    </row>
    <row r="19445" spans="45:45">
      <c r="AS19445" s="47"/>
    </row>
    <row r="19446" spans="45:45">
      <c r="AS19446" s="47"/>
    </row>
    <row r="19447" spans="45:45">
      <c r="AS19447" s="47"/>
    </row>
    <row r="19448" spans="45:45">
      <c r="AS19448" s="47"/>
    </row>
    <row r="19449" spans="45:45">
      <c r="AS19449" s="47"/>
    </row>
    <row r="19450" spans="45:45">
      <c r="AS19450" s="47"/>
    </row>
    <row r="19451" spans="45:45">
      <c r="AS19451" s="47"/>
    </row>
    <row r="19452" spans="45:45">
      <c r="AS19452" s="47"/>
    </row>
    <row r="19453" spans="45:45">
      <c r="AS19453" s="47"/>
    </row>
    <row r="19454" spans="45:45">
      <c r="AS19454" s="47"/>
    </row>
    <row r="19455" spans="45:45">
      <c r="AS19455" s="47"/>
    </row>
    <row r="19456" spans="45:45">
      <c r="AS19456" s="47"/>
    </row>
    <row r="19457" spans="45:45">
      <c r="AS19457" s="47"/>
    </row>
    <row r="19458" spans="45:45">
      <c r="AS19458" s="47"/>
    </row>
    <row r="19459" spans="45:45">
      <c r="AS19459" s="47"/>
    </row>
    <row r="19460" spans="45:45">
      <c r="AS19460" s="47"/>
    </row>
    <row r="19461" spans="45:45">
      <c r="AS19461" s="47"/>
    </row>
    <row r="19462" spans="45:45">
      <c r="AS19462" s="47"/>
    </row>
    <row r="19463" spans="45:45">
      <c r="AS19463" s="47"/>
    </row>
    <row r="19464" spans="45:45">
      <c r="AS19464" s="47"/>
    </row>
    <row r="19465" spans="45:45">
      <c r="AS19465" s="47"/>
    </row>
    <row r="19466" spans="45:45">
      <c r="AS19466" s="47"/>
    </row>
    <row r="19467" spans="45:45">
      <c r="AS19467" s="47"/>
    </row>
    <row r="19468" spans="45:45">
      <c r="AS19468" s="47"/>
    </row>
    <row r="19469" spans="45:45">
      <c r="AS19469" s="47"/>
    </row>
    <row r="19470" spans="45:45">
      <c r="AS19470" s="47"/>
    </row>
    <row r="19471" spans="45:45">
      <c r="AS19471" s="47"/>
    </row>
    <row r="19472" spans="45:45">
      <c r="AS19472" s="47"/>
    </row>
    <row r="19473" spans="45:45">
      <c r="AS19473" s="47"/>
    </row>
    <row r="19474" spans="45:45">
      <c r="AS19474" s="47"/>
    </row>
    <row r="19475" spans="45:45">
      <c r="AS19475" s="47"/>
    </row>
    <row r="19476" spans="45:45">
      <c r="AS19476" s="47"/>
    </row>
    <row r="19477" spans="45:45">
      <c r="AS19477" s="47"/>
    </row>
    <row r="19478" spans="45:45">
      <c r="AS19478" s="47"/>
    </row>
    <row r="19479" spans="45:45">
      <c r="AS19479" s="47"/>
    </row>
    <row r="19480" spans="45:45">
      <c r="AS19480" s="47"/>
    </row>
    <row r="19481" spans="45:45">
      <c r="AS19481" s="47"/>
    </row>
    <row r="19482" spans="45:45">
      <c r="AS19482" s="47"/>
    </row>
    <row r="19483" spans="45:45">
      <c r="AS19483" s="47"/>
    </row>
    <row r="19484" spans="45:45">
      <c r="AS19484" s="47"/>
    </row>
    <row r="19485" spans="45:45">
      <c r="AS19485" s="47"/>
    </row>
    <row r="19486" spans="45:45">
      <c r="AS19486" s="47"/>
    </row>
    <row r="19487" spans="45:45">
      <c r="AS19487" s="47"/>
    </row>
    <row r="19488" spans="45:45">
      <c r="AS19488" s="47"/>
    </row>
    <row r="19489" spans="45:45">
      <c r="AS19489" s="47"/>
    </row>
    <row r="19490" spans="45:45">
      <c r="AS19490" s="47"/>
    </row>
    <row r="19491" spans="45:45">
      <c r="AS19491" s="47"/>
    </row>
    <row r="19492" spans="45:45">
      <c r="AS19492" s="47"/>
    </row>
    <row r="19493" spans="45:45">
      <c r="AS19493" s="47"/>
    </row>
    <row r="19494" spans="45:45">
      <c r="AS19494" s="47"/>
    </row>
    <row r="19495" spans="45:45">
      <c r="AS19495" s="47"/>
    </row>
    <row r="19496" spans="45:45">
      <c r="AS19496" s="47"/>
    </row>
    <row r="19497" spans="45:45">
      <c r="AS19497" s="47"/>
    </row>
    <row r="19498" spans="45:45">
      <c r="AS19498" s="47"/>
    </row>
    <row r="19499" spans="45:45">
      <c r="AS19499" s="47"/>
    </row>
    <row r="19500" spans="45:45">
      <c r="AS19500" s="47"/>
    </row>
    <row r="19501" spans="45:45">
      <c r="AS19501" s="47"/>
    </row>
    <row r="19502" spans="45:45">
      <c r="AS19502" s="47"/>
    </row>
    <row r="19503" spans="45:45">
      <c r="AS19503" s="47"/>
    </row>
    <row r="19504" spans="45:45">
      <c r="AS19504" s="47"/>
    </row>
    <row r="19505" spans="45:45">
      <c r="AS19505" s="47"/>
    </row>
    <row r="19506" spans="45:45">
      <c r="AS19506" s="47"/>
    </row>
    <row r="19507" spans="45:45">
      <c r="AS19507" s="47"/>
    </row>
    <row r="19508" spans="45:45">
      <c r="AS19508" s="47"/>
    </row>
    <row r="19509" spans="45:45">
      <c r="AS19509" s="47"/>
    </row>
    <row r="19510" spans="45:45">
      <c r="AS19510" s="47"/>
    </row>
    <row r="19511" spans="45:45">
      <c r="AS19511" s="47"/>
    </row>
    <row r="19512" spans="45:45">
      <c r="AS19512" s="47"/>
    </row>
    <row r="19513" spans="45:45">
      <c r="AS19513" s="47"/>
    </row>
    <row r="19514" spans="45:45">
      <c r="AS19514" s="47"/>
    </row>
    <row r="19515" spans="45:45">
      <c r="AS19515" s="47"/>
    </row>
    <row r="19516" spans="45:45">
      <c r="AS19516" s="47"/>
    </row>
    <row r="19517" spans="45:45">
      <c r="AS19517" s="47"/>
    </row>
    <row r="19518" spans="45:45">
      <c r="AS19518" s="47"/>
    </row>
    <row r="19519" spans="45:45">
      <c r="AS19519" s="47"/>
    </row>
    <row r="19520" spans="45:45">
      <c r="AS19520" s="47"/>
    </row>
    <row r="19521" spans="45:45">
      <c r="AS19521" s="47"/>
    </row>
    <row r="19522" spans="45:45">
      <c r="AS19522" s="47"/>
    </row>
    <row r="19523" spans="45:45">
      <c r="AS19523" s="47"/>
    </row>
    <row r="19524" spans="45:45">
      <c r="AS19524" s="47"/>
    </row>
    <row r="19525" spans="45:45">
      <c r="AS19525" s="47"/>
    </row>
    <row r="19526" spans="45:45">
      <c r="AS19526" s="47"/>
    </row>
    <row r="19527" spans="45:45">
      <c r="AS19527" s="47"/>
    </row>
    <row r="19528" spans="45:45">
      <c r="AS19528" s="47"/>
    </row>
    <row r="19529" spans="45:45">
      <c r="AS19529" s="47"/>
    </row>
    <row r="19530" spans="45:45">
      <c r="AS19530" s="47"/>
    </row>
    <row r="19531" spans="45:45">
      <c r="AS19531" s="47"/>
    </row>
    <row r="19532" spans="45:45">
      <c r="AS19532" s="47"/>
    </row>
    <row r="19533" spans="45:45">
      <c r="AS19533" s="47"/>
    </row>
    <row r="19534" spans="45:45">
      <c r="AS19534" s="47"/>
    </row>
    <row r="19535" spans="45:45">
      <c r="AS19535" s="47"/>
    </row>
    <row r="19536" spans="45:45">
      <c r="AS19536" s="47"/>
    </row>
    <row r="19537" spans="45:45">
      <c r="AS19537" s="47"/>
    </row>
    <row r="19538" spans="45:45">
      <c r="AS19538" s="47"/>
    </row>
    <row r="19539" spans="45:45">
      <c r="AS19539" s="47"/>
    </row>
    <row r="19540" spans="45:45">
      <c r="AS19540" s="47"/>
    </row>
    <row r="19541" spans="45:45">
      <c r="AS19541" s="47"/>
    </row>
    <row r="19542" spans="45:45">
      <c r="AS19542" s="47"/>
    </row>
    <row r="19543" spans="45:45">
      <c r="AS19543" s="47"/>
    </row>
    <row r="19544" spans="45:45">
      <c r="AS19544" s="47"/>
    </row>
    <row r="19545" spans="45:45">
      <c r="AS19545" s="47"/>
    </row>
    <row r="19546" spans="45:45">
      <c r="AS19546" s="47"/>
    </row>
    <row r="19547" spans="45:45">
      <c r="AS19547" s="47"/>
    </row>
    <row r="19548" spans="45:45">
      <c r="AS19548" s="47"/>
    </row>
    <row r="19549" spans="45:45">
      <c r="AS19549" s="47"/>
    </row>
    <row r="19550" spans="45:45">
      <c r="AS19550" s="47"/>
    </row>
    <row r="19551" spans="45:45">
      <c r="AS19551" s="47"/>
    </row>
    <row r="19552" spans="45:45">
      <c r="AS19552" s="47"/>
    </row>
    <row r="19553" spans="45:45">
      <c r="AS19553" s="47"/>
    </row>
    <row r="19554" spans="45:45">
      <c r="AS19554" s="47"/>
    </row>
    <row r="19555" spans="45:45">
      <c r="AS19555" s="47"/>
    </row>
    <row r="19556" spans="45:45">
      <c r="AS19556" s="47"/>
    </row>
    <row r="19557" spans="45:45">
      <c r="AS19557" s="47"/>
    </row>
    <row r="19558" spans="45:45">
      <c r="AS19558" s="47"/>
    </row>
    <row r="19559" spans="45:45">
      <c r="AS19559" s="47"/>
    </row>
    <row r="19560" spans="45:45">
      <c r="AS19560" s="47"/>
    </row>
    <row r="19561" spans="45:45">
      <c r="AS19561" s="47"/>
    </row>
    <row r="19562" spans="45:45">
      <c r="AS19562" s="47"/>
    </row>
    <row r="19563" spans="45:45">
      <c r="AS19563" s="47"/>
    </row>
    <row r="19564" spans="45:45">
      <c r="AS19564" s="47"/>
    </row>
    <row r="19565" spans="45:45">
      <c r="AS19565" s="47"/>
    </row>
    <row r="19566" spans="45:45">
      <c r="AS19566" s="47"/>
    </row>
    <row r="19567" spans="45:45">
      <c r="AS19567" s="47"/>
    </row>
    <row r="19568" spans="45:45">
      <c r="AS19568" s="47"/>
    </row>
    <row r="19569" spans="45:45">
      <c r="AS19569" s="47"/>
    </row>
    <row r="19570" spans="45:45">
      <c r="AS19570" s="47"/>
    </row>
    <row r="19571" spans="45:45">
      <c r="AS19571" s="47"/>
    </row>
    <row r="19572" spans="45:45">
      <c r="AS19572" s="47"/>
    </row>
    <row r="19573" spans="45:45">
      <c r="AS19573" s="47"/>
    </row>
    <row r="19574" spans="45:45">
      <c r="AS19574" s="47"/>
    </row>
    <row r="19575" spans="45:45">
      <c r="AS19575" s="47"/>
    </row>
    <row r="19576" spans="45:45">
      <c r="AS19576" s="47"/>
    </row>
    <row r="19577" spans="45:45">
      <c r="AS19577" s="47"/>
    </row>
    <row r="19578" spans="45:45">
      <c r="AS19578" s="47"/>
    </row>
    <row r="19579" spans="45:45">
      <c r="AS19579" s="47"/>
    </row>
    <row r="19580" spans="45:45">
      <c r="AS19580" s="47"/>
    </row>
    <row r="19581" spans="45:45">
      <c r="AS19581" s="47"/>
    </row>
    <row r="19582" spans="45:45">
      <c r="AS19582" s="47"/>
    </row>
    <row r="19583" spans="45:45">
      <c r="AS19583" s="47"/>
    </row>
    <row r="19584" spans="45:45">
      <c r="AS19584" s="47"/>
    </row>
    <row r="19585" spans="45:45">
      <c r="AS19585" s="47"/>
    </row>
    <row r="19586" spans="45:45">
      <c r="AS19586" s="47"/>
    </row>
    <row r="19587" spans="45:45">
      <c r="AS19587" s="47"/>
    </row>
    <row r="19588" spans="45:45">
      <c r="AS19588" s="47"/>
    </row>
    <row r="19589" spans="45:45">
      <c r="AS19589" s="47"/>
    </row>
    <row r="19590" spans="45:45">
      <c r="AS19590" s="47"/>
    </row>
    <row r="19591" spans="45:45">
      <c r="AS19591" s="47"/>
    </row>
    <row r="19592" spans="45:45">
      <c r="AS19592" s="47"/>
    </row>
    <row r="19593" spans="45:45">
      <c r="AS19593" s="47"/>
    </row>
    <row r="19594" spans="45:45">
      <c r="AS19594" s="47"/>
    </row>
    <row r="19595" spans="45:45">
      <c r="AS19595" s="47"/>
    </row>
    <row r="19596" spans="45:45">
      <c r="AS19596" s="47"/>
    </row>
    <row r="19597" spans="45:45">
      <c r="AS19597" s="47"/>
    </row>
    <row r="19598" spans="45:45">
      <c r="AS19598" s="47"/>
    </row>
    <row r="19599" spans="45:45">
      <c r="AS19599" s="47"/>
    </row>
    <row r="19600" spans="45:45">
      <c r="AS19600" s="47"/>
    </row>
    <row r="19601" spans="45:45">
      <c r="AS19601" s="47"/>
    </row>
    <row r="19602" spans="45:45">
      <c r="AS19602" s="47"/>
    </row>
    <row r="19603" spans="45:45">
      <c r="AS19603" s="47"/>
    </row>
    <row r="19604" spans="45:45">
      <c r="AS19604" s="47"/>
    </row>
    <row r="19605" spans="45:45">
      <c r="AS19605" s="47"/>
    </row>
    <row r="19606" spans="45:45">
      <c r="AS19606" s="47"/>
    </row>
    <row r="19607" spans="45:45">
      <c r="AS19607" s="47"/>
    </row>
    <row r="19608" spans="45:45">
      <c r="AS19608" s="47"/>
    </row>
    <row r="19609" spans="45:45">
      <c r="AS19609" s="47"/>
    </row>
    <row r="19610" spans="45:45">
      <c r="AS19610" s="47"/>
    </row>
    <row r="19611" spans="45:45">
      <c r="AS19611" s="47"/>
    </row>
    <row r="19612" spans="45:45">
      <c r="AS19612" s="47"/>
    </row>
    <row r="19613" spans="45:45">
      <c r="AS19613" s="47"/>
    </row>
    <row r="19614" spans="45:45">
      <c r="AS19614" s="47"/>
    </row>
    <row r="19615" spans="45:45">
      <c r="AS19615" s="47"/>
    </row>
    <row r="19616" spans="45:45">
      <c r="AS19616" s="47"/>
    </row>
    <row r="19617" spans="45:45">
      <c r="AS19617" s="47"/>
    </row>
    <row r="19618" spans="45:45">
      <c r="AS19618" s="47"/>
    </row>
    <row r="19619" spans="45:45">
      <c r="AS19619" s="47"/>
    </row>
    <row r="19620" spans="45:45">
      <c r="AS19620" s="47"/>
    </row>
    <row r="19621" spans="45:45">
      <c r="AS19621" s="47"/>
    </row>
    <row r="19622" spans="45:45">
      <c r="AS19622" s="47"/>
    </row>
    <row r="19623" spans="45:45">
      <c r="AS19623" s="47"/>
    </row>
    <row r="19624" spans="45:45">
      <c r="AS19624" s="47"/>
    </row>
    <row r="19625" spans="45:45">
      <c r="AS19625" s="47"/>
    </row>
    <row r="19626" spans="45:45">
      <c r="AS19626" s="47"/>
    </row>
    <row r="19627" spans="45:45">
      <c r="AS19627" s="47"/>
    </row>
    <row r="19628" spans="45:45">
      <c r="AS19628" s="47"/>
    </row>
    <row r="19629" spans="45:45">
      <c r="AS19629" s="47"/>
    </row>
    <row r="19630" spans="45:45">
      <c r="AS19630" s="47"/>
    </row>
    <row r="19631" spans="45:45">
      <c r="AS19631" s="47"/>
    </row>
    <row r="19632" spans="45:45">
      <c r="AS19632" s="47"/>
    </row>
    <row r="19633" spans="45:45">
      <c r="AS19633" s="47"/>
    </row>
    <row r="19634" spans="45:45">
      <c r="AS19634" s="47"/>
    </row>
    <row r="19635" spans="45:45">
      <c r="AS19635" s="47"/>
    </row>
    <row r="19636" spans="45:45">
      <c r="AS19636" s="47"/>
    </row>
    <row r="19637" spans="45:45">
      <c r="AS19637" s="47"/>
    </row>
    <row r="19638" spans="45:45">
      <c r="AS19638" s="47"/>
    </row>
    <row r="19639" spans="45:45">
      <c r="AS19639" s="47"/>
    </row>
    <row r="19640" spans="45:45">
      <c r="AS19640" s="47"/>
    </row>
    <row r="19641" spans="45:45">
      <c r="AS19641" s="47"/>
    </row>
    <row r="19642" spans="45:45">
      <c r="AS19642" s="47"/>
    </row>
    <row r="19643" spans="45:45">
      <c r="AS19643" s="47"/>
    </row>
    <row r="19644" spans="45:45">
      <c r="AS19644" s="47"/>
    </row>
    <row r="19645" spans="45:45">
      <c r="AS19645" s="47"/>
    </row>
    <row r="19646" spans="45:45">
      <c r="AS19646" s="47"/>
    </row>
    <row r="19647" spans="45:45">
      <c r="AS19647" s="47"/>
    </row>
    <row r="19648" spans="45:45">
      <c r="AS19648" s="47"/>
    </row>
    <row r="19649" spans="45:45">
      <c r="AS19649" s="47"/>
    </row>
    <row r="19650" spans="45:45">
      <c r="AS19650" s="47"/>
    </row>
    <row r="19651" spans="45:45">
      <c r="AS19651" s="47"/>
    </row>
    <row r="19652" spans="45:45">
      <c r="AS19652" s="47"/>
    </row>
    <row r="19653" spans="45:45">
      <c r="AS19653" s="47"/>
    </row>
    <row r="19654" spans="45:45">
      <c r="AS19654" s="47"/>
    </row>
    <row r="19655" spans="45:45">
      <c r="AS19655" s="47"/>
    </row>
    <row r="19656" spans="45:45">
      <c r="AS19656" s="47"/>
    </row>
    <row r="19657" spans="45:45">
      <c r="AS19657" s="47"/>
    </row>
    <row r="19658" spans="45:45">
      <c r="AS19658" s="47"/>
    </row>
    <row r="19659" spans="45:45">
      <c r="AS19659" s="47"/>
    </row>
    <row r="19660" spans="45:45">
      <c r="AS19660" s="47"/>
    </row>
    <row r="19661" spans="45:45">
      <c r="AS19661" s="47"/>
    </row>
    <row r="19662" spans="45:45">
      <c r="AS19662" s="47"/>
    </row>
    <row r="19663" spans="45:45">
      <c r="AS19663" s="47"/>
    </row>
    <row r="19664" spans="45:45">
      <c r="AS19664" s="47"/>
    </row>
    <row r="19665" spans="45:45">
      <c r="AS19665" s="47"/>
    </row>
    <row r="19666" spans="45:45">
      <c r="AS19666" s="47"/>
    </row>
    <row r="19667" spans="45:45">
      <c r="AS19667" s="47"/>
    </row>
    <row r="19668" spans="45:45">
      <c r="AS19668" s="47"/>
    </row>
    <row r="19669" spans="45:45">
      <c r="AS19669" s="47"/>
    </row>
    <row r="19670" spans="45:45">
      <c r="AS19670" s="47"/>
    </row>
    <row r="19671" spans="45:45">
      <c r="AS19671" s="47"/>
    </row>
    <row r="19672" spans="45:45">
      <c r="AS19672" s="47"/>
    </row>
    <row r="19673" spans="45:45">
      <c r="AS19673" s="47"/>
    </row>
    <row r="19674" spans="45:45">
      <c r="AS19674" s="47"/>
    </row>
    <row r="19675" spans="45:45">
      <c r="AS19675" s="47"/>
    </row>
    <row r="19676" spans="45:45">
      <c r="AS19676" s="47"/>
    </row>
    <row r="19677" spans="45:45">
      <c r="AS19677" s="47"/>
    </row>
    <row r="19678" spans="45:45">
      <c r="AS19678" s="47"/>
    </row>
    <row r="19679" spans="45:45">
      <c r="AS19679" s="47"/>
    </row>
    <row r="19680" spans="45:45">
      <c r="AS19680" s="47"/>
    </row>
    <row r="19681" spans="45:45">
      <c r="AS19681" s="47"/>
    </row>
    <row r="19682" spans="45:45">
      <c r="AS19682" s="47"/>
    </row>
    <row r="19683" spans="45:45">
      <c r="AS19683" s="47"/>
    </row>
    <row r="19684" spans="45:45">
      <c r="AS19684" s="47"/>
    </row>
    <row r="19685" spans="45:45">
      <c r="AS19685" s="47"/>
    </row>
    <row r="19686" spans="45:45">
      <c r="AS19686" s="47"/>
    </row>
    <row r="19687" spans="45:45">
      <c r="AS19687" s="47"/>
    </row>
    <row r="19688" spans="45:45">
      <c r="AS19688" s="47"/>
    </row>
    <row r="19689" spans="45:45">
      <c r="AS19689" s="47"/>
    </row>
    <row r="19690" spans="45:45">
      <c r="AS19690" s="47"/>
    </row>
    <row r="19691" spans="45:45">
      <c r="AS19691" s="47"/>
    </row>
    <row r="19692" spans="45:45">
      <c r="AS19692" s="47"/>
    </row>
    <row r="19693" spans="45:45">
      <c r="AS19693" s="47"/>
    </row>
    <row r="19694" spans="45:45">
      <c r="AS19694" s="47"/>
    </row>
    <row r="19695" spans="45:45">
      <c r="AS19695" s="47"/>
    </row>
    <row r="19696" spans="45:45">
      <c r="AS19696" s="47"/>
    </row>
    <row r="19697" spans="45:45">
      <c r="AS19697" s="47"/>
    </row>
    <row r="19698" spans="45:45">
      <c r="AS19698" s="47"/>
    </row>
    <row r="19699" spans="45:45">
      <c r="AS19699" s="47"/>
    </row>
    <row r="19700" spans="45:45">
      <c r="AS19700" s="47"/>
    </row>
    <row r="19701" spans="45:45">
      <c r="AS19701" s="47"/>
    </row>
    <row r="19702" spans="45:45">
      <c r="AS19702" s="47"/>
    </row>
    <row r="19703" spans="45:45">
      <c r="AS19703" s="47"/>
    </row>
    <row r="19704" spans="45:45">
      <c r="AS19704" s="47"/>
    </row>
    <row r="19705" spans="45:45">
      <c r="AS19705" s="47"/>
    </row>
    <row r="19706" spans="45:45">
      <c r="AS19706" s="47"/>
    </row>
    <row r="19707" spans="45:45">
      <c r="AS19707" s="47"/>
    </row>
    <row r="19708" spans="45:45">
      <c r="AS19708" s="47"/>
    </row>
    <row r="19709" spans="45:45">
      <c r="AS19709" s="47"/>
    </row>
    <row r="19710" spans="45:45">
      <c r="AS19710" s="47"/>
    </row>
    <row r="19711" spans="45:45">
      <c r="AS19711" s="47"/>
    </row>
    <row r="19712" spans="45:45">
      <c r="AS19712" s="47"/>
    </row>
    <row r="19713" spans="45:45">
      <c r="AS19713" s="47"/>
    </row>
    <row r="19714" spans="45:45">
      <c r="AS19714" s="47"/>
    </row>
    <row r="19715" spans="45:45">
      <c r="AS19715" s="47"/>
    </row>
    <row r="19716" spans="45:45">
      <c r="AS19716" s="47"/>
    </row>
    <row r="19717" spans="45:45">
      <c r="AS19717" s="47"/>
    </row>
    <row r="19718" spans="45:45">
      <c r="AS19718" s="47"/>
    </row>
    <row r="19719" spans="45:45">
      <c r="AS19719" s="47"/>
    </row>
    <row r="19720" spans="45:45">
      <c r="AS19720" s="47"/>
    </row>
    <row r="19721" spans="45:45">
      <c r="AS19721" s="47"/>
    </row>
    <row r="19722" spans="45:45">
      <c r="AS19722" s="47"/>
    </row>
    <row r="19723" spans="45:45">
      <c r="AS19723" s="47"/>
    </row>
    <row r="19724" spans="45:45">
      <c r="AS19724" s="47"/>
    </row>
    <row r="19725" spans="45:45">
      <c r="AS19725" s="47"/>
    </row>
    <row r="19726" spans="45:45">
      <c r="AS19726" s="47"/>
    </row>
    <row r="19727" spans="45:45">
      <c r="AS19727" s="47"/>
    </row>
    <row r="19728" spans="45:45">
      <c r="AS19728" s="47"/>
    </row>
    <row r="19729" spans="45:45">
      <c r="AS19729" s="47"/>
    </row>
    <row r="19730" spans="45:45">
      <c r="AS19730" s="47"/>
    </row>
    <row r="19731" spans="45:45">
      <c r="AS19731" s="47"/>
    </row>
    <row r="19732" spans="45:45">
      <c r="AS19732" s="47"/>
    </row>
    <row r="19733" spans="45:45">
      <c r="AS19733" s="47"/>
    </row>
    <row r="19734" spans="45:45">
      <c r="AS19734" s="47"/>
    </row>
    <row r="19735" spans="45:45">
      <c r="AS19735" s="47"/>
    </row>
    <row r="19736" spans="45:45">
      <c r="AS19736" s="47"/>
    </row>
    <row r="19737" spans="45:45">
      <c r="AS19737" s="47"/>
    </row>
    <row r="19738" spans="45:45">
      <c r="AS19738" s="47"/>
    </row>
    <row r="19739" spans="45:45">
      <c r="AS19739" s="47"/>
    </row>
    <row r="19740" spans="45:45">
      <c r="AS19740" s="47"/>
    </row>
    <row r="19741" spans="45:45">
      <c r="AS19741" s="47"/>
    </row>
    <row r="19742" spans="45:45">
      <c r="AS19742" s="47"/>
    </row>
    <row r="19743" spans="45:45">
      <c r="AS19743" s="47"/>
    </row>
    <row r="19744" spans="45:45">
      <c r="AS19744" s="47"/>
    </row>
    <row r="19745" spans="45:45">
      <c r="AS19745" s="47"/>
    </row>
    <row r="19746" spans="45:45">
      <c r="AS19746" s="47"/>
    </row>
    <row r="19747" spans="45:45">
      <c r="AS19747" s="47"/>
    </row>
    <row r="19748" spans="45:45">
      <c r="AS19748" s="47"/>
    </row>
    <row r="19749" spans="45:45">
      <c r="AS19749" s="47"/>
    </row>
    <row r="19750" spans="45:45">
      <c r="AS19750" s="47"/>
    </row>
    <row r="19751" spans="45:45">
      <c r="AS19751" s="47"/>
    </row>
    <row r="19752" spans="45:45">
      <c r="AS19752" s="47"/>
    </row>
    <row r="19753" spans="45:45">
      <c r="AS19753" s="47"/>
    </row>
    <row r="19754" spans="45:45">
      <c r="AS19754" s="47"/>
    </row>
    <row r="19755" spans="45:45">
      <c r="AS19755" s="47"/>
    </row>
    <row r="19756" spans="45:45">
      <c r="AS19756" s="47"/>
    </row>
    <row r="19757" spans="45:45">
      <c r="AS19757" s="47"/>
    </row>
    <row r="19758" spans="45:45">
      <c r="AS19758" s="47"/>
    </row>
    <row r="19759" spans="45:45">
      <c r="AS19759" s="47"/>
    </row>
    <row r="19760" spans="45:45">
      <c r="AS19760" s="47"/>
    </row>
    <row r="19761" spans="45:45">
      <c r="AS19761" s="47"/>
    </row>
    <row r="19762" spans="45:45">
      <c r="AS19762" s="47"/>
    </row>
    <row r="19763" spans="45:45">
      <c r="AS19763" s="47"/>
    </row>
    <row r="19764" spans="45:45">
      <c r="AS19764" s="47"/>
    </row>
    <row r="19765" spans="45:45">
      <c r="AS19765" s="47"/>
    </row>
    <row r="19766" spans="45:45">
      <c r="AS19766" s="47"/>
    </row>
    <row r="19767" spans="45:45">
      <c r="AS19767" s="47"/>
    </row>
    <row r="19768" spans="45:45">
      <c r="AS19768" s="47"/>
    </row>
    <row r="19769" spans="45:45">
      <c r="AS19769" s="47"/>
    </row>
    <row r="19770" spans="45:45">
      <c r="AS19770" s="47"/>
    </row>
    <row r="19771" spans="45:45">
      <c r="AS19771" s="47"/>
    </row>
    <row r="19772" spans="45:45">
      <c r="AS19772" s="47"/>
    </row>
    <row r="19773" spans="45:45">
      <c r="AS19773" s="47"/>
    </row>
    <row r="19774" spans="45:45">
      <c r="AS19774" s="47"/>
    </row>
    <row r="19775" spans="45:45">
      <c r="AS19775" s="47"/>
    </row>
    <row r="19776" spans="45:45">
      <c r="AS19776" s="47"/>
    </row>
    <row r="19777" spans="45:45">
      <c r="AS19777" s="47"/>
    </row>
    <row r="19778" spans="45:45">
      <c r="AS19778" s="47"/>
    </row>
    <row r="19779" spans="45:45">
      <c r="AS19779" s="47"/>
    </row>
    <row r="19780" spans="45:45">
      <c r="AS19780" s="47"/>
    </row>
    <row r="19781" spans="45:45">
      <c r="AS19781" s="47"/>
    </row>
    <row r="19782" spans="45:45">
      <c r="AS19782" s="47"/>
    </row>
    <row r="19783" spans="45:45">
      <c r="AS19783" s="47"/>
    </row>
    <row r="19784" spans="45:45">
      <c r="AS19784" s="47"/>
    </row>
    <row r="19785" spans="45:45">
      <c r="AS19785" s="47"/>
    </row>
    <row r="19786" spans="45:45">
      <c r="AS19786" s="47"/>
    </row>
    <row r="19787" spans="45:45">
      <c r="AS19787" s="47"/>
    </row>
    <row r="19788" spans="45:45">
      <c r="AS19788" s="47"/>
    </row>
    <row r="19789" spans="45:45">
      <c r="AS19789" s="47"/>
    </row>
    <row r="19790" spans="45:45">
      <c r="AS19790" s="47"/>
    </row>
    <row r="19791" spans="45:45">
      <c r="AS19791" s="47"/>
    </row>
    <row r="19792" spans="45:45">
      <c r="AS19792" s="47"/>
    </row>
    <row r="19793" spans="45:45">
      <c r="AS19793" s="47"/>
    </row>
    <row r="19794" spans="45:45">
      <c r="AS19794" s="47"/>
    </row>
    <row r="19795" spans="45:45">
      <c r="AS19795" s="47"/>
    </row>
    <row r="19796" spans="45:45">
      <c r="AS19796" s="47"/>
    </row>
    <row r="19797" spans="45:45">
      <c r="AS19797" s="47"/>
    </row>
    <row r="19798" spans="45:45">
      <c r="AS19798" s="47"/>
    </row>
    <row r="19799" spans="45:45">
      <c r="AS19799" s="47"/>
    </row>
    <row r="19800" spans="45:45">
      <c r="AS19800" s="47"/>
    </row>
    <row r="19801" spans="45:45">
      <c r="AS19801" s="47"/>
    </row>
    <row r="19802" spans="45:45">
      <c r="AS19802" s="47"/>
    </row>
    <row r="19803" spans="45:45">
      <c r="AS19803" s="47"/>
    </row>
    <row r="19804" spans="45:45">
      <c r="AS19804" s="47"/>
    </row>
    <row r="19805" spans="45:45">
      <c r="AS19805" s="47"/>
    </row>
    <row r="19806" spans="45:45">
      <c r="AS19806" s="47"/>
    </row>
    <row r="19807" spans="45:45">
      <c r="AS19807" s="47"/>
    </row>
    <row r="19808" spans="45:45">
      <c r="AS19808" s="47"/>
    </row>
    <row r="19809" spans="45:45">
      <c r="AS19809" s="47"/>
    </row>
    <row r="19810" spans="45:45">
      <c r="AS19810" s="47"/>
    </row>
    <row r="19811" spans="45:45">
      <c r="AS19811" s="47"/>
    </row>
    <row r="19812" spans="45:45">
      <c r="AS19812" s="47"/>
    </row>
    <row r="19813" spans="45:45">
      <c r="AS19813" s="47"/>
    </row>
    <row r="19814" spans="45:45">
      <c r="AS19814" s="47"/>
    </row>
    <row r="19815" spans="45:45">
      <c r="AS19815" s="47"/>
    </row>
    <row r="19816" spans="45:45">
      <c r="AS19816" s="47"/>
    </row>
    <row r="19817" spans="45:45">
      <c r="AS19817" s="47"/>
    </row>
    <row r="19818" spans="45:45">
      <c r="AS19818" s="47"/>
    </row>
    <row r="19819" spans="45:45">
      <c r="AS19819" s="47"/>
    </row>
    <row r="19820" spans="45:45">
      <c r="AS19820" s="47"/>
    </row>
    <row r="19821" spans="45:45">
      <c r="AS19821" s="47"/>
    </row>
    <row r="19822" spans="45:45">
      <c r="AS19822" s="47"/>
    </row>
    <row r="19823" spans="45:45">
      <c r="AS19823" s="47"/>
    </row>
    <row r="19824" spans="45:45">
      <c r="AS19824" s="47"/>
    </row>
    <row r="19825" spans="45:45">
      <c r="AS19825" s="47"/>
    </row>
    <row r="19826" spans="45:45">
      <c r="AS19826" s="47"/>
    </row>
    <row r="19827" spans="45:45">
      <c r="AS19827" s="47"/>
    </row>
    <row r="19828" spans="45:45">
      <c r="AS19828" s="47"/>
    </row>
    <row r="19829" spans="45:45">
      <c r="AS19829" s="47"/>
    </row>
    <row r="19830" spans="45:45">
      <c r="AS19830" s="47"/>
    </row>
    <row r="19831" spans="45:45">
      <c r="AS19831" s="47"/>
    </row>
    <row r="19832" spans="45:45">
      <c r="AS19832" s="47"/>
    </row>
    <row r="19833" spans="45:45">
      <c r="AS19833" s="47"/>
    </row>
    <row r="19834" spans="45:45">
      <c r="AS19834" s="47"/>
    </row>
    <row r="19835" spans="45:45">
      <c r="AS19835" s="47"/>
    </row>
    <row r="19836" spans="45:45">
      <c r="AS19836" s="47"/>
    </row>
    <row r="19837" spans="45:45">
      <c r="AS19837" s="47"/>
    </row>
    <row r="19838" spans="45:45">
      <c r="AS19838" s="47"/>
    </row>
    <row r="19839" spans="45:45">
      <c r="AS19839" s="47"/>
    </row>
    <row r="19840" spans="45:45">
      <c r="AS19840" s="47"/>
    </row>
    <row r="19841" spans="45:45">
      <c r="AS19841" s="47"/>
    </row>
    <row r="19842" spans="45:45">
      <c r="AS19842" s="47"/>
    </row>
    <row r="19843" spans="45:45">
      <c r="AS19843" s="47"/>
    </row>
    <row r="19844" spans="45:45">
      <c r="AS19844" s="47"/>
    </row>
    <row r="19845" spans="45:45">
      <c r="AS19845" s="47"/>
    </row>
    <row r="19846" spans="45:45">
      <c r="AS19846" s="47"/>
    </row>
    <row r="19847" spans="45:45">
      <c r="AS19847" s="47"/>
    </row>
    <row r="19848" spans="45:45">
      <c r="AS19848" s="47"/>
    </row>
    <row r="19849" spans="45:45">
      <c r="AS19849" s="47"/>
    </row>
    <row r="19850" spans="45:45">
      <c r="AS19850" s="47"/>
    </row>
    <row r="19851" spans="45:45">
      <c r="AS19851" s="47"/>
    </row>
    <row r="19852" spans="45:45">
      <c r="AS19852" s="47"/>
    </row>
    <row r="19853" spans="45:45">
      <c r="AS19853" s="47"/>
    </row>
    <row r="19854" spans="45:45">
      <c r="AS19854" s="47"/>
    </row>
    <row r="19855" spans="45:45">
      <c r="AS19855" s="47"/>
    </row>
    <row r="19856" spans="45:45">
      <c r="AS19856" s="47"/>
    </row>
    <row r="19857" spans="45:45">
      <c r="AS19857" s="47"/>
    </row>
    <row r="19858" spans="45:45">
      <c r="AS19858" s="47"/>
    </row>
    <row r="19859" spans="45:45">
      <c r="AS19859" s="47"/>
    </row>
    <row r="19860" spans="45:45">
      <c r="AS19860" s="47"/>
    </row>
    <row r="19861" spans="45:45">
      <c r="AS19861" s="47"/>
    </row>
    <row r="19862" spans="45:45">
      <c r="AS19862" s="47"/>
    </row>
    <row r="19863" spans="45:45">
      <c r="AS19863" s="47"/>
    </row>
    <row r="19864" spans="45:45">
      <c r="AS19864" s="47"/>
    </row>
    <row r="19865" spans="45:45">
      <c r="AS19865" s="47"/>
    </row>
    <row r="19866" spans="45:45">
      <c r="AS19866" s="47"/>
    </row>
    <row r="19867" spans="45:45">
      <c r="AS19867" s="47"/>
    </row>
    <row r="19868" spans="45:45">
      <c r="AS19868" s="47"/>
    </row>
    <row r="19869" spans="45:45">
      <c r="AS19869" s="47"/>
    </row>
    <row r="19870" spans="45:45">
      <c r="AS19870" s="47"/>
    </row>
    <row r="19871" spans="45:45">
      <c r="AS19871" s="47"/>
    </row>
    <row r="19872" spans="45:45">
      <c r="AS19872" s="47"/>
    </row>
    <row r="19873" spans="45:45">
      <c r="AS19873" s="47"/>
    </row>
    <row r="19874" spans="45:45">
      <c r="AS19874" s="47"/>
    </row>
    <row r="19875" spans="45:45">
      <c r="AS19875" s="47"/>
    </row>
    <row r="19876" spans="45:45">
      <c r="AS19876" s="47"/>
    </row>
    <row r="19877" spans="45:45">
      <c r="AS19877" s="47"/>
    </row>
    <row r="19878" spans="45:45">
      <c r="AS19878" s="47"/>
    </row>
    <row r="19879" spans="45:45">
      <c r="AS19879" s="47"/>
    </row>
    <row r="19880" spans="45:45">
      <c r="AS19880" s="47"/>
    </row>
    <row r="19881" spans="45:45">
      <c r="AS19881" s="47"/>
    </row>
    <row r="19882" spans="45:45">
      <c r="AS19882" s="47"/>
    </row>
    <row r="19883" spans="45:45">
      <c r="AS19883" s="47"/>
    </row>
    <row r="19884" spans="45:45">
      <c r="AS19884" s="47"/>
    </row>
    <row r="19885" spans="45:45">
      <c r="AS19885" s="47"/>
    </row>
    <row r="19886" spans="45:45">
      <c r="AS19886" s="47"/>
    </row>
    <row r="19887" spans="45:45">
      <c r="AS19887" s="47"/>
    </row>
    <row r="19888" spans="45:45">
      <c r="AS19888" s="47"/>
    </row>
    <row r="19889" spans="45:45">
      <c r="AS19889" s="47"/>
    </row>
    <row r="19890" spans="45:45">
      <c r="AS19890" s="47"/>
    </row>
    <row r="19891" spans="45:45">
      <c r="AS19891" s="47"/>
    </row>
    <row r="19892" spans="45:45">
      <c r="AS19892" s="47"/>
    </row>
    <row r="19893" spans="45:45">
      <c r="AS19893" s="47"/>
    </row>
    <row r="19894" spans="45:45">
      <c r="AS19894" s="47"/>
    </row>
    <row r="19895" spans="45:45">
      <c r="AS19895" s="47"/>
    </row>
    <row r="19896" spans="45:45">
      <c r="AS19896" s="47"/>
    </row>
    <row r="19897" spans="45:45">
      <c r="AS19897" s="47"/>
    </row>
    <row r="19898" spans="45:45">
      <c r="AS19898" s="47"/>
    </row>
    <row r="19899" spans="45:45">
      <c r="AS19899" s="47"/>
    </row>
    <row r="19900" spans="45:45">
      <c r="AS19900" s="47"/>
    </row>
    <row r="19901" spans="45:45">
      <c r="AS19901" s="47"/>
    </row>
    <row r="19902" spans="45:45">
      <c r="AS19902" s="47"/>
    </row>
    <row r="19903" spans="45:45">
      <c r="AS19903" s="47"/>
    </row>
    <row r="19904" spans="45:45">
      <c r="AS19904" s="47"/>
    </row>
    <row r="19905" spans="45:45">
      <c r="AS19905" s="47"/>
    </row>
    <row r="19906" spans="45:45">
      <c r="AS19906" s="47"/>
    </row>
    <row r="19907" spans="45:45">
      <c r="AS19907" s="47"/>
    </row>
    <row r="19908" spans="45:45">
      <c r="AS19908" s="47"/>
    </row>
    <row r="19909" spans="45:45">
      <c r="AS19909" s="47"/>
    </row>
    <row r="19910" spans="45:45">
      <c r="AS19910" s="47"/>
    </row>
    <row r="19911" spans="45:45">
      <c r="AS19911" s="47"/>
    </row>
    <row r="19912" spans="45:45">
      <c r="AS19912" s="47"/>
    </row>
    <row r="19913" spans="45:45">
      <c r="AS19913" s="47"/>
    </row>
    <row r="19914" spans="45:45">
      <c r="AS19914" s="47"/>
    </row>
    <row r="19915" spans="45:45">
      <c r="AS19915" s="47"/>
    </row>
    <row r="19916" spans="45:45">
      <c r="AS19916" s="47"/>
    </row>
    <row r="19917" spans="45:45">
      <c r="AS19917" s="47"/>
    </row>
    <row r="19918" spans="45:45">
      <c r="AS19918" s="47"/>
    </row>
    <row r="19919" spans="45:45">
      <c r="AS19919" s="47"/>
    </row>
    <row r="19920" spans="45:45">
      <c r="AS19920" s="47"/>
    </row>
    <row r="19921" spans="45:45">
      <c r="AS19921" s="47"/>
    </row>
    <row r="19922" spans="45:45">
      <c r="AS19922" s="47"/>
    </row>
    <row r="19923" spans="45:45">
      <c r="AS19923" s="47"/>
    </row>
    <row r="19924" spans="45:45">
      <c r="AS19924" s="47"/>
    </row>
    <row r="19925" spans="45:45">
      <c r="AS19925" s="47"/>
    </row>
    <row r="19926" spans="45:45">
      <c r="AS19926" s="47"/>
    </row>
    <row r="19927" spans="45:45">
      <c r="AS19927" s="47"/>
    </row>
    <row r="19928" spans="45:45">
      <c r="AS19928" s="47"/>
    </row>
    <row r="19929" spans="45:45">
      <c r="AS19929" s="47"/>
    </row>
    <row r="19930" spans="45:45">
      <c r="AS19930" s="47"/>
    </row>
    <row r="19931" spans="45:45">
      <c r="AS19931" s="47"/>
    </row>
    <row r="19932" spans="45:45">
      <c r="AS19932" s="47"/>
    </row>
    <row r="19933" spans="45:45">
      <c r="AS19933" s="47"/>
    </row>
    <row r="19934" spans="45:45">
      <c r="AS19934" s="47"/>
    </row>
    <row r="19935" spans="45:45">
      <c r="AS19935" s="47"/>
    </row>
    <row r="19936" spans="45:45">
      <c r="AS19936" s="47"/>
    </row>
    <row r="19937" spans="45:45">
      <c r="AS19937" s="47"/>
    </row>
    <row r="19938" spans="45:45">
      <c r="AS19938" s="47"/>
    </row>
    <row r="19939" spans="45:45">
      <c r="AS19939" s="47"/>
    </row>
    <row r="19940" spans="45:45">
      <c r="AS19940" s="47"/>
    </row>
    <row r="19941" spans="45:45">
      <c r="AS19941" s="47"/>
    </row>
    <row r="19942" spans="45:45">
      <c r="AS19942" s="47"/>
    </row>
    <row r="19943" spans="45:45">
      <c r="AS19943" s="47"/>
    </row>
    <row r="19944" spans="45:45">
      <c r="AS19944" s="47"/>
    </row>
    <row r="19945" spans="45:45">
      <c r="AS19945" s="47"/>
    </row>
    <row r="19946" spans="45:45">
      <c r="AS19946" s="47"/>
    </row>
    <row r="19947" spans="45:45">
      <c r="AS19947" s="47"/>
    </row>
    <row r="19948" spans="45:45">
      <c r="AS19948" s="47"/>
    </row>
    <row r="19949" spans="45:45">
      <c r="AS19949" s="47"/>
    </row>
    <row r="19950" spans="45:45">
      <c r="AS19950" s="47"/>
    </row>
    <row r="19951" spans="45:45">
      <c r="AS19951" s="47"/>
    </row>
    <row r="19952" spans="45:45">
      <c r="AS19952" s="47"/>
    </row>
    <row r="19953" spans="45:45">
      <c r="AS19953" s="47"/>
    </row>
    <row r="19954" spans="45:45">
      <c r="AS19954" s="47"/>
    </row>
    <row r="19955" spans="45:45">
      <c r="AS19955" s="47"/>
    </row>
    <row r="19956" spans="45:45">
      <c r="AS19956" s="47"/>
    </row>
    <row r="19957" spans="45:45">
      <c r="AS19957" s="47"/>
    </row>
    <row r="19958" spans="45:45">
      <c r="AS19958" s="47"/>
    </row>
    <row r="19959" spans="45:45">
      <c r="AS19959" s="47"/>
    </row>
    <row r="19960" spans="45:45">
      <c r="AS19960" s="47"/>
    </row>
    <row r="19961" spans="45:45">
      <c r="AS19961" s="47"/>
    </row>
    <row r="19962" spans="45:45">
      <c r="AS19962" s="47"/>
    </row>
    <row r="19963" spans="45:45">
      <c r="AS19963" s="47"/>
    </row>
    <row r="19964" spans="45:45">
      <c r="AS19964" s="47"/>
    </row>
    <row r="19965" spans="45:45">
      <c r="AS19965" s="47"/>
    </row>
    <row r="19966" spans="45:45">
      <c r="AS19966" s="47"/>
    </row>
    <row r="19967" spans="45:45">
      <c r="AS19967" s="47"/>
    </row>
    <row r="19968" spans="45:45">
      <c r="AS19968" s="47"/>
    </row>
    <row r="19969" spans="45:45">
      <c r="AS19969" s="47"/>
    </row>
    <row r="19970" spans="45:45">
      <c r="AS19970" s="47"/>
    </row>
    <row r="19971" spans="45:45">
      <c r="AS19971" s="47"/>
    </row>
    <row r="19972" spans="45:45">
      <c r="AS19972" s="47"/>
    </row>
    <row r="19973" spans="45:45">
      <c r="AS19973" s="47"/>
    </row>
    <row r="19974" spans="45:45">
      <c r="AS19974" s="47"/>
    </row>
    <row r="19975" spans="45:45">
      <c r="AS19975" s="47"/>
    </row>
    <row r="19976" spans="45:45">
      <c r="AS19976" s="47"/>
    </row>
    <row r="19977" spans="45:45">
      <c r="AS19977" s="47"/>
    </row>
    <row r="19978" spans="45:45">
      <c r="AS19978" s="47"/>
    </row>
    <row r="19979" spans="45:45">
      <c r="AS19979" s="47"/>
    </row>
    <row r="19980" spans="45:45">
      <c r="AS19980" s="47"/>
    </row>
    <row r="19981" spans="45:45">
      <c r="AS19981" s="47"/>
    </row>
    <row r="19982" spans="45:45">
      <c r="AS19982" s="47"/>
    </row>
    <row r="19983" spans="45:45">
      <c r="AS19983" s="47"/>
    </row>
    <row r="19984" spans="45:45">
      <c r="AS19984" s="47"/>
    </row>
    <row r="19985" spans="45:45">
      <c r="AS19985" s="47"/>
    </row>
    <row r="19986" spans="45:45">
      <c r="AS19986" s="47"/>
    </row>
    <row r="19987" spans="45:45">
      <c r="AS19987" s="47"/>
    </row>
    <row r="19988" spans="45:45">
      <c r="AS19988" s="47"/>
    </row>
    <row r="19989" spans="45:45">
      <c r="AS19989" s="47"/>
    </row>
    <row r="19990" spans="45:45">
      <c r="AS19990" s="47"/>
    </row>
    <row r="19991" spans="45:45">
      <c r="AS19991" s="47"/>
    </row>
    <row r="19992" spans="45:45">
      <c r="AS19992" s="47"/>
    </row>
    <row r="19993" spans="45:45">
      <c r="AS19993" s="47"/>
    </row>
    <row r="19994" spans="45:45">
      <c r="AS19994" s="47"/>
    </row>
    <row r="19995" spans="45:45">
      <c r="AS19995" s="47"/>
    </row>
    <row r="19996" spans="45:45">
      <c r="AS19996" s="47"/>
    </row>
    <row r="19997" spans="45:45">
      <c r="AS19997" s="47"/>
    </row>
    <row r="19998" spans="45:45">
      <c r="AS19998" s="47"/>
    </row>
    <row r="19999" spans="45:45">
      <c r="AS19999" s="47"/>
    </row>
    <row r="20000" spans="45:45">
      <c r="AS20000" s="47"/>
    </row>
    <row r="20001" spans="45:45">
      <c r="AS20001" s="47"/>
    </row>
    <row r="20002" spans="45:45">
      <c r="AS20002" s="47"/>
    </row>
    <row r="20003" spans="45:45">
      <c r="AS20003" s="47"/>
    </row>
    <row r="20004" spans="45:45">
      <c r="AS20004" s="47"/>
    </row>
    <row r="20005" spans="45:45">
      <c r="AS20005" s="47"/>
    </row>
    <row r="20006" spans="45:45">
      <c r="AS20006" s="47"/>
    </row>
    <row r="20007" spans="45:45">
      <c r="AS20007" s="47"/>
    </row>
    <row r="20008" spans="45:45">
      <c r="AS20008" s="47"/>
    </row>
    <row r="20009" spans="45:45">
      <c r="AS20009" s="47"/>
    </row>
    <row r="20010" spans="45:45">
      <c r="AS20010" s="47"/>
    </row>
    <row r="20011" spans="45:45">
      <c r="AS20011" s="47"/>
    </row>
    <row r="20012" spans="45:45">
      <c r="AS20012" s="47"/>
    </row>
    <row r="20013" spans="45:45">
      <c r="AS20013" s="47"/>
    </row>
    <row r="20014" spans="45:45">
      <c r="AS20014" s="47"/>
    </row>
    <row r="20015" spans="45:45">
      <c r="AS20015" s="47"/>
    </row>
    <row r="20016" spans="45:45">
      <c r="AS20016" s="47"/>
    </row>
    <row r="20017" spans="45:45">
      <c r="AS20017" s="47"/>
    </row>
    <row r="20018" spans="45:45">
      <c r="AS20018" s="47"/>
    </row>
    <row r="20019" spans="45:45">
      <c r="AS20019" s="47"/>
    </row>
    <row r="20020" spans="45:45">
      <c r="AS20020" s="47"/>
    </row>
    <row r="20021" spans="45:45">
      <c r="AS20021" s="47"/>
    </row>
    <row r="20022" spans="45:45">
      <c r="AS20022" s="47"/>
    </row>
    <row r="20023" spans="45:45">
      <c r="AS20023" s="47"/>
    </row>
    <row r="20024" spans="45:45">
      <c r="AS20024" s="47"/>
    </row>
    <row r="20025" spans="45:45">
      <c r="AS20025" s="47"/>
    </row>
    <row r="20026" spans="45:45">
      <c r="AS20026" s="47"/>
    </row>
    <row r="20027" spans="45:45">
      <c r="AS20027" s="47"/>
    </row>
    <row r="20028" spans="45:45">
      <c r="AS20028" s="47"/>
    </row>
    <row r="20029" spans="45:45">
      <c r="AS20029" s="47"/>
    </row>
    <row r="20030" spans="45:45">
      <c r="AS20030" s="47"/>
    </row>
    <row r="20031" spans="45:45">
      <c r="AS20031" s="47"/>
    </row>
    <row r="20032" spans="45:45">
      <c r="AS20032" s="47"/>
    </row>
    <row r="20033" spans="45:45">
      <c r="AS20033" s="47"/>
    </row>
    <row r="20034" spans="45:45">
      <c r="AS20034" s="47"/>
    </row>
    <row r="20035" spans="45:45">
      <c r="AS20035" s="47"/>
    </row>
    <row r="20036" spans="45:45">
      <c r="AS20036" s="47"/>
    </row>
    <row r="20037" spans="45:45">
      <c r="AS20037" s="47"/>
    </row>
    <row r="20038" spans="45:45">
      <c r="AS20038" s="47"/>
    </row>
    <row r="20039" spans="45:45">
      <c r="AS20039" s="47"/>
    </row>
    <row r="20040" spans="45:45">
      <c r="AS20040" s="47"/>
    </row>
    <row r="20041" spans="45:45">
      <c r="AS20041" s="47"/>
    </row>
    <row r="20042" spans="45:45">
      <c r="AS20042" s="47"/>
    </row>
    <row r="20043" spans="45:45">
      <c r="AS20043" s="47"/>
    </row>
    <row r="20044" spans="45:45">
      <c r="AS20044" s="47"/>
    </row>
    <row r="20045" spans="45:45">
      <c r="AS20045" s="47"/>
    </row>
    <row r="20046" spans="45:45">
      <c r="AS20046" s="47"/>
    </row>
    <row r="20047" spans="45:45">
      <c r="AS20047" s="47"/>
    </row>
    <row r="20048" spans="45:45">
      <c r="AS20048" s="47"/>
    </row>
    <row r="20049" spans="45:45">
      <c r="AS20049" s="47"/>
    </row>
    <row r="20050" spans="45:45">
      <c r="AS20050" s="47"/>
    </row>
    <row r="20051" spans="45:45">
      <c r="AS20051" s="47"/>
    </row>
    <row r="20052" spans="45:45">
      <c r="AS20052" s="47"/>
    </row>
    <row r="20053" spans="45:45">
      <c r="AS20053" s="47"/>
    </row>
    <row r="20054" spans="45:45">
      <c r="AS20054" s="47"/>
    </row>
    <row r="20055" spans="45:45">
      <c r="AS20055" s="47"/>
    </row>
    <row r="20056" spans="45:45">
      <c r="AS20056" s="47"/>
    </row>
    <row r="20057" spans="45:45">
      <c r="AS20057" s="47"/>
    </row>
    <row r="20058" spans="45:45">
      <c r="AS20058" s="47"/>
    </row>
    <row r="20059" spans="45:45">
      <c r="AS20059" s="47"/>
    </row>
    <row r="20060" spans="45:45">
      <c r="AS20060" s="47"/>
    </row>
    <row r="20061" spans="45:45">
      <c r="AS20061" s="47"/>
    </row>
    <row r="20062" spans="45:45">
      <c r="AS20062" s="47"/>
    </row>
    <row r="20063" spans="45:45">
      <c r="AS20063" s="47"/>
    </row>
    <row r="20064" spans="45:45">
      <c r="AS20064" s="47"/>
    </row>
    <row r="20065" spans="45:45">
      <c r="AS20065" s="47"/>
    </row>
    <row r="20066" spans="45:45">
      <c r="AS20066" s="47"/>
    </row>
    <row r="20067" spans="45:45">
      <c r="AS20067" s="47"/>
    </row>
    <row r="20068" spans="45:45">
      <c r="AS20068" s="47"/>
    </row>
    <row r="20069" spans="45:45">
      <c r="AS20069" s="47"/>
    </row>
    <row r="20070" spans="45:45">
      <c r="AS20070" s="47"/>
    </row>
    <row r="20071" spans="45:45">
      <c r="AS20071" s="47"/>
    </row>
    <row r="20072" spans="45:45">
      <c r="AS20072" s="47"/>
    </row>
    <row r="20073" spans="45:45">
      <c r="AS20073" s="47"/>
    </row>
    <row r="20074" spans="45:45">
      <c r="AS20074" s="47"/>
    </row>
    <row r="20075" spans="45:45">
      <c r="AS20075" s="47"/>
    </row>
    <row r="20076" spans="45:45">
      <c r="AS20076" s="47"/>
    </row>
    <row r="20077" spans="45:45">
      <c r="AS20077" s="47"/>
    </row>
    <row r="20078" spans="45:45">
      <c r="AS20078" s="47"/>
    </row>
    <row r="20079" spans="45:45">
      <c r="AS20079" s="47"/>
    </row>
    <row r="20080" spans="45:45">
      <c r="AS20080" s="47"/>
    </row>
    <row r="20081" spans="45:45">
      <c r="AS20081" s="47"/>
    </row>
    <row r="20082" spans="45:45">
      <c r="AS20082" s="47"/>
    </row>
    <row r="20083" spans="45:45">
      <c r="AS20083" s="47"/>
    </row>
    <row r="20084" spans="45:45">
      <c r="AS20084" s="47"/>
    </row>
    <row r="20085" spans="45:45">
      <c r="AS20085" s="47"/>
    </row>
    <row r="20086" spans="45:45">
      <c r="AS20086" s="47"/>
    </row>
    <row r="20087" spans="45:45">
      <c r="AS20087" s="47"/>
    </row>
    <row r="20088" spans="45:45">
      <c r="AS20088" s="47"/>
    </row>
    <row r="20089" spans="45:45">
      <c r="AS20089" s="47"/>
    </row>
    <row r="20090" spans="45:45">
      <c r="AS20090" s="47"/>
    </row>
    <row r="20091" spans="45:45">
      <c r="AS20091" s="47"/>
    </row>
    <row r="20092" spans="45:45">
      <c r="AS20092" s="47"/>
    </row>
    <row r="20093" spans="45:45">
      <c r="AS20093" s="47"/>
    </row>
    <row r="20094" spans="45:45">
      <c r="AS20094" s="47"/>
    </row>
    <row r="20095" spans="45:45">
      <c r="AS20095" s="47"/>
    </row>
    <row r="20096" spans="45:45">
      <c r="AS20096" s="47"/>
    </row>
    <row r="20097" spans="45:45">
      <c r="AS20097" s="47"/>
    </row>
    <row r="20098" spans="45:45">
      <c r="AS20098" s="47"/>
    </row>
    <row r="20099" spans="45:45">
      <c r="AS20099" s="47"/>
    </row>
    <row r="20100" spans="45:45">
      <c r="AS20100" s="47"/>
    </row>
    <row r="20101" spans="45:45">
      <c r="AS20101" s="47"/>
    </row>
    <row r="20102" spans="45:45">
      <c r="AS20102" s="47"/>
    </row>
    <row r="20103" spans="45:45">
      <c r="AS20103" s="47"/>
    </row>
    <row r="20104" spans="45:45">
      <c r="AS20104" s="47"/>
    </row>
    <row r="20105" spans="45:45">
      <c r="AS20105" s="47"/>
    </row>
    <row r="20106" spans="45:45">
      <c r="AS20106" s="47"/>
    </row>
    <row r="20107" spans="45:45">
      <c r="AS20107" s="47"/>
    </row>
    <row r="20108" spans="45:45">
      <c r="AS20108" s="47"/>
    </row>
    <row r="20109" spans="45:45">
      <c r="AS20109" s="47"/>
    </row>
    <row r="20110" spans="45:45">
      <c r="AS20110" s="47"/>
    </row>
    <row r="20111" spans="45:45">
      <c r="AS20111" s="47"/>
    </row>
    <row r="20112" spans="45:45">
      <c r="AS20112" s="47"/>
    </row>
    <row r="20113" spans="45:45">
      <c r="AS20113" s="47"/>
    </row>
    <row r="20114" spans="45:45">
      <c r="AS20114" s="47"/>
    </row>
    <row r="20115" spans="45:45">
      <c r="AS20115" s="47"/>
    </row>
    <row r="20116" spans="45:45">
      <c r="AS20116" s="47"/>
    </row>
    <row r="20117" spans="45:45">
      <c r="AS20117" s="47"/>
    </row>
    <row r="20118" spans="45:45">
      <c r="AS20118" s="47"/>
    </row>
    <row r="20119" spans="45:45">
      <c r="AS20119" s="47"/>
    </row>
    <row r="20120" spans="45:45">
      <c r="AS20120" s="47"/>
    </row>
    <row r="20121" spans="45:45">
      <c r="AS20121" s="47"/>
    </row>
    <row r="20122" spans="45:45">
      <c r="AS20122" s="47"/>
    </row>
    <row r="20123" spans="45:45">
      <c r="AS20123" s="47"/>
    </row>
    <row r="20124" spans="45:45">
      <c r="AS20124" s="47"/>
    </row>
    <row r="20125" spans="45:45">
      <c r="AS20125" s="47"/>
    </row>
    <row r="20126" spans="45:45">
      <c r="AS20126" s="47"/>
    </row>
    <row r="20127" spans="45:45">
      <c r="AS20127" s="47"/>
    </row>
    <row r="20128" spans="45:45">
      <c r="AS20128" s="47"/>
    </row>
    <row r="20129" spans="45:45">
      <c r="AS20129" s="47"/>
    </row>
    <row r="20130" spans="45:45">
      <c r="AS20130" s="47"/>
    </row>
    <row r="20131" spans="45:45">
      <c r="AS20131" s="47"/>
    </row>
    <row r="20132" spans="45:45">
      <c r="AS20132" s="47"/>
    </row>
    <row r="20133" spans="45:45">
      <c r="AS20133" s="47"/>
    </row>
    <row r="20134" spans="45:45">
      <c r="AS20134" s="47"/>
    </row>
    <row r="20135" spans="45:45">
      <c r="AS20135" s="47"/>
    </row>
    <row r="20136" spans="45:45">
      <c r="AS20136" s="47"/>
    </row>
    <row r="20137" spans="45:45">
      <c r="AS20137" s="47"/>
    </row>
    <row r="20138" spans="45:45">
      <c r="AS20138" s="47"/>
    </row>
    <row r="20139" spans="45:45">
      <c r="AS20139" s="47"/>
    </row>
    <row r="20140" spans="45:45">
      <c r="AS20140" s="47"/>
    </row>
    <row r="20141" spans="45:45">
      <c r="AS20141" s="47"/>
    </row>
    <row r="20142" spans="45:45">
      <c r="AS20142" s="47"/>
    </row>
    <row r="20143" spans="45:45">
      <c r="AS20143" s="47"/>
    </row>
    <row r="20144" spans="45:45">
      <c r="AS20144" s="47"/>
    </row>
    <row r="20145" spans="45:45">
      <c r="AS20145" s="47"/>
    </row>
    <row r="20146" spans="45:45">
      <c r="AS20146" s="47"/>
    </row>
    <row r="20147" spans="45:45">
      <c r="AS20147" s="47"/>
    </row>
    <row r="20148" spans="45:45">
      <c r="AS20148" s="47"/>
    </row>
    <row r="20149" spans="45:45">
      <c r="AS20149" s="47"/>
    </row>
    <row r="20150" spans="45:45">
      <c r="AS20150" s="47"/>
    </row>
    <row r="20151" spans="45:45">
      <c r="AS20151" s="47"/>
    </row>
    <row r="20152" spans="45:45">
      <c r="AS20152" s="47"/>
    </row>
    <row r="20153" spans="45:45">
      <c r="AS20153" s="47"/>
    </row>
    <row r="20154" spans="45:45">
      <c r="AS20154" s="47"/>
    </row>
    <row r="20155" spans="45:45">
      <c r="AS20155" s="47"/>
    </row>
    <row r="20156" spans="45:45">
      <c r="AS20156" s="47"/>
    </row>
    <row r="20157" spans="45:45">
      <c r="AS20157" s="47"/>
    </row>
    <row r="20158" spans="45:45">
      <c r="AS20158" s="47"/>
    </row>
    <row r="20159" spans="45:45">
      <c r="AS20159" s="47"/>
    </row>
    <row r="20160" spans="45:45">
      <c r="AS20160" s="47"/>
    </row>
    <row r="20161" spans="45:45">
      <c r="AS20161" s="47"/>
    </row>
    <row r="20162" spans="45:45">
      <c r="AS20162" s="47"/>
    </row>
    <row r="20163" spans="45:45">
      <c r="AS20163" s="47"/>
    </row>
    <row r="20164" spans="45:45">
      <c r="AS20164" s="47"/>
    </row>
    <row r="20165" spans="45:45">
      <c r="AS20165" s="47"/>
    </row>
    <row r="20166" spans="45:45">
      <c r="AS20166" s="47"/>
    </row>
    <row r="20167" spans="45:45">
      <c r="AS20167" s="47"/>
    </row>
    <row r="20168" spans="45:45">
      <c r="AS20168" s="47"/>
    </row>
    <row r="20169" spans="45:45">
      <c r="AS20169" s="47"/>
    </row>
    <row r="20170" spans="45:45">
      <c r="AS20170" s="47"/>
    </row>
    <row r="20171" spans="45:45">
      <c r="AS20171" s="47"/>
    </row>
    <row r="20172" spans="45:45">
      <c r="AS20172" s="47"/>
    </row>
    <row r="20173" spans="45:45">
      <c r="AS20173" s="47"/>
    </row>
    <row r="20174" spans="45:45">
      <c r="AS20174" s="47"/>
    </row>
    <row r="20175" spans="45:45">
      <c r="AS20175" s="47"/>
    </row>
    <row r="20176" spans="45:45">
      <c r="AS20176" s="47"/>
    </row>
    <row r="20177" spans="45:45">
      <c r="AS20177" s="47"/>
    </row>
    <row r="20178" spans="45:45">
      <c r="AS20178" s="47"/>
    </row>
    <row r="20179" spans="45:45">
      <c r="AS20179" s="47"/>
    </row>
    <row r="20180" spans="45:45">
      <c r="AS20180" s="47"/>
    </row>
    <row r="20181" spans="45:45">
      <c r="AS20181" s="47"/>
    </row>
    <row r="20182" spans="45:45">
      <c r="AS20182" s="47"/>
    </row>
    <row r="20183" spans="45:45">
      <c r="AS20183" s="47"/>
    </row>
    <row r="20184" spans="45:45">
      <c r="AS20184" s="47"/>
    </row>
    <row r="20185" spans="45:45">
      <c r="AS20185" s="47"/>
    </row>
    <row r="20186" spans="45:45">
      <c r="AS20186" s="47"/>
    </row>
    <row r="20187" spans="45:45">
      <c r="AS20187" s="47"/>
    </row>
    <row r="20188" spans="45:45">
      <c r="AS20188" s="47"/>
    </row>
    <row r="20189" spans="45:45">
      <c r="AS20189" s="47"/>
    </row>
    <row r="20190" spans="45:45">
      <c r="AS20190" s="47"/>
    </row>
    <row r="20191" spans="45:45">
      <c r="AS20191" s="47"/>
    </row>
    <row r="20192" spans="45:45">
      <c r="AS20192" s="47"/>
    </row>
    <row r="20193" spans="45:45">
      <c r="AS20193" s="47"/>
    </row>
    <row r="20194" spans="45:45">
      <c r="AS20194" s="47"/>
    </row>
    <row r="20195" spans="45:45">
      <c r="AS20195" s="47"/>
    </row>
    <row r="20196" spans="45:45">
      <c r="AS20196" s="47"/>
    </row>
    <row r="20197" spans="45:45">
      <c r="AS20197" s="47"/>
    </row>
    <row r="20198" spans="45:45">
      <c r="AS20198" s="47"/>
    </row>
    <row r="20199" spans="45:45">
      <c r="AS20199" s="47"/>
    </row>
    <row r="20200" spans="45:45">
      <c r="AS20200" s="47"/>
    </row>
    <row r="20201" spans="45:45">
      <c r="AS20201" s="47"/>
    </row>
    <row r="20202" spans="45:45">
      <c r="AS20202" s="47"/>
    </row>
    <row r="20203" spans="45:45">
      <c r="AS20203" s="47"/>
    </row>
    <row r="20204" spans="45:45">
      <c r="AS20204" s="47"/>
    </row>
    <row r="20205" spans="45:45">
      <c r="AS20205" s="47"/>
    </row>
    <row r="20206" spans="45:45">
      <c r="AS20206" s="47"/>
    </row>
    <row r="20207" spans="45:45">
      <c r="AS20207" s="47"/>
    </row>
    <row r="20208" spans="45:45">
      <c r="AS20208" s="47"/>
    </row>
    <row r="20209" spans="45:45">
      <c r="AS20209" s="47"/>
    </row>
    <row r="20210" spans="45:45">
      <c r="AS20210" s="47"/>
    </row>
    <row r="20211" spans="45:45">
      <c r="AS20211" s="47"/>
    </row>
    <row r="20212" spans="45:45">
      <c r="AS20212" s="47"/>
    </row>
    <row r="20213" spans="45:45">
      <c r="AS20213" s="47"/>
    </row>
    <row r="20214" spans="45:45">
      <c r="AS20214" s="47"/>
    </row>
    <row r="20215" spans="45:45">
      <c r="AS20215" s="47"/>
    </row>
    <row r="20216" spans="45:45">
      <c r="AS20216" s="47"/>
    </row>
    <row r="20217" spans="45:45">
      <c r="AS20217" s="47"/>
    </row>
    <row r="20218" spans="45:45">
      <c r="AS20218" s="47"/>
    </row>
    <row r="20219" spans="45:45">
      <c r="AS20219" s="47"/>
    </row>
    <row r="20220" spans="45:45">
      <c r="AS20220" s="47"/>
    </row>
    <row r="20221" spans="45:45">
      <c r="AS20221" s="47"/>
    </row>
    <row r="20222" spans="45:45">
      <c r="AS20222" s="47"/>
    </row>
    <row r="20223" spans="45:45">
      <c r="AS20223" s="47"/>
    </row>
    <row r="20224" spans="45:45">
      <c r="AS20224" s="47"/>
    </row>
    <row r="20225" spans="45:45">
      <c r="AS20225" s="47"/>
    </row>
    <row r="20226" spans="45:45">
      <c r="AS20226" s="47"/>
    </row>
    <row r="20227" spans="45:45">
      <c r="AS20227" s="47"/>
    </row>
    <row r="20228" spans="45:45">
      <c r="AS20228" s="47"/>
    </row>
    <row r="20229" spans="45:45">
      <c r="AS20229" s="47"/>
    </row>
    <row r="20230" spans="45:45">
      <c r="AS20230" s="47"/>
    </row>
    <row r="20231" spans="45:45">
      <c r="AS20231" s="47"/>
    </row>
    <row r="20232" spans="45:45">
      <c r="AS20232" s="47"/>
    </row>
    <row r="20233" spans="45:45">
      <c r="AS20233" s="47"/>
    </row>
    <row r="20234" spans="45:45">
      <c r="AS20234" s="47"/>
    </row>
    <row r="20235" spans="45:45">
      <c r="AS20235" s="47"/>
    </row>
    <row r="20236" spans="45:45">
      <c r="AS20236" s="47"/>
    </row>
    <row r="20237" spans="45:45">
      <c r="AS20237" s="47"/>
    </row>
    <row r="20238" spans="45:45">
      <c r="AS20238" s="47"/>
    </row>
    <row r="20239" spans="45:45">
      <c r="AS20239" s="47"/>
    </row>
    <row r="20240" spans="45:45">
      <c r="AS20240" s="47"/>
    </row>
    <row r="20241" spans="45:45">
      <c r="AS20241" s="47"/>
    </row>
    <row r="20242" spans="45:45">
      <c r="AS20242" s="47"/>
    </row>
    <row r="20243" spans="45:45">
      <c r="AS20243" s="47"/>
    </row>
    <row r="20244" spans="45:45">
      <c r="AS20244" s="47"/>
    </row>
    <row r="20245" spans="45:45">
      <c r="AS20245" s="47"/>
    </row>
    <row r="20246" spans="45:45">
      <c r="AS20246" s="47"/>
    </row>
    <row r="20247" spans="45:45">
      <c r="AS20247" s="47"/>
    </row>
    <row r="20248" spans="45:45">
      <c r="AS20248" s="47"/>
    </row>
    <row r="20249" spans="45:45">
      <c r="AS20249" s="47"/>
    </row>
    <row r="20250" spans="45:45">
      <c r="AS20250" s="47"/>
    </row>
    <row r="20251" spans="45:45">
      <c r="AS20251" s="47"/>
    </row>
    <row r="20252" spans="45:45">
      <c r="AS20252" s="47"/>
    </row>
    <row r="20253" spans="45:45">
      <c r="AS20253" s="47"/>
    </row>
    <row r="20254" spans="45:45">
      <c r="AS20254" s="47"/>
    </row>
    <row r="20255" spans="45:45">
      <c r="AS20255" s="47"/>
    </row>
    <row r="20256" spans="45:45">
      <c r="AS20256" s="47"/>
    </row>
    <row r="20257" spans="45:45">
      <c r="AS20257" s="47"/>
    </row>
    <row r="20258" spans="45:45">
      <c r="AS20258" s="47"/>
    </row>
    <row r="20259" spans="45:45">
      <c r="AS20259" s="47"/>
    </row>
    <row r="20260" spans="45:45">
      <c r="AS20260" s="47"/>
    </row>
    <row r="20261" spans="45:45">
      <c r="AS20261" s="47"/>
    </row>
    <row r="20262" spans="45:45">
      <c r="AS20262" s="47"/>
    </row>
    <row r="20263" spans="45:45">
      <c r="AS20263" s="47"/>
    </row>
    <row r="20264" spans="45:45">
      <c r="AS20264" s="47"/>
    </row>
    <row r="20265" spans="45:45">
      <c r="AS20265" s="47"/>
    </row>
    <row r="20266" spans="45:45">
      <c r="AS20266" s="47"/>
    </row>
    <row r="20267" spans="45:45">
      <c r="AS20267" s="47"/>
    </row>
    <row r="20268" spans="45:45">
      <c r="AS20268" s="47"/>
    </row>
    <row r="20269" spans="45:45">
      <c r="AS20269" s="47"/>
    </row>
    <row r="20270" spans="45:45">
      <c r="AS20270" s="47"/>
    </row>
    <row r="20271" spans="45:45">
      <c r="AS20271" s="47"/>
    </row>
    <row r="20272" spans="45:45">
      <c r="AS20272" s="47"/>
    </row>
    <row r="20273" spans="45:45">
      <c r="AS20273" s="47"/>
    </row>
    <row r="20274" spans="45:45">
      <c r="AS20274" s="47"/>
    </row>
    <row r="20275" spans="45:45">
      <c r="AS20275" s="47"/>
    </row>
    <row r="20276" spans="45:45">
      <c r="AS20276" s="47"/>
    </row>
    <row r="20277" spans="45:45">
      <c r="AS20277" s="47"/>
    </row>
    <row r="20278" spans="45:45">
      <c r="AS20278" s="47"/>
    </row>
    <row r="20279" spans="45:45">
      <c r="AS20279" s="47"/>
    </row>
    <row r="20280" spans="45:45">
      <c r="AS20280" s="47"/>
    </row>
    <row r="20281" spans="45:45">
      <c r="AS20281" s="47"/>
    </row>
    <row r="20282" spans="45:45">
      <c r="AS20282" s="47"/>
    </row>
    <row r="20283" spans="45:45">
      <c r="AS20283" s="47"/>
    </row>
    <row r="20284" spans="45:45">
      <c r="AS20284" s="47"/>
    </row>
    <row r="20285" spans="45:45">
      <c r="AS20285" s="47"/>
    </row>
    <row r="20286" spans="45:45">
      <c r="AS20286" s="47"/>
    </row>
    <row r="20287" spans="45:45">
      <c r="AS20287" s="47"/>
    </row>
    <row r="20288" spans="45:45">
      <c r="AS20288" s="47"/>
    </row>
    <row r="20289" spans="45:45">
      <c r="AS20289" s="47"/>
    </row>
    <row r="20290" spans="45:45">
      <c r="AS20290" s="47"/>
    </row>
    <row r="20291" spans="45:45">
      <c r="AS20291" s="47"/>
    </row>
    <row r="20292" spans="45:45">
      <c r="AS20292" s="47"/>
    </row>
    <row r="20293" spans="45:45">
      <c r="AS20293" s="47"/>
    </row>
    <row r="20294" spans="45:45">
      <c r="AS20294" s="47"/>
    </row>
    <row r="20295" spans="45:45">
      <c r="AS20295" s="47"/>
    </row>
    <row r="20296" spans="45:45">
      <c r="AS20296" s="47"/>
    </row>
    <row r="20297" spans="45:45">
      <c r="AS20297" s="47"/>
    </row>
    <row r="20298" spans="45:45">
      <c r="AS20298" s="47"/>
    </row>
    <row r="20299" spans="45:45">
      <c r="AS20299" s="47"/>
    </row>
    <row r="20300" spans="45:45">
      <c r="AS20300" s="47"/>
    </row>
    <row r="20301" spans="45:45">
      <c r="AS20301" s="47"/>
    </row>
    <row r="20302" spans="45:45">
      <c r="AS20302" s="47"/>
    </row>
    <row r="20303" spans="45:45">
      <c r="AS20303" s="47"/>
    </row>
    <row r="20304" spans="45:45">
      <c r="AS20304" s="47"/>
    </row>
    <row r="20305" spans="45:45">
      <c r="AS20305" s="47"/>
    </row>
    <row r="20306" spans="45:45">
      <c r="AS20306" s="47"/>
    </row>
    <row r="20307" spans="45:45">
      <c r="AS20307" s="47"/>
    </row>
    <row r="20308" spans="45:45">
      <c r="AS20308" s="47"/>
    </row>
    <row r="20309" spans="45:45">
      <c r="AS20309" s="47"/>
    </row>
    <row r="20310" spans="45:45">
      <c r="AS20310" s="47"/>
    </row>
    <row r="20311" spans="45:45">
      <c r="AS20311" s="47"/>
    </row>
    <row r="20312" spans="45:45">
      <c r="AS20312" s="47"/>
    </row>
    <row r="20313" spans="45:45">
      <c r="AS20313" s="47"/>
    </row>
    <row r="20314" spans="45:45">
      <c r="AS20314" s="47"/>
    </row>
    <row r="20315" spans="45:45">
      <c r="AS20315" s="47"/>
    </row>
    <row r="20316" spans="45:45">
      <c r="AS20316" s="47"/>
    </row>
    <row r="20317" spans="45:45">
      <c r="AS20317" s="47"/>
    </row>
    <row r="20318" spans="45:45">
      <c r="AS20318" s="47"/>
    </row>
    <row r="20319" spans="45:45">
      <c r="AS20319" s="47"/>
    </row>
    <row r="20320" spans="45:45">
      <c r="AS20320" s="47"/>
    </row>
    <row r="20321" spans="45:45">
      <c r="AS20321" s="47"/>
    </row>
    <row r="20322" spans="45:45">
      <c r="AS20322" s="47"/>
    </row>
    <row r="20323" spans="45:45">
      <c r="AS20323" s="47"/>
    </row>
    <row r="20324" spans="45:45">
      <c r="AS20324" s="47"/>
    </row>
    <row r="20325" spans="45:45">
      <c r="AS20325" s="47"/>
    </row>
    <row r="20326" spans="45:45">
      <c r="AS20326" s="47"/>
    </row>
    <row r="20327" spans="45:45">
      <c r="AS20327" s="47"/>
    </row>
    <row r="20328" spans="45:45">
      <c r="AS20328" s="47"/>
    </row>
    <row r="20329" spans="45:45">
      <c r="AS20329" s="47"/>
    </row>
    <row r="20330" spans="45:45">
      <c r="AS20330" s="47"/>
    </row>
    <row r="20331" spans="45:45">
      <c r="AS20331" s="47"/>
    </row>
    <row r="20332" spans="45:45">
      <c r="AS20332" s="47"/>
    </row>
    <row r="20333" spans="45:45">
      <c r="AS20333" s="47"/>
    </row>
    <row r="20334" spans="45:45">
      <c r="AS20334" s="47"/>
    </row>
    <row r="20335" spans="45:45">
      <c r="AS20335" s="47"/>
    </row>
    <row r="20336" spans="45:45">
      <c r="AS20336" s="47"/>
    </row>
    <row r="20337" spans="45:45">
      <c r="AS20337" s="47"/>
    </row>
    <row r="20338" spans="45:45">
      <c r="AS20338" s="47"/>
    </row>
    <row r="20339" spans="45:45">
      <c r="AS20339" s="47"/>
    </row>
    <row r="20340" spans="45:45">
      <c r="AS20340" s="47"/>
    </row>
    <row r="20341" spans="45:45">
      <c r="AS20341" s="47"/>
    </row>
    <row r="20342" spans="45:45">
      <c r="AS20342" s="47"/>
    </row>
    <row r="20343" spans="45:45">
      <c r="AS20343" s="47"/>
    </row>
    <row r="20344" spans="45:45">
      <c r="AS20344" s="47"/>
    </row>
    <row r="20345" spans="45:45">
      <c r="AS20345" s="47"/>
    </row>
    <row r="20346" spans="45:45">
      <c r="AS20346" s="47"/>
    </row>
    <row r="20347" spans="45:45">
      <c r="AS20347" s="47"/>
    </row>
    <row r="20348" spans="45:45">
      <c r="AS20348" s="47"/>
    </row>
    <row r="20349" spans="45:45">
      <c r="AS20349" s="47"/>
    </row>
    <row r="20350" spans="45:45">
      <c r="AS20350" s="47"/>
    </row>
    <row r="20351" spans="45:45">
      <c r="AS20351" s="47"/>
    </row>
    <row r="20352" spans="45:45">
      <c r="AS20352" s="47"/>
    </row>
    <row r="20353" spans="45:45">
      <c r="AS20353" s="47"/>
    </row>
    <row r="20354" spans="45:45">
      <c r="AS20354" s="47"/>
    </row>
    <row r="20355" spans="45:45">
      <c r="AS20355" s="47"/>
    </row>
    <row r="20356" spans="45:45">
      <c r="AS20356" s="47"/>
    </row>
    <row r="20357" spans="45:45">
      <c r="AS20357" s="47"/>
    </row>
    <row r="20358" spans="45:45">
      <c r="AS20358" s="47"/>
    </row>
    <row r="20359" spans="45:45">
      <c r="AS20359" s="47"/>
    </row>
    <row r="20360" spans="45:45">
      <c r="AS20360" s="47"/>
    </row>
    <row r="20361" spans="45:45">
      <c r="AS20361" s="47"/>
    </row>
    <row r="20362" spans="45:45">
      <c r="AS20362" s="47"/>
    </row>
    <row r="20363" spans="45:45">
      <c r="AS20363" s="47"/>
    </row>
    <row r="20364" spans="45:45">
      <c r="AS20364" s="47"/>
    </row>
    <row r="20365" spans="45:45">
      <c r="AS20365" s="47"/>
    </row>
    <row r="20366" spans="45:45">
      <c r="AS20366" s="47"/>
    </row>
    <row r="20367" spans="45:45">
      <c r="AS20367" s="47"/>
    </row>
    <row r="20368" spans="45:45">
      <c r="AS20368" s="47"/>
    </row>
    <row r="20369" spans="45:45">
      <c r="AS20369" s="47"/>
    </row>
    <row r="20370" spans="45:45">
      <c r="AS20370" s="47"/>
    </row>
    <row r="20371" spans="45:45">
      <c r="AS20371" s="47"/>
    </row>
    <row r="20372" spans="45:45">
      <c r="AS20372" s="47"/>
    </row>
    <row r="20373" spans="45:45">
      <c r="AS20373" s="47"/>
    </row>
    <row r="20374" spans="45:45">
      <c r="AS20374" s="47"/>
    </row>
    <row r="20375" spans="45:45">
      <c r="AS20375" s="47"/>
    </row>
    <row r="20376" spans="45:45">
      <c r="AS20376" s="47"/>
    </row>
    <row r="20377" spans="45:45">
      <c r="AS20377" s="47"/>
    </row>
    <row r="20378" spans="45:45">
      <c r="AS20378" s="47"/>
    </row>
    <row r="20379" spans="45:45">
      <c r="AS20379" s="47"/>
    </row>
    <row r="20380" spans="45:45">
      <c r="AS20380" s="47"/>
    </row>
    <row r="20381" spans="45:45">
      <c r="AS20381" s="47"/>
    </row>
    <row r="20382" spans="45:45">
      <c r="AS20382" s="47"/>
    </row>
    <row r="20383" spans="45:45">
      <c r="AS20383" s="47"/>
    </row>
    <row r="20384" spans="45:45">
      <c r="AS20384" s="47"/>
    </row>
    <row r="20385" spans="45:45">
      <c r="AS20385" s="47"/>
    </row>
    <row r="20386" spans="45:45">
      <c r="AS20386" s="47"/>
    </row>
    <row r="20387" spans="45:45">
      <c r="AS20387" s="47"/>
    </row>
    <row r="20388" spans="45:45">
      <c r="AS20388" s="47"/>
    </row>
    <row r="20389" spans="45:45">
      <c r="AS20389" s="47"/>
    </row>
    <row r="20390" spans="45:45">
      <c r="AS20390" s="47"/>
    </row>
    <row r="20391" spans="45:45">
      <c r="AS20391" s="47"/>
    </row>
    <row r="20392" spans="45:45">
      <c r="AS20392" s="47"/>
    </row>
    <row r="20393" spans="45:45">
      <c r="AS20393" s="47"/>
    </row>
    <row r="20394" spans="45:45">
      <c r="AS20394" s="47"/>
    </row>
    <row r="20395" spans="45:45">
      <c r="AS20395" s="47"/>
    </row>
    <row r="20396" spans="45:45">
      <c r="AS20396" s="47"/>
    </row>
    <row r="20397" spans="45:45">
      <c r="AS20397" s="47"/>
    </row>
    <row r="20398" spans="45:45">
      <c r="AS20398" s="47"/>
    </row>
    <row r="20399" spans="45:45">
      <c r="AS20399" s="47"/>
    </row>
    <row r="20400" spans="45:45">
      <c r="AS20400" s="47"/>
    </row>
    <row r="20401" spans="45:45">
      <c r="AS20401" s="47"/>
    </row>
    <row r="20402" spans="45:45">
      <c r="AS20402" s="47"/>
    </row>
    <row r="20403" spans="45:45">
      <c r="AS20403" s="47"/>
    </row>
    <row r="20404" spans="45:45">
      <c r="AS20404" s="47"/>
    </row>
    <row r="20405" spans="45:45">
      <c r="AS20405" s="47"/>
    </row>
    <row r="20406" spans="45:45">
      <c r="AS20406" s="47"/>
    </row>
    <row r="20407" spans="45:45">
      <c r="AS20407" s="47"/>
    </row>
    <row r="20408" spans="45:45">
      <c r="AS20408" s="47"/>
    </row>
    <row r="20409" spans="45:45">
      <c r="AS20409" s="47"/>
    </row>
    <row r="20410" spans="45:45">
      <c r="AS20410" s="47"/>
    </row>
    <row r="20411" spans="45:45">
      <c r="AS20411" s="47"/>
    </row>
    <row r="20412" spans="45:45">
      <c r="AS20412" s="47"/>
    </row>
    <row r="20413" spans="45:45">
      <c r="AS20413" s="47"/>
    </row>
    <row r="20414" spans="45:45">
      <c r="AS20414" s="47"/>
    </row>
    <row r="20415" spans="45:45">
      <c r="AS20415" s="47"/>
    </row>
    <row r="20416" spans="45:45">
      <c r="AS20416" s="47"/>
    </row>
    <row r="20417" spans="45:45">
      <c r="AS20417" s="47"/>
    </row>
    <row r="20418" spans="45:45">
      <c r="AS20418" s="47"/>
    </row>
    <row r="20419" spans="45:45">
      <c r="AS20419" s="47"/>
    </row>
    <row r="20420" spans="45:45">
      <c r="AS20420" s="47"/>
    </row>
    <row r="20421" spans="45:45">
      <c r="AS20421" s="47"/>
    </row>
    <row r="20422" spans="45:45">
      <c r="AS20422" s="47"/>
    </row>
    <row r="20423" spans="45:45">
      <c r="AS20423" s="47"/>
    </row>
    <row r="20424" spans="45:45">
      <c r="AS20424" s="47"/>
    </row>
    <row r="20425" spans="45:45">
      <c r="AS20425" s="47"/>
    </row>
    <row r="20426" spans="45:45">
      <c r="AS20426" s="47"/>
    </row>
    <row r="20427" spans="45:45">
      <c r="AS20427" s="47"/>
    </row>
    <row r="20428" spans="45:45">
      <c r="AS20428" s="47"/>
    </row>
    <row r="20429" spans="45:45">
      <c r="AS20429" s="47"/>
    </row>
    <row r="20430" spans="45:45">
      <c r="AS20430" s="47"/>
    </row>
    <row r="20431" spans="45:45">
      <c r="AS20431" s="47"/>
    </row>
    <row r="20432" spans="45:45">
      <c r="AS20432" s="47"/>
    </row>
    <row r="20433" spans="45:45">
      <c r="AS20433" s="47"/>
    </row>
    <row r="20434" spans="45:45">
      <c r="AS20434" s="47"/>
    </row>
    <row r="20435" spans="45:45">
      <c r="AS20435" s="47"/>
    </row>
    <row r="20436" spans="45:45">
      <c r="AS20436" s="47"/>
    </row>
    <row r="20437" spans="45:45">
      <c r="AS20437" s="47"/>
    </row>
    <row r="20438" spans="45:45">
      <c r="AS20438" s="47"/>
    </row>
    <row r="20439" spans="45:45">
      <c r="AS20439" s="47"/>
    </row>
    <row r="20440" spans="45:45">
      <c r="AS20440" s="47"/>
    </row>
    <row r="20441" spans="45:45">
      <c r="AS20441" s="47"/>
    </row>
    <row r="20442" spans="45:45">
      <c r="AS20442" s="47"/>
    </row>
    <row r="20443" spans="45:45">
      <c r="AS20443" s="47"/>
    </row>
    <row r="20444" spans="45:45">
      <c r="AS20444" s="47"/>
    </row>
    <row r="20445" spans="45:45">
      <c r="AS20445" s="47"/>
    </row>
    <row r="20446" spans="45:45">
      <c r="AS20446" s="47"/>
    </row>
    <row r="20447" spans="45:45">
      <c r="AS20447" s="47"/>
    </row>
    <row r="20448" spans="45:45">
      <c r="AS20448" s="47"/>
    </row>
    <row r="20449" spans="45:45">
      <c r="AS20449" s="47"/>
    </row>
    <row r="20450" spans="45:45">
      <c r="AS20450" s="47"/>
    </row>
    <row r="20451" spans="45:45">
      <c r="AS20451" s="47"/>
    </row>
    <row r="20452" spans="45:45">
      <c r="AS20452" s="47"/>
    </row>
    <row r="20453" spans="45:45">
      <c r="AS20453" s="47"/>
    </row>
    <row r="20454" spans="45:45">
      <c r="AS20454" s="47"/>
    </row>
    <row r="20455" spans="45:45">
      <c r="AS20455" s="47"/>
    </row>
    <row r="20456" spans="45:45">
      <c r="AS20456" s="47"/>
    </row>
    <row r="20457" spans="45:45">
      <c r="AS20457" s="47"/>
    </row>
    <row r="20458" spans="45:45">
      <c r="AS20458" s="47"/>
    </row>
    <row r="20459" spans="45:45">
      <c r="AS20459" s="47"/>
    </row>
    <row r="20460" spans="45:45">
      <c r="AS20460" s="47"/>
    </row>
    <row r="20461" spans="45:45">
      <c r="AS20461" s="47"/>
    </row>
    <row r="20462" spans="45:45">
      <c r="AS20462" s="47"/>
    </row>
    <row r="20463" spans="45:45">
      <c r="AS20463" s="47"/>
    </row>
    <row r="20464" spans="45:45">
      <c r="AS20464" s="47"/>
    </row>
    <row r="20465" spans="45:45">
      <c r="AS20465" s="47"/>
    </row>
    <row r="20466" spans="45:45">
      <c r="AS20466" s="47"/>
    </row>
    <row r="20467" spans="45:45">
      <c r="AS20467" s="47"/>
    </row>
    <row r="20468" spans="45:45">
      <c r="AS20468" s="47"/>
    </row>
    <row r="20469" spans="45:45">
      <c r="AS20469" s="47"/>
    </row>
    <row r="20470" spans="45:45">
      <c r="AS20470" s="47"/>
    </row>
    <row r="20471" spans="45:45">
      <c r="AS20471" s="47"/>
    </row>
    <row r="20472" spans="45:45">
      <c r="AS20472" s="47"/>
    </row>
    <row r="20473" spans="45:45">
      <c r="AS20473" s="47"/>
    </row>
    <row r="20474" spans="45:45">
      <c r="AS20474" s="47"/>
    </row>
    <row r="20475" spans="45:45">
      <c r="AS20475" s="47"/>
    </row>
    <row r="20476" spans="45:45">
      <c r="AS20476" s="47"/>
    </row>
    <row r="20477" spans="45:45">
      <c r="AS20477" s="47"/>
    </row>
    <row r="20478" spans="45:45">
      <c r="AS20478" s="47"/>
    </row>
    <row r="20479" spans="45:45">
      <c r="AS20479" s="47"/>
    </row>
    <row r="20480" spans="45:45">
      <c r="AS20480" s="47"/>
    </row>
    <row r="20481" spans="45:45">
      <c r="AS20481" s="47"/>
    </row>
    <row r="20482" spans="45:45">
      <c r="AS20482" s="47"/>
    </row>
    <row r="20483" spans="45:45">
      <c r="AS20483" s="47"/>
    </row>
    <row r="20484" spans="45:45">
      <c r="AS20484" s="47"/>
    </row>
    <row r="20485" spans="45:45">
      <c r="AS20485" s="47"/>
    </row>
    <row r="20486" spans="45:45">
      <c r="AS20486" s="47"/>
    </row>
    <row r="20487" spans="45:45">
      <c r="AS20487" s="47"/>
    </row>
    <row r="20488" spans="45:45">
      <c r="AS20488" s="47"/>
    </row>
    <row r="20489" spans="45:45">
      <c r="AS20489" s="47"/>
    </row>
    <row r="20490" spans="45:45">
      <c r="AS20490" s="47"/>
    </row>
    <row r="20491" spans="45:45">
      <c r="AS20491" s="47"/>
    </row>
    <row r="20492" spans="45:45">
      <c r="AS20492" s="47"/>
    </row>
    <row r="20493" spans="45:45">
      <c r="AS20493" s="47"/>
    </row>
    <row r="20494" spans="45:45">
      <c r="AS20494" s="47"/>
    </row>
    <row r="20495" spans="45:45">
      <c r="AS20495" s="47"/>
    </row>
    <row r="20496" spans="45:45">
      <c r="AS20496" s="47"/>
    </row>
    <row r="20497" spans="45:45">
      <c r="AS20497" s="47"/>
    </row>
    <row r="20498" spans="45:45">
      <c r="AS20498" s="47"/>
    </row>
    <row r="20499" spans="45:45">
      <c r="AS20499" s="47"/>
    </row>
    <row r="20500" spans="45:45">
      <c r="AS20500" s="47"/>
    </row>
    <row r="20501" spans="45:45">
      <c r="AS20501" s="47"/>
    </row>
    <row r="20502" spans="45:45">
      <c r="AS20502" s="47"/>
    </row>
    <row r="20503" spans="45:45">
      <c r="AS20503" s="47"/>
    </row>
    <row r="20504" spans="45:45">
      <c r="AS20504" s="47"/>
    </row>
    <row r="20505" spans="45:45">
      <c r="AS20505" s="47"/>
    </row>
    <row r="20506" spans="45:45">
      <c r="AS20506" s="47"/>
    </row>
    <row r="20507" spans="45:45">
      <c r="AS20507" s="47"/>
    </row>
    <row r="20508" spans="45:45">
      <c r="AS20508" s="47"/>
    </row>
    <row r="20509" spans="45:45">
      <c r="AS20509" s="47"/>
    </row>
    <row r="20510" spans="45:45">
      <c r="AS20510" s="47"/>
    </row>
    <row r="20511" spans="45:45">
      <c r="AS20511" s="47"/>
    </row>
    <row r="20512" spans="45:45">
      <c r="AS20512" s="47"/>
    </row>
    <row r="20513" spans="45:45">
      <c r="AS20513" s="47"/>
    </row>
    <row r="20514" spans="45:45">
      <c r="AS20514" s="47"/>
    </row>
    <row r="20515" spans="45:45">
      <c r="AS20515" s="47"/>
    </row>
    <row r="20516" spans="45:45">
      <c r="AS20516" s="47"/>
    </row>
    <row r="20517" spans="45:45">
      <c r="AS20517" s="47"/>
    </row>
    <row r="20518" spans="45:45">
      <c r="AS20518" s="47"/>
    </row>
    <row r="20519" spans="45:45">
      <c r="AS20519" s="47"/>
    </row>
    <row r="20520" spans="45:45">
      <c r="AS20520" s="47"/>
    </row>
    <row r="20521" spans="45:45">
      <c r="AS20521" s="47"/>
    </row>
    <row r="20522" spans="45:45">
      <c r="AS20522" s="47"/>
    </row>
    <row r="20523" spans="45:45">
      <c r="AS20523" s="47"/>
    </row>
    <row r="20524" spans="45:45">
      <c r="AS20524" s="47"/>
    </row>
    <row r="20525" spans="45:45">
      <c r="AS20525" s="47"/>
    </row>
    <row r="20526" spans="45:45">
      <c r="AS20526" s="47"/>
    </row>
    <row r="20527" spans="45:45">
      <c r="AS20527" s="47"/>
    </row>
    <row r="20528" spans="45:45">
      <c r="AS20528" s="47"/>
    </row>
    <row r="20529" spans="45:45">
      <c r="AS20529" s="47"/>
    </row>
    <row r="20530" spans="45:45">
      <c r="AS20530" s="47"/>
    </row>
    <row r="20531" spans="45:45">
      <c r="AS20531" s="47"/>
    </row>
    <row r="20532" spans="45:45">
      <c r="AS20532" s="47"/>
    </row>
    <row r="20533" spans="45:45">
      <c r="AS20533" s="47"/>
    </row>
    <row r="20534" spans="45:45">
      <c r="AS20534" s="47"/>
    </row>
    <row r="20535" spans="45:45">
      <c r="AS20535" s="47"/>
    </row>
    <row r="20536" spans="45:45">
      <c r="AS20536" s="47"/>
    </row>
    <row r="20537" spans="45:45">
      <c r="AS20537" s="47"/>
    </row>
    <row r="20538" spans="45:45">
      <c r="AS20538" s="47"/>
    </row>
    <row r="20539" spans="45:45">
      <c r="AS20539" s="47"/>
    </row>
    <row r="20540" spans="45:45">
      <c r="AS20540" s="47"/>
    </row>
    <row r="20541" spans="45:45">
      <c r="AS20541" s="47"/>
    </row>
    <row r="20542" spans="45:45">
      <c r="AS20542" s="47"/>
    </row>
    <row r="20543" spans="45:45">
      <c r="AS20543" s="47"/>
    </row>
    <row r="20544" spans="45:45">
      <c r="AS20544" s="47"/>
    </row>
    <row r="20545" spans="45:45">
      <c r="AS20545" s="47"/>
    </row>
    <row r="20546" spans="45:45">
      <c r="AS20546" s="47"/>
    </row>
    <row r="20547" spans="45:45">
      <c r="AS20547" s="47"/>
    </row>
    <row r="20548" spans="45:45">
      <c r="AS20548" s="47"/>
    </row>
    <row r="20549" spans="45:45">
      <c r="AS20549" s="47"/>
    </row>
    <row r="20550" spans="45:45">
      <c r="AS20550" s="47"/>
    </row>
    <row r="20551" spans="45:45">
      <c r="AS20551" s="47"/>
    </row>
    <row r="20552" spans="45:45">
      <c r="AS20552" s="47"/>
    </row>
    <row r="20553" spans="45:45">
      <c r="AS20553" s="47"/>
    </row>
    <row r="20554" spans="45:45">
      <c r="AS20554" s="47"/>
    </row>
    <row r="20555" spans="45:45">
      <c r="AS20555" s="47"/>
    </row>
    <row r="20556" spans="45:45">
      <c r="AS20556" s="47"/>
    </row>
    <row r="20557" spans="45:45">
      <c r="AS20557" s="47"/>
    </row>
    <row r="20558" spans="45:45">
      <c r="AS20558" s="47"/>
    </row>
    <row r="20559" spans="45:45">
      <c r="AS20559" s="47"/>
    </row>
    <row r="20560" spans="45:45">
      <c r="AS20560" s="47"/>
    </row>
    <row r="20561" spans="45:45">
      <c r="AS20561" s="47"/>
    </row>
    <row r="20562" spans="45:45">
      <c r="AS20562" s="47"/>
    </row>
    <row r="20563" spans="45:45">
      <c r="AS20563" s="47"/>
    </row>
    <row r="20564" spans="45:45">
      <c r="AS20564" s="47"/>
    </row>
    <row r="20565" spans="45:45">
      <c r="AS20565" s="47"/>
    </row>
    <row r="20566" spans="45:45">
      <c r="AS20566" s="47"/>
    </row>
    <row r="20567" spans="45:45">
      <c r="AS20567" s="47"/>
    </row>
    <row r="20568" spans="45:45">
      <c r="AS20568" s="47"/>
    </row>
    <row r="20569" spans="45:45">
      <c r="AS20569" s="47"/>
    </row>
    <row r="20570" spans="45:45">
      <c r="AS20570" s="47"/>
    </row>
    <row r="20571" spans="45:45">
      <c r="AS20571" s="47"/>
    </row>
    <row r="20572" spans="45:45">
      <c r="AS20572" s="47"/>
    </row>
    <row r="20573" spans="45:45">
      <c r="AS20573" s="47"/>
    </row>
    <row r="20574" spans="45:45">
      <c r="AS20574" s="47"/>
    </row>
    <row r="20575" spans="45:45">
      <c r="AS20575" s="47"/>
    </row>
    <row r="20576" spans="45:45">
      <c r="AS20576" s="47"/>
    </row>
    <row r="20577" spans="45:45">
      <c r="AS20577" s="47"/>
    </row>
    <row r="20578" spans="45:45">
      <c r="AS20578" s="47"/>
    </row>
    <row r="20579" spans="45:45">
      <c r="AS20579" s="47"/>
    </row>
    <row r="20580" spans="45:45">
      <c r="AS20580" s="47"/>
    </row>
    <row r="20581" spans="45:45">
      <c r="AS20581" s="47"/>
    </row>
    <row r="20582" spans="45:45">
      <c r="AS20582" s="47"/>
    </row>
    <row r="20583" spans="45:45">
      <c r="AS20583" s="47"/>
    </row>
    <row r="20584" spans="45:45">
      <c r="AS20584" s="47"/>
    </row>
    <row r="20585" spans="45:45">
      <c r="AS20585" s="47"/>
    </row>
    <row r="20586" spans="45:45">
      <c r="AS20586" s="47"/>
    </row>
    <row r="20587" spans="45:45">
      <c r="AS20587" s="47"/>
    </row>
    <row r="20588" spans="45:45">
      <c r="AS20588" s="47"/>
    </row>
    <row r="20589" spans="45:45">
      <c r="AS20589" s="47"/>
    </row>
    <row r="20590" spans="45:45">
      <c r="AS20590" s="47"/>
    </row>
    <row r="20591" spans="45:45">
      <c r="AS20591" s="47"/>
    </row>
    <row r="20592" spans="45:45">
      <c r="AS20592" s="47"/>
    </row>
    <row r="20593" spans="45:45">
      <c r="AS20593" s="47"/>
    </row>
    <row r="20594" spans="45:45">
      <c r="AS20594" s="47"/>
    </row>
    <row r="20595" spans="45:45">
      <c r="AS20595" s="47"/>
    </row>
    <row r="20596" spans="45:45">
      <c r="AS20596" s="47"/>
    </row>
    <row r="20597" spans="45:45">
      <c r="AS20597" s="47"/>
    </row>
    <row r="20598" spans="45:45">
      <c r="AS20598" s="47"/>
    </row>
    <row r="20599" spans="45:45">
      <c r="AS20599" s="47"/>
    </row>
    <row r="20600" spans="45:45">
      <c r="AS20600" s="47"/>
    </row>
    <row r="20601" spans="45:45">
      <c r="AS20601" s="47"/>
    </row>
    <row r="20602" spans="45:45">
      <c r="AS20602" s="47"/>
    </row>
    <row r="20603" spans="45:45">
      <c r="AS20603" s="47"/>
    </row>
    <row r="20604" spans="45:45">
      <c r="AS20604" s="47"/>
    </row>
    <row r="20605" spans="45:45">
      <c r="AS20605" s="47"/>
    </row>
    <row r="20606" spans="45:45">
      <c r="AS20606" s="47"/>
    </row>
    <row r="20607" spans="45:45">
      <c r="AS20607" s="47"/>
    </row>
    <row r="20608" spans="45:45">
      <c r="AS20608" s="47"/>
    </row>
    <row r="20609" spans="45:45">
      <c r="AS20609" s="47"/>
    </row>
    <row r="20610" spans="45:45">
      <c r="AS20610" s="47"/>
    </row>
    <row r="20611" spans="45:45">
      <c r="AS20611" s="47"/>
    </row>
    <row r="20612" spans="45:45">
      <c r="AS20612" s="47"/>
    </row>
    <row r="20613" spans="45:45">
      <c r="AS20613" s="47"/>
    </row>
    <row r="20614" spans="45:45">
      <c r="AS20614" s="47"/>
    </row>
    <row r="20615" spans="45:45">
      <c r="AS20615" s="47"/>
    </row>
    <row r="20616" spans="45:45">
      <c r="AS20616" s="47"/>
    </row>
    <row r="20617" spans="45:45">
      <c r="AS20617" s="47"/>
    </row>
    <row r="20618" spans="45:45">
      <c r="AS20618" s="47"/>
    </row>
    <row r="20619" spans="45:45">
      <c r="AS20619" s="47"/>
    </row>
    <row r="20620" spans="45:45">
      <c r="AS20620" s="47"/>
    </row>
    <row r="20621" spans="45:45">
      <c r="AS20621" s="47"/>
    </row>
    <row r="20622" spans="45:45">
      <c r="AS20622" s="47"/>
    </row>
    <row r="20623" spans="45:45">
      <c r="AS20623" s="47"/>
    </row>
    <row r="20624" spans="45:45">
      <c r="AS20624" s="47"/>
    </row>
    <row r="20625" spans="45:45">
      <c r="AS20625" s="47"/>
    </row>
    <row r="20626" spans="45:45">
      <c r="AS20626" s="47"/>
    </row>
    <row r="20627" spans="45:45">
      <c r="AS20627" s="47"/>
    </row>
    <row r="20628" spans="45:45">
      <c r="AS20628" s="47"/>
    </row>
    <row r="20629" spans="45:45">
      <c r="AS20629" s="47"/>
    </row>
    <row r="20630" spans="45:45">
      <c r="AS20630" s="47"/>
    </row>
    <row r="20631" spans="45:45">
      <c r="AS20631" s="47"/>
    </row>
    <row r="20632" spans="45:45">
      <c r="AS20632" s="47"/>
    </row>
    <row r="20633" spans="45:45">
      <c r="AS20633" s="47"/>
    </row>
    <row r="20634" spans="45:45">
      <c r="AS20634" s="47"/>
    </row>
    <row r="20635" spans="45:45">
      <c r="AS20635" s="47"/>
    </row>
    <row r="20636" spans="45:45">
      <c r="AS20636" s="47"/>
    </row>
    <row r="20637" spans="45:45">
      <c r="AS20637" s="47"/>
    </row>
    <row r="20638" spans="45:45">
      <c r="AS20638" s="47"/>
    </row>
    <row r="20639" spans="45:45">
      <c r="AS20639" s="47"/>
    </row>
    <row r="20640" spans="45:45">
      <c r="AS20640" s="47"/>
    </row>
    <row r="20641" spans="45:45">
      <c r="AS20641" s="47"/>
    </row>
    <row r="20642" spans="45:45">
      <c r="AS20642" s="47"/>
    </row>
    <row r="20643" spans="45:45">
      <c r="AS20643" s="47"/>
    </row>
    <row r="20644" spans="45:45">
      <c r="AS20644" s="47"/>
    </row>
    <row r="20645" spans="45:45">
      <c r="AS20645" s="47"/>
    </row>
    <row r="20646" spans="45:45">
      <c r="AS20646" s="47"/>
    </row>
    <row r="20647" spans="45:45">
      <c r="AS20647" s="47"/>
    </row>
    <row r="20648" spans="45:45">
      <c r="AS20648" s="47"/>
    </row>
    <row r="20649" spans="45:45">
      <c r="AS20649" s="47"/>
    </row>
    <row r="20650" spans="45:45">
      <c r="AS20650" s="47"/>
    </row>
    <row r="20651" spans="45:45">
      <c r="AS20651" s="47"/>
    </row>
    <row r="20652" spans="45:45">
      <c r="AS20652" s="47"/>
    </row>
    <row r="20653" spans="45:45">
      <c r="AS20653" s="47"/>
    </row>
    <row r="20654" spans="45:45">
      <c r="AS20654" s="47"/>
    </row>
    <row r="20655" spans="45:45">
      <c r="AS20655" s="47"/>
    </row>
    <row r="20656" spans="45:45">
      <c r="AS20656" s="47"/>
    </row>
    <row r="20657" spans="45:45">
      <c r="AS20657" s="47"/>
    </row>
    <row r="20658" spans="45:45">
      <c r="AS20658" s="47"/>
    </row>
    <row r="20659" spans="45:45">
      <c r="AS20659" s="47"/>
    </row>
    <row r="20660" spans="45:45">
      <c r="AS20660" s="47"/>
    </row>
    <row r="20661" spans="45:45">
      <c r="AS20661" s="47"/>
    </row>
    <row r="20662" spans="45:45">
      <c r="AS20662" s="47"/>
    </row>
    <row r="20663" spans="45:45">
      <c r="AS20663" s="47"/>
    </row>
    <row r="20664" spans="45:45">
      <c r="AS20664" s="47"/>
    </row>
    <row r="20665" spans="45:45">
      <c r="AS20665" s="47"/>
    </row>
    <row r="20666" spans="45:45">
      <c r="AS20666" s="47"/>
    </row>
    <row r="20667" spans="45:45">
      <c r="AS20667" s="47"/>
    </row>
    <row r="20668" spans="45:45">
      <c r="AS20668" s="47"/>
    </row>
    <row r="20669" spans="45:45">
      <c r="AS20669" s="47"/>
    </row>
    <row r="20670" spans="45:45">
      <c r="AS20670" s="47"/>
    </row>
    <row r="20671" spans="45:45">
      <c r="AS20671" s="47"/>
    </row>
    <row r="20672" spans="45:45">
      <c r="AS20672" s="47"/>
    </row>
    <row r="20673" spans="45:45">
      <c r="AS20673" s="47"/>
    </row>
    <row r="20674" spans="45:45">
      <c r="AS20674" s="47"/>
    </row>
    <row r="20675" spans="45:45">
      <c r="AS20675" s="47"/>
    </row>
    <row r="20676" spans="45:45">
      <c r="AS20676" s="47"/>
    </row>
    <row r="20677" spans="45:45">
      <c r="AS20677" s="47"/>
    </row>
    <row r="20678" spans="45:45">
      <c r="AS20678" s="47"/>
    </row>
    <row r="20679" spans="45:45">
      <c r="AS20679" s="47"/>
    </row>
    <row r="20680" spans="45:45">
      <c r="AS20680" s="47"/>
    </row>
    <row r="20681" spans="45:45">
      <c r="AS20681" s="47"/>
    </row>
    <row r="20682" spans="45:45">
      <c r="AS20682" s="47"/>
    </row>
    <row r="20683" spans="45:45">
      <c r="AS20683" s="47"/>
    </row>
    <row r="20684" spans="45:45">
      <c r="AS20684" s="47"/>
    </row>
    <row r="20685" spans="45:45">
      <c r="AS20685" s="47"/>
    </row>
    <row r="20686" spans="45:45">
      <c r="AS20686" s="47"/>
    </row>
    <row r="20687" spans="45:45">
      <c r="AS20687" s="47"/>
    </row>
    <row r="20688" spans="45:45">
      <c r="AS20688" s="47"/>
    </row>
    <row r="20689" spans="45:45">
      <c r="AS20689" s="47"/>
    </row>
    <row r="20690" spans="45:45">
      <c r="AS20690" s="47"/>
    </row>
    <row r="20691" spans="45:45">
      <c r="AS20691" s="47"/>
    </row>
    <row r="20692" spans="45:45">
      <c r="AS20692" s="47"/>
    </row>
    <row r="20693" spans="45:45">
      <c r="AS20693" s="47"/>
    </row>
    <row r="20694" spans="45:45">
      <c r="AS20694" s="47"/>
    </row>
    <row r="20695" spans="45:45">
      <c r="AS20695" s="47"/>
    </row>
    <row r="20696" spans="45:45">
      <c r="AS20696" s="47"/>
    </row>
    <row r="20697" spans="45:45">
      <c r="AS20697" s="47"/>
    </row>
    <row r="20698" spans="45:45">
      <c r="AS20698" s="47"/>
    </row>
    <row r="20699" spans="45:45">
      <c r="AS20699" s="47"/>
    </row>
    <row r="20700" spans="45:45">
      <c r="AS20700" s="47"/>
    </row>
    <row r="20701" spans="45:45">
      <c r="AS20701" s="47"/>
    </row>
    <row r="20702" spans="45:45">
      <c r="AS20702" s="47"/>
    </row>
    <row r="20703" spans="45:45">
      <c r="AS20703" s="47"/>
    </row>
    <row r="20704" spans="45:45">
      <c r="AS20704" s="47"/>
    </row>
    <row r="20705" spans="45:45">
      <c r="AS20705" s="47"/>
    </row>
    <row r="20706" spans="45:45">
      <c r="AS20706" s="47"/>
    </row>
    <row r="20707" spans="45:45">
      <c r="AS20707" s="47"/>
    </row>
    <row r="20708" spans="45:45">
      <c r="AS20708" s="47"/>
    </row>
    <row r="20709" spans="45:45">
      <c r="AS20709" s="47"/>
    </row>
    <row r="20710" spans="45:45">
      <c r="AS20710" s="47"/>
    </row>
    <row r="20711" spans="45:45">
      <c r="AS20711" s="47"/>
    </row>
    <row r="20712" spans="45:45">
      <c r="AS20712" s="47"/>
    </row>
    <row r="20713" spans="45:45">
      <c r="AS20713" s="47"/>
    </row>
    <row r="20714" spans="45:45">
      <c r="AS20714" s="47"/>
    </row>
    <row r="20715" spans="45:45">
      <c r="AS20715" s="47"/>
    </row>
    <row r="20716" spans="45:45">
      <c r="AS20716" s="47"/>
    </row>
    <row r="20717" spans="45:45">
      <c r="AS20717" s="47"/>
    </row>
    <row r="20718" spans="45:45">
      <c r="AS20718" s="47"/>
    </row>
    <row r="20719" spans="45:45">
      <c r="AS20719" s="47"/>
    </row>
    <row r="20720" spans="45:45">
      <c r="AS20720" s="47"/>
    </row>
    <row r="20721" spans="45:45">
      <c r="AS20721" s="47"/>
    </row>
    <row r="20722" spans="45:45">
      <c r="AS20722" s="47"/>
    </row>
    <row r="20723" spans="45:45">
      <c r="AS20723" s="47"/>
    </row>
    <row r="20724" spans="45:45">
      <c r="AS20724" s="47"/>
    </row>
    <row r="20725" spans="45:45">
      <c r="AS20725" s="47"/>
    </row>
    <row r="20726" spans="45:45">
      <c r="AS20726" s="47"/>
    </row>
    <row r="20727" spans="45:45">
      <c r="AS20727" s="47"/>
    </row>
    <row r="20728" spans="45:45">
      <c r="AS20728" s="47"/>
    </row>
    <row r="20729" spans="45:45">
      <c r="AS20729" s="47"/>
    </row>
    <row r="20730" spans="45:45">
      <c r="AS20730" s="47"/>
    </row>
    <row r="20731" spans="45:45">
      <c r="AS20731" s="47"/>
    </row>
    <row r="20732" spans="45:45">
      <c r="AS20732" s="47"/>
    </row>
    <row r="20733" spans="45:45">
      <c r="AS20733" s="47"/>
    </row>
    <row r="20734" spans="45:45">
      <c r="AS20734" s="47"/>
    </row>
    <row r="20735" spans="45:45">
      <c r="AS20735" s="47"/>
    </row>
    <row r="20736" spans="45:45">
      <c r="AS20736" s="47"/>
    </row>
    <row r="20737" spans="45:45">
      <c r="AS20737" s="47"/>
    </row>
    <row r="20738" spans="45:45">
      <c r="AS20738" s="47"/>
    </row>
    <row r="20739" spans="45:45">
      <c r="AS20739" s="47"/>
    </row>
    <row r="20740" spans="45:45">
      <c r="AS20740" s="47"/>
    </row>
    <row r="20741" spans="45:45">
      <c r="AS20741" s="47"/>
    </row>
    <row r="20742" spans="45:45">
      <c r="AS20742" s="47"/>
    </row>
    <row r="20743" spans="45:45">
      <c r="AS20743" s="47"/>
    </row>
    <row r="20744" spans="45:45">
      <c r="AS20744" s="47"/>
    </row>
    <row r="20745" spans="45:45">
      <c r="AS20745" s="47"/>
    </row>
    <row r="20746" spans="45:45">
      <c r="AS20746" s="47"/>
    </row>
    <row r="20747" spans="45:45">
      <c r="AS20747" s="47"/>
    </row>
    <row r="20748" spans="45:45">
      <c r="AS20748" s="47"/>
    </row>
    <row r="20749" spans="45:45">
      <c r="AS20749" s="47"/>
    </row>
    <row r="20750" spans="45:45">
      <c r="AS20750" s="47"/>
    </row>
    <row r="20751" spans="45:45">
      <c r="AS20751" s="47"/>
    </row>
    <row r="20752" spans="45:45">
      <c r="AS20752" s="47"/>
    </row>
    <row r="20753" spans="45:45">
      <c r="AS20753" s="47"/>
    </row>
    <row r="20754" spans="45:45">
      <c r="AS20754" s="47"/>
    </row>
    <row r="20755" spans="45:45">
      <c r="AS20755" s="47"/>
    </row>
    <row r="20756" spans="45:45">
      <c r="AS20756" s="47"/>
    </row>
    <row r="20757" spans="45:45">
      <c r="AS20757" s="47"/>
    </row>
    <row r="20758" spans="45:45">
      <c r="AS20758" s="47"/>
    </row>
    <row r="20759" spans="45:45">
      <c r="AS20759" s="47"/>
    </row>
    <row r="20760" spans="45:45">
      <c r="AS20760" s="47"/>
    </row>
    <row r="20761" spans="45:45">
      <c r="AS20761" s="47"/>
    </row>
    <row r="20762" spans="45:45">
      <c r="AS20762" s="47"/>
    </row>
    <row r="20763" spans="45:45">
      <c r="AS20763" s="47"/>
    </row>
    <row r="20764" spans="45:45">
      <c r="AS20764" s="47"/>
    </row>
    <row r="20765" spans="45:45">
      <c r="AS20765" s="47"/>
    </row>
    <row r="20766" spans="45:45">
      <c r="AS20766" s="47"/>
    </row>
    <row r="20767" spans="45:45">
      <c r="AS20767" s="47"/>
    </row>
    <row r="20768" spans="45:45">
      <c r="AS20768" s="47"/>
    </row>
    <row r="20769" spans="45:45">
      <c r="AS20769" s="47"/>
    </row>
    <row r="20770" spans="45:45">
      <c r="AS20770" s="47"/>
    </row>
    <row r="20771" spans="45:45">
      <c r="AS20771" s="47"/>
    </row>
    <row r="20772" spans="45:45">
      <c r="AS20772" s="47"/>
    </row>
    <row r="20773" spans="45:45">
      <c r="AS20773" s="47"/>
    </row>
    <row r="20774" spans="45:45">
      <c r="AS20774" s="47"/>
    </row>
    <row r="20775" spans="45:45">
      <c r="AS20775" s="47"/>
    </row>
    <row r="20776" spans="45:45">
      <c r="AS20776" s="47"/>
    </row>
    <row r="20777" spans="45:45">
      <c r="AS20777" s="47"/>
    </row>
    <row r="20778" spans="45:45">
      <c r="AS20778" s="47"/>
    </row>
    <row r="20779" spans="45:45">
      <c r="AS20779" s="47"/>
    </row>
    <row r="20780" spans="45:45">
      <c r="AS20780" s="47"/>
    </row>
    <row r="20781" spans="45:45">
      <c r="AS20781" s="47"/>
    </row>
    <row r="20782" spans="45:45">
      <c r="AS20782" s="47"/>
    </row>
    <row r="20783" spans="45:45">
      <c r="AS20783" s="47"/>
    </row>
    <row r="20784" spans="45:45">
      <c r="AS20784" s="47"/>
    </row>
    <row r="20785" spans="45:45">
      <c r="AS20785" s="47"/>
    </row>
    <row r="20786" spans="45:45">
      <c r="AS20786" s="47"/>
    </row>
    <row r="20787" spans="45:45">
      <c r="AS20787" s="47"/>
    </row>
    <row r="20788" spans="45:45">
      <c r="AS20788" s="47"/>
    </row>
    <row r="20789" spans="45:45">
      <c r="AS20789" s="47"/>
    </row>
    <row r="20790" spans="45:45">
      <c r="AS20790" s="47"/>
    </row>
    <row r="20791" spans="45:45">
      <c r="AS20791" s="47"/>
    </row>
    <row r="20792" spans="45:45">
      <c r="AS20792" s="47"/>
    </row>
    <row r="20793" spans="45:45">
      <c r="AS20793" s="47"/>
    </row>
    <row r="20794" spans="45:45">
      <c r="AS20794" s="47"/>
    </row>
    <row r="20795" spans="45:45">
      <c r="AS20795" s="47"/>
    </row>
    <row r="20796" spans="45:45">
      <c r="AS20796" s="47"/>
    </row>
    <row r="20797" spans="45:45">
      <c r="AS20797" s="47"/>
    </row>
    <row r="20798" spans="45:45">
      <c r="AS20798" s="47"/>
    </row>
    <row r="20799" spans="45:45">
      <c r="AS20799" s="47"/>
    </row>
    <row r="20800" spans="45:45">
      <c r="AS20800" s="47"/>
    </row>
    <row r="20801" spans="45:45">
      <c r="AS20801" s="47"/>
    </row>
    <row r="20802" spans="45:45">
      <c r="AS20802" s="47"/>
    </row>
    <row r="20803" spans="45:45">
      <c r="AS20803" s="47"/>
    </row>
    <row r="20804" spans="45:45">
      <c r="AS20804" s="47"/>
    </row>
    <row r="20805" spans="45:45">
      <c r="AS20805" s="47"/>
    </row>
    <row r="20806" spans="45:45">
      <c r="AS20806" s="47"/>
    </row>
    <row r="20807" spans="45:45">
      <c r="AS20807" s="47"/>
    </row>
    <row r="20808" spans="45:45">
      <c r="AS20808" s="47"/>
    </row>
    <row r="20809" spans="45:45">
      <c r="AS20809" s="47"/>
    </row>
    <row r="20810" spans="45:45">
      <c r="AS20810" s="47"/>
    </row>
    <row r="20811" spans="45:45">
      <c r="AS20811" s="47"/>
    </row>
    <row r="20812" spans="45:45">
      <c r="AS20812" s="47"/>
    </row>
    <row r="20813" spans="45:45">
      <c r="AS20813" s="47"/>
    </row>
    <row r="20814" spans="45:45">
      <c r="AS20814" s="47"/>
    </row>
    <row r="20815" spans="45:45">
      <c r="AS20815" s="47"/>
    </row>
    <row r="20816" spans="45:45">
      <c r="AS20816" s="47"/>
    </row>
    <row r="20817" spans="45:45">
      <c r="AS20817" s="47"/>
    </row>
    <row r="20818" spans="45:45">
      <c r="AS20818" s="47"/>
    </row>
    <row r="20819" spans="45:45">
      <c r="AS20819" s="47"/>
    </row>
    <row r="20820" spans="45:45">
      <c r="AS20820" s="47"/>
    </row>
    <row r="20821" spans="45:45">
      <c r="AS20821" s="47"/>
    </row>
    <row r="20822" spans="45:45">
      <c r="AS20822" s="47"/>
    </row>
    <row r="20823" spans="45:45">
      <c r="AS20823" s="47"/>
    </row>
    <row r="20824" spans="45:45">
      <c r="AS20824" s="47"/>
    </row>
    <row r="20825" spans="45:45">
      <c r="AS20825" s="47"/>
    </row>
    <row r="20826" spans="45:45">
      <c r="AS20826" s="47"/>
    </row>
    <row r="20827" spans="45:45">
      <c r="AS20827" s="47"/>
    </row>
    <row r="20828" spans="45:45">
      <c r="AS20828" s="47"/>
    </row>
    <row r="20829" spans="45:45">
      <c r="AS20829" s="47"/>
    </row>
    <row r="20830" spans="45:45">
      <c r="AS20830" s="47"/>
    </row>
    <row r="20831" spans="45:45">
      <c r="AS20831" s="47"/>
    </row>
    <row r="20832" spans="45:45">
      <c r="AS20832" s="47"/>
    </row>
    <row r="20833" spans="45:45">
      <c r="AS20833" s="47"/>
    </row>
    <row r="20834" spans="45:45">
      <c r="AS20834" s="47"/>
    </row>
    <row r="20835" spans="45:45">
      <c r="AS20835" s="47"/>
    </row>
    <row r="20836" spans="45:45">
      <c r="AS20836" s="47"/>
    </row>
    <row r="20837" spans="45:45">
      <c r="AS20837" s="47"/>
    </row>
    <row r="20838" spans="45:45">
      <c r="AS20838" s="47"/>
    </row>
    <row r="20839" spans="45:45">
      <c r="AS20839" s="47"/>
    </row>
    <row r="20840" spans="45:45">
      <c r="AS20840" s="47"/>
    </row>
    <row r="20841" spans="45:45">
      <c r="AS20841" s="47"/>
    </row>
    <row r="20842" spans="45:45">
      <c r="AS20842" s="47"/>
    </row>
    <row r="20843" spans="45:45">
      <c r="AS20843" s="47"/>
    </row>
    <row r="20844" spans="45:45">
      <c r="AS20844" s="47"/>
    </row>
    <row r="20845" spans="45:45">
      <c r="AS20845" s="47"/>
    </row>
    <row r="20846" spans="45:45">
      <c r="AS20846" s="47"/>
    </row>
    <row r="20847" spans="45:45">
      <c r="AS20847" s="47"/>
    </row>
    <row r="20848" spans="45:45">
      <c r="AS20848" s="47"/>
    </row>
    <row r="20849" spans="45:45">
      <c r="AS20849" s="47"/>
    </row>
    <row r="20850" spans="45:45">
      <c r="AS20850" s="47"/>
    </row>
    <row r="20851" spans="45:45">
      <c r="AS20851" s="47"/>
    </row>
    <row r="20852" spans="45:45">
      <c r="AS20852" s="47"/>
    </row>
    <row r="20853" spans="45:45">
      <c r="AS20853" s="47"/>
    </row>
    <row r="20854" spans="45:45">
      <c r="AS20854" s="47"/>
    </row>
    <row r="20855" spans="45:45">
      <c r="AS20855" s="47"/>
    </row>
    <row r="20856" spans="45:45">
      <c r="AS20856" s="47"/>
    </row>
    <row r="20857" spans="45:45">
      <c r="AS20857" s="47"/>
    </row>
    <row r="20858" spans="45:45">
      <c r="AS20858" s="47"/>
    </row>
    <row r="20859" spans="45:45">
      <c r="AS20859" s="47"/>
    </row>
    <row r="20860" spans="45:45">
      <c r="AS20860" s="47"/>
    </row>
    <row r="20861" spans="45:45">
      <c r="AS20861" s="47"/>
    </row>
    <row r="20862" spans="45:45">
      <c r="AS20862" s="47"/>
    </row>
    <row r="20863" spans="45:45">
      <c r="AS20863" s="47"/>
    </row>
    <row r="20864" spans="45:45">
      <c r="AS20864" s="47"/>
    </row>
    <row r="20865" spans="45:45">
      <c r="AS20865" s="47"/>
    </row>
    <row r="20866" spans="45:45">
      <c r="AS20866" s="47"/>
    </row>
    <row r="20867" spans="45:45">
      <c r="AS20867" s="47"/>
    </row>
    <row r="20868" spans="45:45">
      <c r="AS20868" s="47"/>
    </row>
    <row r="20869" spans="45:45">
      <c r="AS20869" s="47"/>
    </row>
    <row r="20870" spans="45:45">
      <c r="AS20870" s="47"/>
    </row>
    <row r="20871" spans="45:45">
      <c r="AS20871" s="47"/>
    </row>
    <row r="20872" spans="45:45">
      <c r="AS20872" s="47"/>
    </row>
    <row r="20873" spans="45:45">
      <c r="AS20873" s="47"/>
    </row>
    <row r="20874" spans="45:45">
      <c r="AS20874" s="47"/>
    </row>
    <row r="20875" spans="45:45">
      <c r="AS20875" s="47"/>
    </row>
    <row r="20876" spans="45:45">
      <c r="AS20876" s="47"/>
    </row>
    <row r="20877" spans="45:45">
      <c r="AS20877" s="47"/>
    </row>
    <row r="20878" spans="45:45">
      <c r="AS20878" s="47"/>
    </row>
    <row r="20879" spans="45:45">
      <c r="AS20879" s="47"/>
    </row>
    <row r="20880" spans="45:45">
      <c r="AS20880" s="47"/>
    </row>
    <row r="20881" spans="45:45">
      <c r="AS20881" s="47"/>
    </row>
    <row r="20882" spans="45:45">
      <c r="AS20882" s="47"/>
    </row>
    <row r="20883" spans="45:45">
      <c r="AS20883" s="47"/>
    </row>
    <row r="20884" spans="45:45">
      <c r="AS20884" s="47"/>
    </row>
    <row r="20885" spans="45:45">
      <c r="AS20885" s="47"/>
    </row>
    <row r="20886" spans="45:45">
      <c r="AS20886" s="47"/>
    </row>
    <row r="20887" spans="45:45">
      <c r="AS20887" s="47"/>
    </row>
    <row r="20888" spans="45:45">
      <c r="AS20888" s="47"/>
    </row>
    <row r="20889" spans="45:45">
      <c r="AS20889" s="47"/>
    </row>
    <row r="20890" spans="45:45">
      <c r="AS20890" s="47"/>
    </row>
    <row r="20891" spans="45:45">
      <c r="AS20891" s="47"/>
    </row>
    <row r="20892" spans="45:45">
      <c r="AS20892" s="47"/>
    </row>
    <row r="20893" spans="45:45">
      <c r="AS20893" s="47"/>
    </row>
    <row r="20894" spans="45:45">
      <c r="AS20894" s="47"/>
    </row>
    <row r="20895" spans="45:45">
      <c r="AS20895" s="47"/>
    </row>
    <row r="20896" spans="45:45">
      <c r="AS20896" s="47"/>
    </row>
    <row r="20897" spans="45:45">
      <c r="AS20897" s="47"/>
    </row>
    <row r="20898" spans="45:45">
      <c r="AS20898" s="47"/>
    </row>
    <row r="20899" spans="45:45">
      <c r="AS20899" s="47"/>
    </row>
    <row r="20900" spans="45:45">
      <c r="AS20900" s="47"/>
    </row>
    <row r="20901" spans="45:45">
      <c r="AS20901" s="47"/>
    </row>
    <row r="20902" spans="45:45">
      <c r="AS20902" s="47"/>
    </row>
    <row r="20903" spans="45:45">
      <c r="AS20903" s="47"/>
    </row>
    <row r="20904" spans="45:45">
      <c r="AS20904" s="47"/>
    </row>
    <row r="20905" spans="45:45">
      <c r="AS20905" s="47"/>
    </row>
    <row r="20906" spans="45:45">
      <c r="AS20906" s="47"/>
    </row>
    <row r="20907" spans="45:45">
      <c r="AS20907" s="47"/>
    </row>
    <row r="20908" spans="45:45">
      <c r="AS20908" s="47"/>
    </row>
    <row r="20909" spans="45:45">
      <c r="AS20909" s="47"/>
    </row>
    <row r="20910" spans="45:45">
      <c r="AS20910" s="47"/>
    </row>
    <row r="20911" spans="45:45">
      <c r="AS20911" s="47"/>
    </row>
    <row r="20912" spans="45:45">
      <c r="AS20912" s="47"/>
    </row>
    <row r="20913" spans="45:45">
      <c r="AS20913" s="47"/>
    </row>
    <row r="20914" spans="45:45">
      <c r="AS20914" s="47"/>
    </row>
    <row r="20915" spans="45:45">
      <c r="AS20915" s="47"/>
    </row>
    <row r="20916" spans="45:45">
      <c r="AS20916" s="47"/>
    </row>
    <row r="20917" spans="45:45">
      <c r="AS20917" s="47"/>
    </row>
    <row r="20918" spans="45:45">
      <c r="AS20918" s="47"/>
    </row>
    <row r="20919" spans="45:45">
      <c r="AS20919" s="47"/>
    </row>
    <row r="20920" spans="45:45">
      <c r="AS20920" s="47"/>
    </row>
    <row r="20921" spans="45:45">
      <c r="AS20921" s="47"/>
    </row>
    <row r="20922" spans="45:45">
      <c r="AS20922" s="47"/>
    </row>
    <row r="20923" spans="45:45">
      <c r="AS20923" s="47"/>
    </row>
    <row r="20924" spans="45:45">
      <c r="AS20924" s="47"/>
    </row>
    <row r="20925" spans="45:45">
      <c r="AS20925" s="47"/>
    </row>
    <row r="20926" spans="45:45">
      <c r="AS20926" s="47"/>
    </row>
    <row r="20927" spans="45:45">
      <c r="AS20927" s="47"/>
    </row>
    <row r="20928" spans="45:45">
      <c r="AS20928" s="47"/>
    </row>
    <row r="20929" spans="45:45">
      <c r="AS20929" s="47"/>
    </row>
    <row r="20930" spans="45:45">
      <c r="AS20930" s="47"/>
    </row>
    <row r="20931" spans="45:45">
      <c r="AS20931" s="47"/>
    </row>
    <row r="20932" spans="45:45">
      <c r="AS20932" s="47"/>
    </row>
    <row r="20933" spans="45:45">
      <c r="AS20933" s="47"/>
    </row>
    <row r="20934" spans="45:45">
      <c r="AS20934" s="47"/>
    </row>
    <row r="20935" spans="45:45">
      <c r="AS20935" s="47"/>
    </row>
    <row r="20936" spans="45:45">
      <c r="AS20936" s="47"/>
    </row>
    <row r="20937" spans="45:45">
      <c r="AS20937" s="47"/>
    </row>
    <row r="20938" spans="45:45">
      <c r="AS20938" s="47"/>
    </row>
    <row r="20939" spans="45:45">
      <c r="AS20939" s="47"/>
    </row>
    <row r="20940" spans="45:45">
      <c r="AS20940" s="47"/>
    </row>
    <row r="20941" spans="45:45">
      <c r="AS20941" s="47"/>
    </row>
    <row r="20942" spans="45:45">
      <c r="AS20942" s="47"/>
    </row>
    <row r="20943" spans="45:45">
      <c r="AS20943" s="47"/>
    </row>
    <row r="20944" spans="45:45">
      <c r="AS20944" s="47"/>
    </row>
    <row r="20945" spans="45:45">
      <c r="AS20945" s="47"/>
    </row>
    <row r="20946" spans="45:45">
      <c r="AS20946" s="47"/>
    </row>
    <row r="20947" spans="45:45">
      <c r="AS20947" s="47"/>
    </row>
    <row r="20948" spans="45:45">
      <c r="AS20948" s="47"/>
    </row>
    <row r="20949" spans="45:45">
      <c r="AS20949" s="47"/>
    </row>
    <row r="20950" spans="45:45">
      <c r="AS20950" s="47"/>
    </row>
    <row r="20951" spans="45:45">
      <c r="AS20951" s="47"/>
    </row>
    <row r="20952" spans="45:45">
      <c r="AS20952" s="47"/>
    </row>
    <row r="20953" spans="45:45">
      <c r="AS20953" s="47"/>
    </row>
    <row r="20954" spans="45:45">
      <c r="AS20954" s="47"/>
    </row>
    <row r="20955" spans="45:45">
      <c r="AS20955" s="47"/>
    </row>
    <row r="20956" spans="45:45">
      <c r="AS20956" s="47"/>
    </row>
    <row r="20957" spans="45:45">
      <c r="AS20957" s="47"/>
    </row>
    <row r="20958" spans="45:45">
      <c r="AS20958" s="47"/>
    </row>
    <row r="20959" spans="45:45">
      <c r="AS20959" s="47"/>
    </row>
    <row r="20960" spans="45:45">
      <c r="AS20960" s="47"/>
    </row>
    <row r="20961" spans="45:45">
      <c r="AS20961" s="47"/>
    </row>
    <row r="20962" spans="45:45">
      <c r="AS20962" s="47"/>
    </row>
    <row r="20963" spans="45:45">
      <c r="AS20963" s="47"/>
    </row>
    <row r="20964" spans="45:45">
      <c r="AS20964" s="47"/>
    </row>
    <row r="20965" spans="45:45">
      <c r="AS20965" s="47"/>
    </row>
    <row r="20966" spans="45:45">
      <c r="AS20966" s="47"/>
    </row>
    <row r="20967" spans="45:45">
      <c r="AS20967" s="47"/>
    </row>
    <row r="20968" spans="45:45">
      <c r="AS20968" s="47"/>
    </row>
    <row r="20969" spans="45:45">
      <c r="AS20969" s="47"/>
    </row>
    <row r="20970" spans="45:45">
      <c r="AS20970" s="47"/>
    </row>
    <row r="20971" spans="45:45">
      <c r="AS20971" s="47"/>
    </row>
    <row r="20972" spans="45:45">
      <c r="AS20972" s="47"/>
    </row>
    <row r="20973" spans="45:45">
      <c r="AS20973" s="47"/>
    </row>
    <row r="20974" spans="45:45">
      <c r="AS20974" s="47"/>
    </row>
    <row r="20975" spans="45:45">
      <c r="AS20975" s="47"/>
    </row>
    <row r="20976" spans="45:45">
      <c r="AS20976" s="47"/>
    </row>
    <row r="20977" spans="45:45">
      <c r="AS20977" s="47"/>
    </row>
    <row r="20978" spans="45:45">
      <c r="AS20978" s="47"/>
    </row>
    <row r="20979" spans="45:45">
      <c r="AS20979" s="47"/>
    </row>
    <row r="20980" spans="45:45">
      <c r="AS20980" s="47"/>
    </row>
    <row r="20981" spans="45:45">
      <c r="AS20981" s="47"/>
    </row>
    <row r="20982" spans="45:45">
      <c r="AS20982" s="47"/>
    </row>
    <row r="20983" spans="45:45">
      <c r="AS20983" s="47"/>
    </row>
    <row r="20984" spans="45:45">
      <c r="AS20984" s="47"/>
    </row>
    <row r="20985" spans="45:45">
      <c r="AS20985" s="47"/>
    </row>
    <row r="20986" spans="45:45">
      <c r="AS20986" s="47"/>
    </row>
    <row r="20987" spans="45:45">
      <c r="AS20987" s="47"/>
    </row>
    <row r="20988" spans="45:45">
      <c r="AS20988" s="47"/>
    </row>
    <row r="20989" spans="45:45">
      <c r="AS20989" s="47"/>
    </row>
    <row r="20990" spans="45:45">
      <c r="AS20990" s="47"/>
    </row>
    <row r="20991" spans="45:45">
      <c r="AS20991" s="47"/>
    </row>
    <row r="20992" spans="45:45">
      <c r="AS20992" s="47"/>
    </row>
    <row r="20993" spans="45:45">
      <c r="AS20993" s="47"/>
    </row>
    <row r="20994" spans="45:45">
      <c r="AS20994" s="47"/>
    </row>
    <row r="20995" spans="45:45">
      <c r="AS20995" s="47"/>
    </row>
    <row r="20996" spans="45:45">
      <c r="AS20996" s="47"/>
    </row>
    <row r="20997" spans="45:45">
      <c r="AS20997" s="47"/>
    </row>
    <row r="20998" spans="45:45">
      <c r="AS20998" s="47"/>
    </row>
    <row r="20999" spans="45:45">
      <c r="AS20999" s="47"/>
    </row>
    <row r="21000" spans="45:45">
      <c r="AS21000" s="47"/>
    </row>
    <row r="21001" spans="45:45">
      <c r="AS21001" s="47"/>
    </row>
    <row r="21002" spans="45:45">
      <c r="AS21002" s="47"/>
    </row>
    <row r="21003" spans="45:45">
      <c r="AS21003" s="47"/>
    </row>
    <row r="21004" spans="45:45">
      <c r="AS21004" s="47"/>
    </row>
    <row r="21005" spans="45:45">
      <c r="AS21005" s="47"/>
    </row>
    <row r="21006" spans="45:45">
      <c r="AS21006" s="47"/>
    </row>
    <row r="21007" spans="45:45">
      <c r="AS21007" s="47"/>
    </row>
    <row r="21008" spans="45:45">
      <c r="AS21008" s="47"/>
    </row>
    <row r="21009" spans="45:45">
      <c r="AS21009" s="47"/>
    </row>
    <row r="21010" spans="45:45">
      <c r="AS21010" s="47"/>
    </row>
    <row r="21011" spans="45:45">
      <c r="AS21011" s="47"/>
    </row>
    <row r="21012" spans="45:45">
      <c r="AS21012" s="47"/>
    </row>
    <row r="21013" spans="45:45">
      <c r="AS21013" s="47"/>
    </row>
    <row r="21014" spans="45:45">
      <c r="AS21014" s="47"/>
    </row>
    <row r="21015" spans="45:45">
      <c r="AS21015" s="47"/>
    </row>
    <row r="21016" spans="45:45">
      <c r="AS21016" s="47"/>
    </row>
    <row r="21017" spans="45:45">
      <c r="AS21017" s="47"/>
    </row>
    <row r="21018" spans="45:45">
      <c r="AS21018" s="47"/>
    </row>
    <row r="21019" spans="45:45">
      <c r="AS21019" s="47"/>
    </row>
    <row r="21020" spans="45:45">
      <c r="AS21020" s="47"/>
    </row>
    <row r="21021" spans="45:45">
      <c r="AS21021" s="47"/>
    </row>
    <row r="21022" spans="45:45">
      <c r="AS21022" s="47"/>
    </row>
    <row r="21023" spans="45:45">
      <c r="AS21023" s="47"/>
    </row>
    <row r="21024" spans="45:45">
      <c r="AS21024" s="47"/>
    </row>
    <row r="21025" spans="45:45">
      <c r="AS21025" s="47"/>
    </row>
    <row r="21026" spans="45:45">
      <c r="AS21026" s="47"/>
    </row>
    <row r="21027" spans="45:45">
      <c r="AS21027" s="47"/>
    </row>
    <row r="21028" spans="45:45">
      <c r="AS21028" s="47"/>
    </row>
    <row r="21029" spans="45:45">
      <c r="AS21029" s="47"/>
    </row>
    <row r="21030" spans="45:45">
      <c r="AS21030" s="47"/>
    </row>
    <row r="21031" spans="45:45">
      <c r="AS21031" s="47"/>
    </row>
    <row r="21032" spans="45:45">
      <c r="AS21032" s="47"/>
    </row>
    <row r="21033" spans="45:45">
      <c r="AS21033" s="47"/>
    </row>
    <row r="21034" spans="45:45">
      <c r="AS21034" s="47"/>
    </row>
    <row r="21035" spans="45:45">
      <c r="AS21035" s="47"/>
    </row>
    <row r="21036" spans="45:45">
      <c r="AS21036" s="47"/>
    </row>
    <row r="21037" spans="45:45">
      <c r="AS21037" s="47"/>
    </row>
    <row r="21038" spans="45:45">
      <c r="AS21038" s="47"/>
    </row>
    <row r="21039" spans="45:45">
      <c r="AS21039" s="47"/>
    </row>
    <row r="21040" spans="45:45">
      <c r="AS21040" s="47"/>
    </row>
    <row r="21041" spans="45:45">
      <c r="AS21041" s="47"/>
    </row>
    <row r="21042" spans="45:45">
      <c r="AS21042" s="47"/>
    </row>
    <row r="21043" spans="45:45">
      <c r="AS21043" s="47"/>
    </row>
    <row r="21044" spans="45:45">
      <c r="AS21044" s="47"/>
    </row>
    <row r="21045" spans="45:45">
      <c r="AS21045" s="47"/>
    </row>
    <row r="21046" spans="45:45">
      <c r="AS21046" s="47"/>
    </row>
    <row r="21047" spans="45:45">
      <c r="AS21047" s="47"/>
    </row>
    <row r="21048" spans="45:45">
      <c r="AS21048" s="47"/>
    </row>
    <row r="21049" spans="45:45">
      <c r="AS21049" s="47"/>
    </row>
    <row r="21050" spans="45:45">
      <c r="AS21050" s="47"/>
    </row>
    <row r="21051" spans="45:45">
      <c r="AS21051" s="47"/>
    </row>
    <row r="21052" spans="45:45">
      <c r="AS21052" s="47"/>
    </row>
    <row r="21053" spans="45:45">
      <c r="AS21053" s="47"/>
    </row>
    <row r="21054" spans="45:45">
      <c r="AS21054" s="47"/>
    </row>
    <row r="21055" spans="45:45">
      <c r="AS21055" s="47"/>
    </row>
    <row r="21056" spans="45:45">
      <c r="AS21056" s="47"/>
    </row>
    <row r="21057" spans="45:45">
      <c r="AS21057" s="47"/>
    </row>
    <row r="21058" spans="45:45">
      <c r="AS21058" s="47"/>
    </row>
    <row r="21059" spans="45:45">
      <c r="AS21059" s="47"/>
    </row>
    <row r="21060" spans="45:45">
      <c r="AS21060" s="47"/>
    </row>
    <row r="21061" spans="45:45">
      <c r="AS21061" s="47"/>
    </row>
    <row r="21062" spans="45:45">
      <c r="AS21062" s="47"/>
    </row>
    <row r="21063" spans="45:45">
      <c r="AS21063" s="47"/>
    </row>
    <row r="21064" spans="45:45">
      <c r="AS21064" s="47"/>
    </row>
    <row r="21065" spans="45:45">
      <c r="AS21065" s="47"/>
    </row>
    <row r="21066" spans="45:45">
      <c r="AS21066" s="47"/>
    </row>
    <row r="21067" spans="45:45">
      <c r="AS21067" s="47"/>
    </row>
    <row r="21068" spans="45:45">
      <c r="AS21068" s="47"/>
    </row>
    <row r="21069" spans="45:45">
      <c r="AS21069" s="47"/>
    </row>
    <row r="21070" spans="45:45">
      <c r="AS21070" s="47"/>
    </row>
    <row r="21071" spans="45:45">
      <c r="AS21071" s="47"/>
    </row>
    <row r="21072" spans="45:45">
      <c r="AS21072" s="47"/>
    </row>
    <row r="21073" spans="45:45">
      <c r="AS21073" s="47"/>
    </row>
    <row r="21074" spans="45:45">
      <c r="AS21074" s="47"/>
    </row>
    <row r="21075" spans="45:45">
      <c r="AS21075" s="47"/>
    </row>
    <row r="21076" spans="45:45">
      <c r="AS21076" s="47"/>
    </row>
    <row r="21077" spans="45:45">
      <c r="AS21077" s="47"/>
    </row>
    <row r="21078" spans="45:45">
      <c r="AS21078" s="47"/>
    </row>
    <row r="21079" spans="45:45">
      <c r="AS21079" s="47"/>
    </row>
    <row r="21080" spans="45:45">
      <c r="AS21080" s="47"/>
    </row>
    <row r="21081" spans="45:45">
      <c r="AS21081" s="47"/>
    </row>
    <row r="21082" spans="45:45">
      <c r="AS21082" s="47"/>
    </row>
    <row r="21083" spans="45:45">
      <c r="AS21083" s="47"/>
    </row>
    <row r="21084" spans="45:45">
      <c r="AS21084" s="47"/>
    </row>
    <row r="21085" spans="45:45">
      <c r="AS21085" s="47"/>
    </row>
    <row r="21086" spans="45:45">
      <c r="AS21086" s="47"/>
    </row>
    <row r="21087" spans="45:45">
      <c r="AS21087" s="47"/>
    </row>
    <row r="21088" spans="45:45">
      <c r="AS21088" s="47"/>
    </row>
    <row r="21089" spans="45:45">
      <c r="AS21089" s="47"/>
    </row>
    <row r="21090" spans="45:45">
      <c r="AS21090" s="47"/>
    </row>
    <row r="21091" spans="45:45">
      <c r="AS21091" s="47"/>
    </row>
    <row r="21092" spans="45:45">
      <c r="AS21092" s="47"/>
    </row>
    <row r="21093" spans="45:45">
      <c r="AS21093" s="47"/>
    </row>
    <row r="21094" spans="45:45">
      <c r="AS21094" s="47"/>
    </row>
    <row r="21095" spans="45:45">
      <c r="AS21095" s="47"/>
    </row>
    <row r="21096" spans="45:45">
      <c r="AS21096" s="47"/>
    </row>
    <row r="21097" spans="45:45">
      <c r="AS21097" s="47"/>
    </row>
    <row r="21098" spans="45:45">
      <c r="AS21098" s="47"/>
    </row>
    <row r="21099" spans="45:45">
      <c r="AS21099" s="47"/>
    </row>
    <row r="21100" spans="45:45">
      <c r="AS21100" s="47"/>
    </row>
    <row r="21101" spans="45:45">
      <c r="AS21101" s="47"/>
    </row>
    <row r="21102" spans="45:45">
      <c r="AS21102" s="47"/>
    </row>
    <row r="21103" spans="45:45">
      <c r="AS21103" s="47"/>
    </row>
    <row r="21104" spans="45:45">
      <c r="AS21104" s="47"/>
    </row>
    <row r="21105" spans="45:45">
      <c r="AS21105" s="47"/>
    </row>
    <row r="21106" spans="45:45">
      <c r="AS21106" s="47"/>
    </row>
    <row r="21107" spans="45:45">
      <c r="AS21107" s="47"/>
    </row>
    <row r="21108" spans="45:45">
      <c r="AS21108" s="47"/>
    </row>
    <row r="21109" spans="45:45">
      <c r="AS21109" s="47"/>
    </row>
    <row r="21110" spans="45:45">
      <c r="AS21110" s="47"/>
    </row>
    <row r="21111" spans="45:45">
      <c r="AS21111" s="47"/>
    </row>
    <row r="21112" spans="45:45">
      <c r="AS21112" s="47"/>
    </row>
    <row r="21113" spans="45:45">
      <c r="AS21113" s="47"/>
    </row>
    <row r="21114" spans="45:45">
      <c r="AS21114" s="47"/>
    </row>
    <row r="21115" spans="45:45">
      <c r="AS21115" s="47"/>
    </row>
    <row r="21116" spans="45:45">
      <c r="AS21116" s="47"/>
    </row>
    <row r="21117" spans="45:45">
      <c r="AS21117" s="47"/>
    </row>
    <row r="21118" spans="45:45">
      <c r="AS21118" s="47"/>
    </row>
    <row r="21119" spans="45:45">
      <c r="AS21119" s="47"/>
    </row>
    <row r="21120" spans="45:45">
      <c r="AS21120" s="47"/>
    </row>
    <row r="21121" spans="45:45">
      <c r="AS21121" s="47"/>
    </row>
    <row r="21122" spans="45:45">
      <c r="AS21122" s="47"/>
    </row>
    <row r="21123" spans="45:45">
      <c r="AS21123" s="47"/>
    </row>
    <row r="21124" spans="45:45">
      <c r="AS21124" s="47"/>
    </row>
    <row r="21125" spans="45:45">
      <c r="AS21125" s="47"/>
    </row>
    <row r="21126" spans="45:45">
      <c r="AS21126" s="47"/>
    </row>
    <row r="21127" spans="45:45">
      <c r="AS21127" s="47"/>
    </row>
    <row r="21128" spans="45:45">
      <c r="AS21128" s="47"/>
    </row>
    <row r="21129" spans="45:45">
      <c r="AS21129" s="47"/>
    </row>
    <row r="21130" spans="45:45">
      <c r="AS21130" s="47"/>
    </row>
    <row r="21131" spans="45:45">
      <c r="AS21131" s="47"/>
    </row>
    <row r="21132" spans="45:45">
      <c r="AS21132" s="47"/>
    </row>
    <row r="21133" spans="45:45">
      <c r="AS21133" s="47"/>
    </row>
    <row r="21134" spans="45:45">
      <c r="AS21134" s="47"/>
    </row>
    <row r="21135" spans="45:45">
      <c r="AS21135" s="47"/>
    </row>
    <row r="21136" spans="45:45">
      <c r="AS21136" s="47"/>
    </row>
    <row r="21137" spans="45:45">
      <c r="AS21137" s="47"/>
    </row>
    <row r="21138" spans="45:45">
      <c r="AS21138" s="47"/>
    </row>
    <row r="21139" spans="45:45">
      <c r="AS21139" s="47"/>
    </row>
    <row r="21140" spans="45:45">
      <c r="AS21140" s="47"/>
    </row>
    <row r="21141" spans="45:45">
      <c r="AS21141" s="47"/>
    </row>
    <row r="21142" spans="45:45">
      <c r="AS21142" s="47"/>
    </row>
    <row r="21143" spans="45:45">
      <c r="AS21143" s="47"/>
    </row>
    <row r="21144" spans="45:45">
      <c r="AS21144" s="47"/>
    </row>
    <row r="21145" spans="45:45">
      <c r="AS21145" s="47"/>
    </row>
    <row r="21146" spans="45:45">
      <c r="AS21146" s="47"/>
    </row>
    <row r="21147" spans="45:45">
      <c r="AS21147" s="47"/>
    </row>
    <row r="21148" spans="45:45">
      <c r="AS21148" s="47"/>
    </row>
    <row r="21149" spans="45:45">
      <c r="AS21149" s="47"/>
    </row>
    <row r="21150" spans="45:45">
      <c r="AS21150" s="47"/>
    </row>
    <row r="21151" spans="45:45">
      <c r="AS21151" s="47"/>
    </row>
    <row r="21152" spans="45:45">
      <c r="AS21152" s="47"/>
    </row>
    <row r="21153" spans="45:45">
      <c r="AS21153" s="47"/>
    </row>
    <row r="21154" spans="45:45">
      <c r="AS21154" s="47"/>
    </row>
    <row r="21155" spans="45:45">
      <c r="AS21155" s="47"/>
    </row>
    <row r="21156" spans="45:45">
      <c r="AS21156" s="47"/>
    </row>
    <row r="21157" spans="45:45">
      <c r="AS21157" s="47"/>
    </row>
    <row r="21158" spans="45:45">
      <c r="AS21158" s="47"/>
    </row>
    <row r="21159" spans="45:45">
      <c r="AS21159" s="47"/>
    </row>
    <row r="21160" spans="45:45">
      <c r="AS21160" s="47"/>
    </row>
    <row r="21161" spans="45:45">
      <c r="AS21161" s="47"/>
    </row>
    <row r="21162" spans="45:45">
      <c r="AS21162" s="47"/>
    </row>
    <row r="21163" spans="45:45">
      <c r="AS21163" s="47"/>
    </row>
    <row r="21164" spans="45:45">
      <c r="AS21164" s="47"/>
    </row>
    <row r="21165" spans="45:45">
      <c r="AS21165" s="47"/>
    </row>
    <row r="21166" spans="45:45">
      <c r="AS21166" s="47"/>
    </row>
    <row r="21167" spans="45:45">
      <c r="AS21167" s="47"/>
    </row>
    <row r="21168" spans="45:45">
      <c r="AS21168" s="47"/>
    </row>
    <row r="21169" spans="45:45">
      <c r="AS21169" s="47"/>
    </row>
    <row r="21170" spans="45:45">
      <c r="AS21170" s="47"/>
    </row>
    <row r="21171" spans="45:45">
      <c r="AS21171" s="47"/>
    </row>
    <row r="21172" spans="45:45">
      <c r="AS21172" s="47"/>
    </row>
    <row r="21173" spans="45:45">
      <c r="AS21173" s="47"/>
    </row>
    <row r="21174" spans="45:45">
      <c r="AS21174" s="47"/>
    </row>
    <row r="21175" spans="45:45">
      <c r="AS21175" s="47"/>
    </row>
    <row r="21176" spans="45:45">
      <c r="AS21176" s="47"/>
    </row>
    <row r="21177" spans="45:45">
      <c r="AS21177" s="47"/>
    </row>
    <row r="21178" spans="45:45">
      <c r="AS21178" s="47"/>
    </row>
    <row r="21179" spans="45:45">
      <c r="AS21179" s="47"/>
    </row>
    <row r="21180" spans="45:45">
      <c r="AS21180" s="47"/>
    </row>
    <row r="21181" spans="45:45">
      <c r="AS21181" s="47"/>
    </row>
    <row r="21182" spans="45:45">
      <c r="AS21182" s="47"/>
    </row>
    <row r="21183" spans="45:45">
      <c r="AS21183" s="47"/>
    </row>
    <row r="21184" spans="45:45">
      <c r="AS21184" s="47"/>
    </row>
    <row r="21185" spans="45:45">
      <c r="AS21185" s="47"/>
    </row>
    <row r="21186" spans="45:45">
      <c r="AS21186" s="47"/>
    </row>
    <row r="21187" spans="45:45">
      <c r="AS21187" s="47"/>
    </row>
    <row r="21188" spans="45:45">
      <c r="AS21188" s="47"/>
    </row>
    <row r="21189" spans="45:45">
      <c r="AS21189" s="47"/>
    </row>
    <row r="21190" spans="45:45">
      <c r="AS21190" s="47"/>
    </row>
    <row r="21191" spans="45:45">
      <c r="AS21191" s="47"/>
    </row>
    <row r="21192" spans="45:45">
      <c r="AS21192" s="47"/>
    </row>
    <row r="21193" spans="45:45">
      <c r="AS21193" s="47"/>
    </row>
    <row r="21194" spans="45:45">
      <c r="AS21194" s="47"/>
    </row>
    <row r="21195" spans="45:45">
      <c r="AS21195" s="47"/>
    </row>
    <row r="21196" spans="45:45">
      <c r="AS21196" s="47"/>
    </row>
    <row r="21197" spans="45:45">
      <c r="AS21197" s="47"/>
    </row>
    <row r="21198" spans="45:45">
      <c r="AS21198" s="47"/>
    </row>
    <row r="21199" spans="45:45">
      <c r="AS21199" s="47"/>
    </row>
    <row r="21200" spans="45:45">
      <c r="AS21200" s="47"/>
    </row>
    <row r="21201" spans="45:45">
      <c r="AS21201" s="47"/>
    </row>
    <row r="21202" spans="45:45">
      <c r="AS21202" s="47"/>
    </row>
    <row r="21203" spans="45:45">
      <c r="AS21203" s="47"/>
    </row>
    <row r="21204" spans="45:45">
      <c r="AS21204" s="47"/>
    </row>
    <row r="21205" spans="45:45">
      <c r="AS21205" s="47"/>
    </row>
    <row r="21206" spans="45:45">
      <c r="AS21206" s="47"/>
    </row>
    <row r="21207" spans="45:45">
      <c r="AS21207" s="47"/>
    </row>
    <row r="21208" spans="45:45">
      <c r="AS21208" s="47"/>
    </row>
    <row r="21209" spans="45:45">
      <c r="AS21209" s="47"/>
    </row>
    <row r="21210" spans="45:45">
      <c r="AS21210" s="47"/>
    </row>
    <row r="21211" spans="45:45">
      <c r="AS21211" s="47"/>
    </row>
    <row r="21212" spans="45:45">
      <c r="AS21212" s="47"/>
    </row>
    <row r="21213" spans="45:45">
      <c r="AS21213" s="47"/>
    </row>
    <row r="21214" spans="45:45">
      <c r="AS21214" s="47"/>
    </row>
    <row r="21215" spans="45:45">
      <c r="AS21215" s="47"/>
    </row>
    <row r="21216" spans="45:45">
      <c r="AS21216" s="47"/>
    </row>
    <row r="21217" spans="45:45">
      <c r="AS21217" s="47"/>
    </row>
    <row r="21218" spans="45:45">
      <c r="AS21218" s="47"/>
    </row>
    <row r="21219" spans="45:45">
      <c r="AS21219" s="47"/>
    </row>
    <row r="21220" spans="45:45">
      <c r="AS21220" s="47"/>
    </row>
    <row r="21221" spans="45:45">
      <c r="AS21221" s="47"/>
    </row>
    <row r="21222" spans="45:45">
      <c r="AS21222" s="47"/>
    </row>
    <row r="21223" spans="45:45">
      <c r="AS21223" s="47"/>
    </row>
    <row r="21224" spans="45:45">
      <c r="AS21224" s="47"/>
    </row>
    <row r="21225" spans="45:45">
      <c r="AS21225" s="47"/>
    </row>
    <row r="21226" spans="45:45">
      <c r="AS21226" s="47"/>
    </row>
    <row r="21227" spans="45:45">
      <c r="AS21227" s="47"/>
    </row>
    <row r="21228" spans="45:45">
      <c r="AS21228" s="47"/>
    </row>
    <row r="21229" spans="45:45">
      <c r="AS21229" s="47"/>
    </row>
    <row r="21230" spans="45:45">
      <c r="AS21230" s="47"/>
    </row>
    <row r="21231" spans="45:45">
      <c r="AS21231" s="47"/>
    </row>
    <row r="21232" spans="45:45">
      <c r="AS21232" s="47"/>
    </row>
    <row r="21233" spans="45:45">
      <c r="AS21233" s="47"/>
    </row>
    <row r="21234" spans="45:45">
      <c r="AS21234" s="47"/>
    </row>
    <row r="21235" spans="45:45">
      <c r="AS21235" s="47"/>
    </row>
    <row r="21236" spans="45:45">
      <c r="AS21236" s="47"/>
    </row>
    <row r="21237" spans="45:45">
      <c r="AS21237" s="47"/>
    </row>
    <row r="21238" spans="45:45">
      <c r="AS21238" s="47"/>
    </row>
    <row r="21239" spans="45:45">
      <c r="AS21239" s="47"/>
    </row>
    <row r="21240" spans="45:45">
      <c r="AS21240" s="47"/>
    </row>
    <row r="21241" spans="45:45">
      <c r="AS21241" s="47"/>
    </row>
    <row r="21242" spans="45:45">
      <c r="AS21242" s="47"/>
    </row>
    <row r="21243" spans="45:45">
      <c r="AS21243" s="47"/>
    </row>
    <row r="21244" spans="45:45">
      <c r="AS21244" s="47"/>
    </row>
    <row r="21245" spans="45:45">
      <c r="AS21245" s="47"/>
    </row>
    <row r="21246" spans="45:45">
      <c r="AS21246" s="47"/>
    </row>
    <row r="21247" spans="45:45">
      <c r="AS21247" s="47"/>
    </row>
    <row r="21248" spans="45:45">
      <c r="AS21248" s="47"/>
    </row>
    <row r="21249" spans="45:45">
      <c r="AS21249" s="47"/>
    </row>
    <row r="21250" spans="45:45">
      <c r="AS21250" s="47"/>
    </row>
    <row r="21251" spans="45:45">
      <c r="AS21251" s="47"/>
    </row>
    <row r="21252" spans="45:45">
      <c r="AS21252" s="47"/>
    </row>
    <row r="21253" spans="45:45">
      <c r="AS21253" s="47"/>
    </row>
    <row r="21254" spans="45:45">
      <c r="AS21254" s="47"/>
    </row>
    <row r="21255" spans="45:45">
      <c r="AS21255" s="47"/>
    </row>
    <row r="21256" spans="45:45">
      <c r="AS21256" s="47"/>
    </row>
    <row r="21257" spans="45:45">
      <c r="AS21257" s="47"/>
    </row>
    <row r="21258" spans="45:45">
      <c r="AS21258" s="47"/>
    </row>
    <row r="21259" spans="45:45">
      <c r="AS21259" s="47"/>
    </row>
    <row r="21260" spans="45:45">
      <c r="AS21260" s="47"/>
    </row>
    <row r="21261" spans="45:45">
      <c r="AS21261" s="47"/>
    </row>
    <row r="21262" spans="45:45">
      <c r="AS21262" s="47"/>
    </row>
    <row r="21263" spans="45:45">
      <c r="AS21263" s="47"/>
    </row>
    <row r="21264" spans="45:45">
      <c r="AS21264" s="47"/>
    </row>
    <row r="21265" spans="45:45">
      <c r="AS21265" s="47"/>
    </row>
    <row r="21266" spans="45:45">
      <c r="AS21266" s="47"/>
    </row>
    <row r="21267" spans="45:45">
      <c r="AS21267" s="47"/>
    </row>
    <row r="21268" spans="45:45">
      <c r="AS21268" s="47"/>
    </row>
    <row r="21269" spans="45:45">
      <c r="AS21269" s="47"/>
    </row>
    <row r="21270" spans="45:45">
      <c r="AS21270" s="47"/>
    </row>
    <row r="21271" spans="45:45">
      <c r="AS21271" s="47"/>
    </row>
    <row r="21272" spans="45:45">
      <c r="AS21272" s="47"/>
    </row>
    <row r="21273" spans="45:45">
      <c r="AS21273" s="47"/>
    </row>
    <row r="21274" spans="45:45">
      <c r="AS21274" s="47"/>
    </row>
    <row r="21275" spans="45:45">
      <c r="AS21275" s="47"/>
    </row>
    <row r="21276" spans="45:45">
      <c r="AS21276" s="47"/>
    </row>
    <row r="21277" spans="45:45">
      <c r="AS21277" s="47"/>
    </row>
    <row r="21278" spans="45:45">
      <c r="AS21278" s="47"/>
    </row>
    <row r="21279" spans="45:45">
      <c r="AS21279" s="47"/>
    </row>
    <row r="21280" spans="45:45">
      <c r="AS21280" s="47"/>
    </row>
    <row r="21281" spans="45:45">
      <c r="AS21281" s="47"/>
    </row>
    <row r="21282" spans="45:45">
      <c r="AS21282" s="47"/>
    </row>
    <row r="21283" spans="45:45">
      <c r="AS21283" s="47"/>
    </row>
    <row r="21284" spans="45:45">
      <c r="AS21284" s="47"/>
    </row>
    <row r="21285" spans="45:45">
      <c r="AS21285" s="47"/>
    </row>
    <row r="21286" spans="45:45">
      <c r="AS21286" s="47"/>
    </row>
    <row r="21287" spans="45:45">
      <c r="AS21287" s="47"/>
    </row>
    <row r="21288" spans="45:45">
      <c r="AS21288" s="47"/>
    </row>
    <row r="21289" spans="45:45">
      <c r="AS21289" s="47"/>
    </row>
    <row r="21290" spans="45:45">
      <c r="AS21290" s="47"/>
    </row>
    <row r="21291" spans="45:45">
      <c r="AS21291" s="47"/>
    </row>
    <row r="21292" spans="45:45">
      <c r="AS21292" s="47"/>
    </row>
    <row r="21293" spans="45:45">
      <c r="AS21293" s="47"/>
    </row>
    <row r="21294" spans="45:45">
      <c r="AS21294" s="47"/>
    </row>
    <row r="21295" spans="45:45">
      <c r="AS21295" s="47"/>
    </row>
    <row r="21296" spans="45:45">
      <c r="AS21296" s="47"/>
    </row>
    <row r="21297" spans="45:45">
      <c r="AS21297" s="47"/>
    </row>
    <row r="21298" spans="45:45">
      <c r="AS21298" s="47"/>
    </row>
    <row r="21299" spans="45:45">
      <c r="AS21299" s="47"/>
    </row>
    <row r="21300" spans="45:45">
      <c r="AS21300" s="47"/>
    </row>
    <row r="21301" spans="45:45">
      <c r="AS21301" s="47"/>
    </row>
    <row r="21302" spans="45:45">
      <c r="AS21302" s="47"/>
    </row>
    <row r="21303" spans="45:45">
      <c r="AS21303" s="47"/>
    </row>
    <row r="21304" spans="45:45">
      <c r="AS21304" s="47"/>
    </row>
    <row r="21305" spans="45:45">
      <c r="AS21305" s="47"/>
    </row>
    <row r="21306" spans="45:45">
      <c r="AS21306" s="47"/>
    </row>
    <row r="21307" spans="45:45">
      <c r="AS21307" s="47"/>
    </row>
    <row r="21308" spans="45:45">
      <c r="AS21308" s="47"/>
    </row>
    <row r="21309" spans="45:45">
      <c r="AS21309" s="47"/>
    </row>
    <row r="21310" spans="45:45">
      <c r="AS21310" s="47"/>
    </row>
    <row r="21311" spans="45:45">
      <c r="AS21311" s="47"/>
    </row>
    <row r="21312" spans="45:45">
      <c r="AS21312" s="47"/>
    </row>
    <row r="21313" spans="45:45">
      <c r="AS21313" s="47"/>
    </row>
    <row r="21314" spans="45:45">
      <c r="AS21314" s="47"/>
    </row>
    <row r="21315" spans="45:45">
      <c r="AS21315" s="47"/>
    </row>
    <row r="21316" spans="45:45">
      <c r="AS21316" s="47"/>
    </row>
    <row r="21317" spans="45:45">
      <c r="AS21317" s="47"/>
    </row>
    <row r="21318" spans="45:45">
      <c r="AS21318" s="47"/>
    </row>
    <row r="21319" spans="45:45">
      <c r="AS21319" s="47"/>
    </row>
    <row r="21320" spans="45:45">
      <c r="AS21320" s="47"/>
    </row>
    <row r="21321" spans="45:45">
      <c r="AS21321" s="47"/>
    </row>
    <row r="21322" spans="45:45">
      <c r="AS21322" s="47"/>
    </row>
    <row r="21323" spans="45:45">
      <c r="AS21323" s="47"/>
    </row>
    <row r="21324" spans="45:45">
      <c r="AS21324" s="47"/>
    </row>
    <row r="21325" spans="45:45">
      <c r="AS21325" s="47"/>
    </row>
    <row r="21326" spans="45:45">
      <c r="AS21326" s="47"/>
    </row>
    <row r="21327" spans="45:45">
      <c r="AS21327" s="47"/>
    </row>
    <row r="21328" spans="45:45">
      <c r="AS21328" s="47"/>
    </row>
    <row r="21329" spans="45:45">
      <c r="AS21329" s="47"/>
    </row>
    <row r="21330" spans="45:45">
      <c r="AS21330" s="47"/>
    </row>
    <row r="21331" spans="45:45">
      <c r="AS21331" s="47"/>
    </row>
    <row r="21332" spans="45:45">
      <c r="AS21332" s="47"/>
    </row>
    <row r="21333" spans="45:45">
      <c r="AS21333" s="47"/>
    </row>
    <row r="21334" spans="45:45">
      <c r="AS21334" s="47"/>
    </row>
    <row r="21335" spans="45:45">
      <c r="AS21335" s="47"/>
    </row>
    <row r="21336" spans="45:45">
      <c r="AS21336" s="47"/>
    </row>
    <row r="21337" spans="45:45">
      <c r="AS21337" s="47"/>
    </row>
    <row r="21338" spans="45:45">
      <c r="AS21338" s="47"/>
    </row>
    <row r="21339" spans="45:45">
      <c r="AS21339" s="47"/>
    </row>
    <row r="21340" spans="45:45">
      <c r="AS21340" s="47"/>
    </row>
    <row r="21341" spans="45:45">
      <c r="AS21341" s="47"/>
    </row>
    <row r="21342" spans="45:45">
      <c r="AS21342" s="47"/>
    </row>
    <row r="21343" spans="45:45">
      <c r="AS21343" s="47"/>
    </row>
    <row r="21344" spans="45:45">
      <c r="AS21344" s="47"/>
    </row>
    <row r="21345" spans="45:45">
      <c r="AS21345" s="47"/>
    </row>
    <row r="21346" spans="45:45">
      <c r="AS21346" s="47"/>
    </row>
    <row r="21347" spans="45:45">
      <c r="AS21347" s="47"/>
    </row>
    <row r="21348" spans="45:45">
      <c r="AS21348" s="47"/>
    </row>
    <row r="21349" spans="45:45">
      <c r="AS21349" s="47"/>
    </row>
    <row r="21350" spans="45:45">
      <c r="AS21350" s="47"/>
    </row>
    <row r="21351" spans="45:45">
      <c r="AS21351" s="47"/>
    </row>
    <row r="21352" spans="45:45">
      <c r="AS21352" s="47"/>
    </row>
    <row r="21353" spans="45:45">
      <c r="AS21353" s="47"/>
    </row>
    <row r="21354" spans="45:45">
      <c r="AS21354" s="47"/>
    </row>
    <row r="21355" spans="45:45">
      <c r="AS21355" s="47"/>
    </row>
    <row r="21356" spans="45:45">
      <c r="AS21356" s="47"/>
    </row>
    <row r="21357" spans="45:45">
      <c r="AS21357" s="47"/>
    </row>
    <row r="21358" spans="45:45">
      <c r="AS21358" s="47"/>
    </row>
    <row r="21359" spans="45:45">
      <c r="AS21359" s="47"/>
    </row>
    <row r="21360" spans="45:45">
      <c r="AS21360" s="47"/>
    </row>
    <row r="21361" spans="45:45">
      <c r="AS21361" s="47"/>
    </row>
    <row r="21362" spans="45:45">
      <c r="AS21362" s="47"/>
    </row>
    <row r="21363" spans="45:45">
      <c r="AS21363" s="47"/>
    </row>
    <row r="21364" spans="45:45">
      <c r="AS21364" s="47"/>
    </row>
    <row r="21365" spans="45:45">
      <c r="AS21365" s="47"/>
    </row>
    <row r="21366" spans="45:45">
      <c r="AS21366" s="47"/>
    </row>
    <row r="21367" spans="45:45">
      <c r="AS21367" s="47"/>
    </row>
    <row r="21368" spans="45:45">
      <c r="AS21368" s="47"/>
    </row>
    <row r="21369" spans="45:45">
      <c r="AS21369" s="47"/>
    </row>
    <row r="21370" spans="45:45">
      <c r="AS21370" s="47"/>
    </row>
    <row r="21371" spans="45:45">
      <c r="AS21371" s="47"/>
    </row>
    <row r="21372" spans="45:45">
      <c r="AS21372" s="47"/>
    </row>
    <row r="21373" spans="45:45">
      <c r="AS21373" s="47"/>
    </row>
    <row r="21374" spans="45:45">
      <c r="AS21374" s="47"/>
    </row>
    <row r="21375" spans="45:45">
      <c r="AS21375" s="47"/>
    </row>
    <row r="21376" spans="45:45">
      <c r="AS21376" s="47"/>
    </row>
    <row r="21377" spans="45:45">
      <c r="AS21377" s="47"/>
    </row>
    <row r="21378" spans="45:45">
      <c r="AS21378" s="47"/>
    </row>
    <row r="21379" spans="45:45">
      <c r="AS21379" s="47"/>
    </row>
    <row r="21380" spans="45:45">
      <c r="AS21380" s="47"/>
    </row>
    <row r="21381" spans="45:45">
      <c r="AS21381" s="47"/>
    </row>
    <row r="21382" spans="45:45">
      <c r="AS21382" s="47"/>
    </row>
    <row r="21383" spans="45:45">
      <c r="AS21383" s="47"/>
    </row>
    <row r="21384" spans="45:45">
      <c r="AS21384" s="47"/>
    </row>
    <row r="21385" spans="45:45">
      <c r="AS21385" s="47"/>
    </row>
    <row r="21386" spans="45:45">
      <c r="AS21386" s="47"/>
    </row>
    <row r="21387" spans="45:45">
      <c r="AS21387" s="47"/>
    </row>
    <row r="21388" spans="45:45">
      <c r="AS21388" s="47"/>
    </row>
    <row r="21389" spans="45:45">
      <c r="AS21389" s="47"/>
    </row>
    <row r="21390" spans="45:45">
      <c r="AS21390" s="47"/>
    </row>
    <row r="21391" spans="45:45">
      <c r="AS21391" s="47"/>
    </row>
    <row r="21392" spans="45:45">
      <c r="AS21392" s="47"/>
    </row>
    <row r="21393" spans="45:45">
      <c r="AS21393" s="47"/>
    </row>
    <row r="21394" spans="45:45">
      <c r="AS21394" s="47"/>
    </row>
    <row r="21395" spans="45:45">
      <c r="AS21395" s="47"/>
    </row>
    <row r="21396" spans="45:45">
      <c r="AS21396" s="47"/>
    </row>
    <row r="21397" spans="45:45">
      <c r="AS21397" s="47"/>
    </row>
    <row r="21398" spans="45:45">
      <c r="AS21398" s="47"/>
    </row>
    <row r="21399" spans="45:45">
      <c r="AS21399" s="47"/>
    </row>
    <row r="21400" spans="45:45">
      <c r="AS21400" s="47"/>
    </row>
    <row r="21401" spans="45:45">
      <c r="AS21401" s="47"/>
    </row>
    <row r="21402" spans="45:45">
      <c r="AS21402" s="47"/>
    </row>
    <row r="21403" spans="45:45">
      <c r="AS21403" s="47"/>
    </row>
    <row r="21404" spans="45:45">
      <c r="AS21404" s="47"/>
    </row>
    <row r="21405" spans="45:45">
      <c r="AS21405" s="47"/>
    </row>
    <row r="21406" spans="45:45">
      <c r="AS21406" s="47"/>
    </row>
    <row r="21407" spans="45:45">
      <c r="AS21407" s="47"/>
    </row>
    <row r="21408" spans="45:45">
      <c r="AS21408" s="47"/>
    </row>
    <row r="21409" spans="45:45">
      <c r="AS21409" s="47"/>
    </row>
    <row r="21410" spans="45:45">
      <c r="AS21410" s="47"/>
    </row>
    <row r="21411" spans="45:45">
      <c r="AS21411" s="47"/>
    </row>
    <row r="21412" spans="45:45">
      <c r="AS21412" s="47"/>
    </row>
    <row r="21413" spans="45:45">
      <c r="AS21413" s="47"/>
    </row>
    <row r="21414" spans="45:45">
      <c r="AS21414" s="47"/>
    </row>
    <row r="21415" spans="45:45">
      <c r="AS21415" s="47"/>
    </row>
    <row r="21416" spans="45:45">
      <c r="AS21416" s="47"/>
    </row>
    <row r="21417" spans="45:45">
      <c r="AS21417" s="47"/>
    </row>
    <row r="21418" spans="45:45">
      <c r="AS21418" s="47"/>
    </row>
    <row r="21419" spans="45:45">
      <c r="AS21419" s="47"/>
    </row>
    <row r="21420" spans="45:45">
      <c r="AS21420" s="47"/>
    </row>
    <row r="21421" spans="45:45">
      <c r="AS21421" s="47"/>
    </row>
    <row r="21422" spans="45:45">
      <c r="AS21422" s="47"/>
    </row>
    <row r="21423" spans="45:45">
      <c r="AS21423" s="47"/>
    </row>
    <row r="21424" spans="45:45">
      <c r="AS21424" s="47"/>
    </row>
    <row r="21425" spans="45:45">
      <c r="AS21425" s="47"/>
    </row>
    <row r="21426" spans="45:45">
      <c r="AS21426" s="47"/>
    </row>
    <row r="21427" spans="45:45">
      <c r="AS21427" s="47"/>
    </row>
    <row r="21428" spans="45:45">
      <c r="AS21428" s="47"/>
    </row>
    <row r="21429" spans="45:45">
      <c r="AS21429" s="47"/>
    </row>
    <row r="21430" spans="45:45">
      <c r="AS21430" s="47"/>
    </row>
    <row r="21431" spans="45:45">
      <c r="AS21431" s="47"/>
    </row>
    <row r="21432" spans="45:45">
      <c r="AS21432" s="47"/>
    </row>
    <row r="21433" spans="45:45">
      <c r="AS21433" s="47"/>
    </row>
    <row r="21434" spans="45:45">
      <c r="AS21434" s="47"/>
    </row>
    <row r="21435" spans="45:45">
      <c r="AS21435" s="47"/>
    </row>
    <row r="21436" spans="45:45">
      <c r="AS21436" s="47"/>
    </row>
    <row r="21437" spans="45:45">
      <c r="AS21437" s="47"/>
    </row>
    <row r="21438" spans="45:45">
      <c r="AS21438" s="47"/>
    </row>
    <row r="21439" spans="45:45">
      <c r="AS21439" s="47"/>
    </row>
    <row r="21440" spans="45:45">
      <c r="AS21440" s="47"/>
    </row>
    <row r="21441" spans="45:45">
      <c r="AS21441" s="47"/>
    </row>
    <row r="21442" spans="45:45">
      <c r="AS21442" s="47"/>
    </row>
    <row r="21443" spans="45:45">
      <c r="AS21443" s="47"/>
    </row>
    <row r="21444" spans="45:45">
      <c r="AS21444" s="47"/>
    </row>
    <row r="21445" spans="45:45">
      <c r="AS21445" s="47"/>
    </row>
    <row r="21446" spans="45:45">
      <c r="AS21446" s="47"/>
    </row>
    <row r="21447" spans="45:45">
      <c r="AS21447" s="47"/>
    </row>
    <row r="21448" spans="45:45">
      <c r="AS21448" s="47"/>
    </row>
    <row r="21449" spans="45:45">
      <c r="AS21449" s="47"/>
    </row>
    <row r="21450" spans="45:45">
      <c r="AS21450" s="47"/>
    </row>
    <row r="21451" spans="45:45">
      <c r="AS21451" s="47"/>
    </row>
    <row r="21452" spans="45:45">
      <c r="AS21452" s="47"/>
    </row>
    <row r="21453" spans="45:45">
      <c r="AS21453" s="47"/>
    </row>
    <row r="21454" spans="45:45">
      <c r="AS21454" s="47"/>
    </row>
    <row r="21455" spans="45:45">
      <c r="AS21455" s="47"/>
    </row>
    <row r="21456" spans="45:45">
      <c r="AS21456" s="47"/>
    </row>
    <row r="21457" spans="45:45">
      <c r="AS21457" s="47"/>
    </row>
    <row r="21458" spans="45:45">
      <c r="AS21458" s="47"/>
    </row>
    <row r="21459" spans="45:45">
      <c r="AS21459" s="47"/>
    </row>
    <row r="21460" spans="45:45">
      <c r="AS21460" s="47"/>
    </row>
    <row r="21461" spans="45:45">
      <c r="AS21461" s="47"/>
    </row>
    <row r="21462" spans="45:45">
      <c r="AS21462" s="47"/>
    </row>
    <row r="21463" spans="45:45">
      <c r="AS21463" s="47"/>
    </row>
    <row r="21464" spans="45:45">
      <c r="AS21464" s="47"/>
    </row>
    <row r="21465" spans="45:45">
      <c r="AS21465" s="47"/>
    </row>
    <row r="21466" spans="45:45">
      <c r="AS21466" s="47"/>
    </row>
    <row r="21467" spans="45:45">
      <c r="AS21467" s="47"/>
    </row>
    <row r="21468" spans="45:45">
      <c r="AS21468" s="47"/>
    </row>
    <row r="21469" spans="45:45">
      <c r="AS21469" s="47"/>
    </row>
    <row r="21470" spans="45:45">
      <c r="AS21470" s="47"/>
    </row>
    <row r="21471" spans="45:45">
      <c r="AS21471" s="47"/>
    </row>
    <row r="21472" spans="45:45">
      <c r="AS21472" s="47"/>
    </row>
    <row r="21473" spans="45:45">
      <c r="AS21473" s="47"/>
    </row>
    <row r="21474" spans="45:45">
      <c r="AS21474" s="47"/>
    </row>
    <row r="21475" spans="45:45">
      <c r="AS21475" s="47"/>
    </row>
    <row r="21476" spans="45:45">
      <c r="AS21476" s="47"/>
    </row>
    <row r="21477" spans="45:45">
      <c r="AS21477" s="47"/>
    </row>
    <row r="21478" spans="45:45">
      <c r="AS21478" s="47"/>
    </row>
    <row r="21479" spans="45:45">
      <c r="AS21479" s="47"/>
    </row>
    <row r="21480" spans="45:45">
      <c r="AS21480" s="47"/>
    </row>
    <row r="21481" spans="45:45">
      <c r="AS21481" s="47"/>
    </row>
    <row r="21482" spans="45:45">
      <c r="AS21482" s="47"/>
    </row>
    <row r="21483" spans="45:45">
      <c r="AS21483" s="47"/>
    </row>
    <row r="21484" spans="45:45">
      <c r="AS21484" s="47"/>
    </row>
    <row r="21485" spans="45:45">
      <c r="AS21485" s="47"/>
    </row>
    <row r="21486" spans="45:45">
      <c r="AS21486" s="47"/>
    </row>
    <row r="21487" spans="45:45">
      <c r="AS21487" s="47"/>
    </row>
    <row r="21488" spans="45:45">
      <c r="AS21488" s="47"/>
    </row>
    <row r="21489" spans="45:45">
      <c r="AS21489" s="47"/>
    </row>
    <row r="21490" spans="45:45">
      <c r="AS21490" s="47"/>
    </row>
    <row r="21491" spans="45:45">
      <c r="AS21491" s="47"/>
    </row>
    <row r="21492" spans="45:45">
      <c r="AS21492" s="47"/>
    </row>
    <row r="21493" spans="45:45">
      <c r="AS21493" s="47"/>
    </row>
    <row r="21494" spans="45:45">
      <c r="AS21494" s="47"/>
    </row>
    <row r="21495" spans="45:45">
      <c r="AS21495" s="47"/>
    </row>
    <row r="21496" spans="45:45">
      <c r="AS21496" s="47"/>
    </row>
    <row r="21497" spans="45:45">
      <c r="AS21497" s="47"/>
    </row>
    <row r="21498" spans="45:45">
      <c r="AS21498" s="47"/>
    </row>
    <row r="21499" spans="45:45">
      <c r="AS21499" s="47"/>
    </row>
    <row r="21500" spans="45:45">
      <c r="AS21500" s="47"/>
    </row>
    <row r="21501" spans="45:45">
      <c r="AS21501" s="47"/>
    </row>
    <row r="21502" spans="45:45">
      <c r="AS21502" s="47"/>
    </row>
    <row r="21503" spans="45:45">
      <c r="AS21503" s="47"/>
    </row>
    <row r="21504" spans="45:45">
      <c r="AS21504" s="47"/>
    </row>
    <row r="21505" spans="45:45">
      <c r="AS21505" s="47"/>
    </row>
    <row r="21506" spans="45:45">
      <c r="AS21506" s="47"/>
    </row>
    <row r="21507" spans="45:45">
      <c r="AS21507" s="47"/>
    </row>
    <row r="21508" spans="45:45">
      <c r="AS21508" s="47"/>
    </row>
    <row r="21509" spans="45:45">
      <c r="AS21509" s="47"/>
    </row>
    <row r="21510" spans="45:45">
      <c r="AS21510" s="47"/>
    </row>
    <row r="21511" spans="45:45">
      <c r="AS21511" s="47"/>
    </row>
    <row r="21512" spans="45:45">
      <c r="AS21512" s="47"/>
    </row>
    <row r="21513" spans="45:45">
      <c r="AS21513" s="47"/>
    </row>
    <row r="21514" spans="45:45">
      <c r="AS21514" s="47"/>
    </row>
    <row r="21515" spans="45:45">
      <c r="AS21515" s="47"/>
    </row>
    <row r="21516" spans="45:45">
      <c r="AS21516" s="47"/>
    </row>
    <row r="21517" spans="45:45">
      <c r="AS21517" s="47"/>
    </row>
    <row r="21518" spans="45:45">
      <c r="AS21518" s="47"/>
    </row>
    <row r="21519" spans="45:45">
      <c r="AS21519" s="47"/>
    </row>
    <row r="21520" spans="45:45">
      <c r="AS21520" s="47"/>
    </row>
    <row r="21521" spans="45:45">
      <c r="AS21521" s="47"/>
    </row>
    <row r="21522" spans="45:45">
      <c r="AS21522" s="47"/>
    </row>
    <row r="21523" spans="45:45">
      <c r="AS21523" s="47"/>
    </row>
    <row r="21524" spans="45:45">
      <c r="AS21524" s="47"/>
    </row>
    <row r="21525" spans="45:45">
      <c r="AS21525" s="47"/>
    </row>
    <row r="21526" spans="45:45">
      <c r="AS21526" s="47"/>
    </row>
    <row r="21527" spans="45:45">
      <c r="AS21527" s="47"/>
    </row>
    <row r="21528" spans="45:45">
      <c r="AS21528" s="47"/>
    </row>
    <row r="21529" spans="45:45">
      <c r="AS21529" s="47"/>
    </row>
    <row r="21530" spans="45:45">
      <c r="AS21530" s="47"/>
    </row>
    <row r="21531" spans="45:45">
      <c r="AS21531" s="47"/>
    </row>
    <row r="21532" spans="45:45">
      <c r="AS21532" s="47"/>
    </row>
    <row r="21533" spans="45:45">
      <c r="AS21533" s="47"/>
    </row>
    <row r="21534" spans="45:45">
      <c r="AS21534" s="47"/>
    </row>
    <row r="21535" spans="45:45">
      <c r="AS21535" s="47"/>
    </row>
    <row r="21536" spans="45:45">
      <c r="AS21536" s="47"/>
    </row>
    <row r="21537" spans="45:45">
      <c r="AS21537" s="47"/>
    </row>
    <row r="21538" spans="45:45">
      <c r="AS21538" s="47"/>
    </row>
    <row r="21539" spans="45:45">
      <c r="AS21539" s="47"/>
    </row>
    <row r="21540" spans="45:45">
      <c r="AS21540" s="47"/>
    </row>
    <row r="21541" spans="45:45">
      <c r="AS21541" s="47"/>
    </row>
    <row r="21542" spans="45:45">
      <c r="AS21542" s="47"/>
    </row>
    <row r="21543" spans="45:45">
      <c r="AS21543" s="47"/>
    </row>
    <row r="21544" spans="45:45">
      <c r="AS21544" s="47"/>
    </row>
    <row r="21545" spans="45:45">
      <c r="AS21545" s="47"/>
    </row>
    <row r="21546" spans="45:45">
      <c r="AS21546" s="47"/>
    </row>
    <row r="21547" spans="45:45">
      <c r="AS21547" s="47"/>
    </row>
    <row r="21548" spans="45:45">
      <c r="AS21548" s="47"/>
    </row>
    <row r="21549" spans="45:45">
      <c r="AS21549" s="47"/>
    </row>
    <row r="21550" spans="45:45">
      <c r="AS21550" s="47"/>
    </row>
    <row r="21551" spans="45:45">
      <c r="AS21551" s="47"/>
    </row>
    <row r="21552" spans="45:45">
      <c r="AS21552" s="47"/>
    </row>
    <row r="21553" spans="45:45">
      <c r="AS21553" s="47"/>
    </row>
    <row r="21554" spans="45:45">
      <c r="AS21554" s="47"/>
    </row>
    <row r="21555" spans="45:45">
      <c r="AS21555" s="47"/>
    </row>
    <row r="21556" spans="45:45">
      <c r="AS21556" s="47"/>
    </row>
    <row r="21557" spans="45:45">
      <c r="AS21557" s="47"/>
    </row>
    <row r="21558" spans="45:45">
      <c r="AS21558" s="47"/>
    </row>
    <row r="21559" spans="45:45">
      <c r="AS21559" s="47"/>
    </row>
    <row r="21560" spans="45:45">
      <c r="AS21560" s="47"/>
    </row>
    <row r="21561" spans="45:45">
      <c r="AS21561" s="47"/>
    </row>
    <row r="21562" spans="45:45">
      <c r="AS21562" s="47"/>
    </row>
    <row r="21563" spans="45:45">
      <c r="AS21563" s="47"/>
    </row>
    <row r="21564" spans="45:45">
      <c r="AS21564" s="47"/>
    </row>
    <row r="21565" spans="45:45">
      <c r="AS21565" s="47"/>
    </row>
    <row r="21566" spans="45:45">
      <c r="AS21566" s="47"/>
    </row>
    <row r="21567" spans="45:45">
      <c r="AS21567" s="47"/>
    </row>
    <row r="21568" spans="45:45">
      <c r="AS21568" s="47"/>
    </row>
    <row r="21569" spans="45:45">
      <c r="AS21569" s="47"/>
    </row>
    <row r="21570" spans="45:45">
      <c r="AS21570" s="47"/>
    </row>
    <row r="21571" spans="45:45">
      <c r="AS21571" s="47"/>
    </row>
    <row r="21572" spans="45:45">
      <c r="AS21572" s="47"/>
    </row>
    <row r="21573" spans="45:45">
      <c r="AS21573" s="47"/>
    </row>
    <row r="21574" spans="45:45">
      <c r="AS21574" s="47"/>
    </row>
    <row r="21575" spans="45:45">
      <c r="AS21575" s="47"/>
    </row>
    <row r="21576" spans="45:45">
      <c r="AS21576" s="47"/>
    </row>
    <row r="21577" spans="45:45">
      <c r="AS21577" s="47"/>
    </row>
    <row r="21578" spans="45:45">
      <c r="AS21578" s="47"/>
    </row>
    <row r="21579" spans="45:45">
      <c r="AS21579" s="47"/>
    </row>
    <row r="21580" spans="45:45">
      <c r="AS21580" s="47"/>
    </row>
    <row r="21581" spans="45:45">
      <c r="AS21581" s="47"/>
    </row>
    <row r="21582" spans="45:45">
      <c r="AS21582" s="47"/>
    </row>
    <row r="21583" spans="45:45">
      <c r="AS21583" s="47"/>
    </row>
    <row r="21584" spans="45:45">
      <c r="AS21584" s="47"/>
    </row>
    <row r="21585" spans="45:45">
      <c r="AS21585" s="47"/>
    </row>
    <row r="21586" spans="45:45">
      <c r="AS21586" s="47"/>
    </row>
    <row r="21587" spans="45:45">
      <c r="AS21587" s="47"/>
    </row>
    <row r="21588" spans="45:45">
      <c r="AS21588" s="47"/>
    </row>
    <row r="21589" spans="45:45">
      <c r="AS21589" s="47"/>
    </row>
    <row r="21590" spans="45:45">
      <c r="AS21590" s="47"/>
    </row>
    <row r="21591" spans="45:45">
      <c r="AS21591" s="47"/>
    </row>
    <row r="21592" spans="45:45">
      <c r="AS21592" s="47"/>
    </row>
    <row r="21593" spans="45:45">
      <c r="AS21593" s="47"/>
    </row>
    <row r="21594" spans="45:45">
      <c r="AS21594" s="47"/>
    </row>
    <row r="21595" spans="45:45">
      <c r="AS21595" s="47"/>
    </row>
    <row r="21596" spans="45:45">
      <c r="AS21596" s="47"/>
    </row>
    <row r="21597" spans="45:45">
      <c r="AS21597" s="47"/>
    </row>
    <row r="21598" spans="45:45">
      <c r="AS21598" s="47"/>
    </row>
    <row r="21599" spans="45:45">
      <c r="AS21599" s="47"/>
    </row>
    <row r="21600" spans="45:45">
      <c r="AS21600" s="47"/>
    </row>
    <row r="21601" spans="45:45">
      <c r="AS21601" s="47"/>
    </row>
    <row r="21602" spans="45:45">
      <c r="AS21602" s="47"/>
    </row>
    <row r="21603" spans="45:45">
      <c r="AS21603" s="47"/>
    </row>
    <row r="21604" spans="45:45">
      <c r="AS21604" s="47"/>
    </row>
    <row r="21605" spans="45:45">
      <c r="AS21605" s="47"/>
    </row>
    <row r="21606" spans="45:45">
      <c r="AS21606" s="47"/>
    </row>
    <row r="21607" spans="45:45">
      <c r="AS21607" s="47"/>
    </row>
    <row r="21608" spans="45:45">
      <c r="AS21608" s="47"/>
    </row>
    <row r="21609" spans="45:45">
      <c r="AS21609" s="47"/>
    </row>
    <row r="21610" spans="45:45">
      <c r="AS21610" s="47"/>
    </row>
    <row r="21611" spans="45:45">
      <c r="AS21611" s="47"/>
    </row>
    <row r="21612" spans="45:45">
      <c r="AS21612" s="47"/>
    </row>
    <row r="21613" spans="45:45">
      <c r="AS21613" s="47"/>
    </row>
    <row r="21614" spans="45:45">
      <c r="AS21614" s="47"/>
    </row>
    <row r="21615" spans="45:45">
      <c r="AS21615" s="47"/>
    </row>
    <row r="21616" spans="45:45">
      <c r="AS21616" s="47"/>
    </row>
    <row r="21617" spans="45:45">
      <c r="AS21617" s="47"/>
    </row>
    <row r="21618" spans="45:45">
      <c r="AS21618" s="47"/>
    </row>
    <row r="21619" spans="45:45">
      <c r="AS21619" s="47"/>
    </row>
    <row r="21620" spans="45:45">
      <c r="AS21620" s="47"/>
    </row>
    <row r="21621" spans="45:45">
      <c r="AS21621" s="47"/>
    </row>
    <row r="21622" spans="45:45">
      <c r="AS21622" s="47"/>
    </row>
    <row r="21623" spans="45:45">
      <c r="AS21623" s="47"/>
    </row>
    <row r="21624" spans="45:45">
      <c r="AS21624" s="47"/>
    </row>
    <row r="21625" spans="45:45">
      <c r="AS21625" s="47"/>
    </row>
    <row r="21626" spans="45:45">
      <c r="AS21626" s="47"/>
    </row>
    <row r="21627" spans="45:45">
      <c r="AS21627" s="47"/>
    </row>
    <row r="21628" spans="45:45">
      <c r="AS21628" s="47"/>
    </row>
    <row r="21629" spans="45:45">
      <c r="AS21629" s="47"/>
    </row>
    <row r="21630" spans="45:45">
      <c r="AS21630" s="47"/>
    </row>
    <row r="21631" spans="45:45">
      <c r="AS21631" s="47"/>
    </row>
    <row r="21632" spans="45:45">
      <c r="AS21632" s="47"/>
    </row>
    <row r="21633" spans="45:45">
      <c r="AS21633" s="47"/>
    </row>
    <row r="21634" spans="45:45">
      <c r="AS21634" s="47"/>
    </row>
    <row r="21635" spans="45:45">
      <c r="AS21635" s="47"/>
    </row>
    <row r="21636" spans="45:45">
      <c r="AS21636" s="47"/>
    </row>
    <row r="21637" spans="45:45">
      <c r="AS21637" s="47"/>
    </row>
    <row r="21638" spans="45:45">
      <c r="AS21638" s="47"/>
    </row>
    <row r="21639" spans="45:45">
      <c r="AS21639" s="47"/>
    </row>
    <row r="21640" spans="45:45">
      <c r="AS21640" s="47"/>
    </row>
    <row r="21641" spans="45:45">
      <c r="AS21641" s="47"/>
    </row>
    <row r="21642" spans="45:45">
      <c r="AS21642" s="47"/>
    </row>
    <row r="21643" spans="45:45">
      <c r="AS21643" s="47"/>
    </row>
    <row r="21644" spans="45:45">
      <c r="AS21644" s="47"/>
    </row>
    <row r="21645" spans="45:45">
      <c r="AS21645" s="47"/>
    </row>
    <row r="21646" spans="45:45">
      <c r="AS21646" s="47"/>
    </row>
    <row r="21647" spans="45:45">
      <c r="AS21647" s="47"/>
    </row>
    <row r="21648" spans="45:45">
      <c r="AS21648" s="47"/>
    </row>
    <row r="21649" spans="45:45">
      <c r="AS21649" s="47"/>
    </row>
    <row r="21650" spans="45:45">
      <c r="AS21650" s="47"/>
    </row>
    <row r="21651" spans="45:45">
      <c r="AS21651" s="47"/>
    </row>
    <row r="21652" spans="45:45">
      <c r="AS21652" s="47"/>
    </row>
    <row r="21653" spans="45:45">
      <c r="AS21653" s="47"/>
    </row>
    <row r="21654" spans="45:45">
      <c r="AS21654" s="47"/>
    </row>
    <row r="21655" spans="45:45">
      <c r="AS21655" s="47"/>
    </row>
    <row r="21656" spans="45:45">
      <c r="AS21656" s="47"/>
    </row>
    <row r="21657" spans="45:45">
      <c r="AS21657" s="47"/>
    </row>
    <row r="21658" spans="45:45">
      <c r="AS21658" s="47"/>
    </row>
    <row r="21659" spans="45:45">
      <c r="AS21659" s="47"/>
    </row>
    <row r="21660" spans="45:45">
      <c r="AS21660" s="47"/>
    </row>
    <row r="21661" spans="45:45">
      <c r="AS21661" s="47"/>
    </row>
    <row r="21662" spans="45:45">
      <c r="AS21662" s="47"/>
    </row>
    <row r="21663" spans="45:45">
      <c r="AS21663" s="47"/>
    </row>
    <row r="21664" spans="45:45">
      <c r="AS21664" s="47"/>
    </row>
    <row r="21665" spans="45:45">
      <c r="AS21665" s="47"/>
    </row>
    <row r="21666" spans="45:45">
      <c r="AS21666" s="47"/>
    </row>
    <row r="21667" spans="45:45">
      <c r="AS21667" s="47"/>
    </row>
    <row r="21668" spans="45:45">
      <c r="AS21668" s="47"/>
    </row>
    <row r="21669" spans="45:45">
      <c r="AS21669" s="47"/>
    </row>
    <row r="21670" spans="45:45">
      <c r="AS21670" s="47"/>
    </row>
    <row r="21671" spans="45:45">
      <c r="AS21671" s="47"/>
    </row>
    <row r="21672" spans="45:45">
      <c r="AS21672" s="47"/>
    </row>
    <row r="21673" spans="45:45">
      <c r="AS21673" s="47"/>
    </row>
    <row r="21674" spans="45:45">
      <c r="AS21674" s="47"/>
    </row>
    <row r="21675" spans="45:45">
      <c r="AS21675" s="47"/>
    </row>
    <row r="21676" spans="45:45">
      <c r="AS21676" s="47"/>
    </row>
    <row r="21677" spans="45:45">
      <c r="AS21677" s="47"/>
    </row>
    <row r="21678" spans="45:45">
      <c r="AS21678" s="47"/>
    </row>
    <row r="21679" spans="45:45">
      <c r="AS21679" s="47"/>
    </row>
    <row r="21680" spans="45:45">
      <c r="AS21680" s="47"/>
    </row>
    <row r="21681" spans="45:45">
      <c r="AS21681" s="47"/>
    </row>
    <row r="21682" spans="45:45">
      <c r="AS21682" s="47"/>
    </row>
    <row r="21683" spans="45:45">
      <c r="AS21683" s="47"/>
    </row>
    <row r="21684" spans="45:45">
      <c r="AS21684" s="47"/>
    </row>
    <row r="21685" spans="45:45">
      <c r="AS21685" s="47"/>
    </row>
    <row r="21686" spans="45:45">
      <c r="AS21686" s="47"/>
    </row>
    <row r="21687" spans="45:45">
      <c r="AS21687" s="47"/>
    </row>
    <row r="21688" spans="45:45">
      <c r="AS21688" s="47"/>
    </row>
    <row r="21689" spans="45:45">
      <c r="AS21689" s="47"/>
    </row>
    <row r="21690" spans="45:45">
      <c r="AS21690" s="47"/>
    </row>
    <row r="21691" spans="45:45">
      <c r="AS21691" s="47"/>
    </row>
    <row r="21692" spans="45:45">
      <c r="AS21692" s="47"/>
    </row>
    <row r="21693" spans="45:45">
      <c r="AS21693" s="47"/>
    </row>
    <row r="21694" spans="45:45">
      <c r="AS21694" s="47"/>
    </row>
    <row r="21695" spans="45:45">
      <c r="AS21695" s="47"/>
    </row>
    <row r="21696" spans="45:45">
      <c r="AS21696" s="47"/>
    </row>
    <row r="21697" spans="45:45">
      <c r="AS21697" s="47"/>
    </row>
    <row r="21698" spans="45:45">
      <c r="AS21698" s="47"/>
    </row>
    <row r="21699" spans="45:45">
      <c r="AS21699" s="47"/>
    </row>
    <row r="21700" spans="45:45">
      <c r="AS21700" s="47"/>
    </row>
    <row r="21701" spans="45:45">
      <c r="AS21701" s="47"/>
    </row>
    <row r="21702" spans="45:45">
      <c r="AS21702" s="47"/>
    </row>
    <row r="21703" spans="45:45">
      <c r="AS21703" s="47"/>
    </row>
    <row r="21704" spans="45:45">
      <c r="AS21704" s="47"/>
    </row>
    <row r="21705" spans="45:45">
      <c r="AS21705" s="47"/>
    </row>
    <row r="21706" spans="45:45">
      <c r="AS21706" s="47"/>
    </row>
    <row r="21707" spans="45:45">
      <c r="AS21707" s="47"/>
    </row>
    <row r="21708" spans="45:45">
      <c r="AS21708" s="47"/>
    </row>
    <row r="21709" spans="45:45">
      <c r="AS21709" s="47"/>
    </row>
    <row r="21710" spans="45:45">
      <c r="AS21710" s="47"/>
    </row>
    <row r="21711" spans="45:45">
      <c r="AS21711" s="47"/>
    </row>
    <row r="21712" spans="45:45">
      <c r="AS21712" s="47"/>
    </row>
    <row r="21713" spans="45:45">
      <c r="AS21713" s="47"/>
    </row>
    <row r="21714" spans="45:45">
      <c r="AS21714" s="47"/>
    </row>
    <row r="21715" spans="45:45">
      <c r="AS21715" s="47"/>
    </row>
    <row r="21716" spans="45:45">
      <c r="AS21716" s="47"/>
    </row>
    <row r="21717" spans="45:45">
      <c r="AS21717" s="47"/>
    </row>
    <row r="21718" spans="45:45">
      <c r="AS21718" s="47"/>
    </row>
    <row r="21719" spans="45:45">
      <c r="AS21719" s="47"/>
    </row>
    <row r="21720" spans="45:45">
      <c r="AS21720" s="47"/>
    </row>
    <row r="21721" spans="45:45">
      <c r="AS21721" s="47"/>
    </row>
    <row r="21722" spans="45:45">
      <c r="AS21722" s="47"/>
    </row>
    <row r="21723" spans="45:45">
      <c r="AS21723" s="47"/>
    </row>
    <row r="21724" spans="45:45">
      <c r="AS21724" s="47"/>
    </row>
    <row r="21725" spans="45:45">
      <c r="AS21725" s="47"/>
    </row>
    <row r="21726" spans="45:45">
      <c r="AS21726" s="47"/>
    </row>
    <row r="21727" spans="45:45">
      <c r="AS21727" s="47"/>
    </row>
    <row r="21728" spans="45:45">
      <c r="AS21728" s="47"/>
    </row>
    <row r="21729" spans="45:45">
      <c r="AS21729" s="47"/>
    </row>
    <row r="21730" spans="45:45">
      <c r="AS21730" s="47"/>
    </row>
    <row r="21731" spans="45:45">
      <c r="AS21731" s="47"/>
    </row>
    <row r="21732" spans="45:45">
      <c r="AS21732" s="47"/>
    </row>
    <row r="21733" spans="45:45">
      <c r="AS21733" s="47"/>
    </row>
    <row r="21734" spans="45:45">
      <c r="AS21734" s="47"/>
    </row>
    <row r="21735" spans="45:45">
      <c r="AS21735" s="47"/>
    </row>
    <row r="21736" spans="45:45">
      <c r="AS21736" s="47"/>
    </row>
    <row r="21737" spans="45:45">
      <c r="AS21737" s="47"/>
    </row>
    <row r="21738" spans="45:45">
      <c r="AS21738" s="47"/>
    </row>
    <row r="21739" spans="45:45">
      <c r="AS21739" s="47"/>
    </row>
    <row r="21740" spans="45:45">
      <c r="AS21740" s="47"/>
    </row>
    <row r="21741" spans="45:45">
      <c r="AS21741" s="47"/>
    </row>
    <row r="21742" spans="45:45">
      <c r="AS21742" s="47"/>
    </row>
    <row r="21743" spans="45:45">
      <c r="AS21743" s="47"/>
    </row>
    <row r="21744" spans="45:45">
      <c r="AS21744" s="47"/>
    </row>
    <row r="21745" spans="45:45">
      <c r="AS21745" s="47"/>
    </row>
    <row r="21746" spans="45:45">
      <c r="AS21746" s="47"/>
    </row>
    <row r="21747" spans="45:45">
      <c r="AS21747" s="47"/>
    </row>
    <row r="21748" spans="45:45">
      <c r="AS21748" s="47"/>
    </row>
    <row r="21749" spans="45:45">
      <c r="AS21749" s="47"/>
    </row>
    <row r="21750" spans="45:45">
      <c r="AS21750" s="47"/>
    </row>
    <row r="21751" spans="45:45">
      <c r="AS21751" s="47"/>
    </row>
    <row r="21752" spans="45:45">
      <c r="AS21752" s="47"/>
    </row>
    <row r="21753" spans="45:45">
      <c r="AS21753" s="47"/>
    </row>
    <row r="21754" spans="45:45">
      <c r="AS21754" s="47"/>
    </row>
    <row r="21755" spans="45:45">
      <c r="AS21755" s="47"/>
    </row>
    <row r="21756" spans="45:45">
      <c r="AS21756" s="47"/>
    </row>
    <row r="21757" spans="45:45">
      <c r="AS21757" s="47"/>
    </row>
    <row r="21758" spans="45:45">
      <c r="AS21758" s="47"/>
    </row>
    <row r="21759" spans="45:45">
      <c r="AS21759" s="47"/>
    </row>
    <row r="21760" spans="45:45">
      <c r="AS21760" s="47"/>
    </row>
    <row r="21761" spans="45:45">
      <c r="AS21761" s="47"/>
    </row>
    <row r="21762" spans="45:45">
      <c r="AS21762" s="47"/>
    </row>
    <row r="21763" spans="45:45">
      <c r="AS21763" s="47"/>
    </row>
    <row r="21764" spans="45:45">
      <c r="AS21764" s="47"/>
    </row>
    <row r="21765" spans="45:45">
      <c r="AS21765" s="47"/>
    </row>
    <row r="21766" spans="45:45">
      <c r="AS21766" s="47"/>
    </row>
    <row r="21767" spans="45:45">
      <c r="AS21767" s="47"/>
    </row>
    <row r="21768" spans="45:45">
      <c r="AS21768" s="47"/>
    </row>
    <row r="21769" spans="45:45">
      <c r="AS21769" s="47"/>
    </row>
    <row r="21770" spans="45:45">
      <c r="AS21770" s="47"/>
    </row>
    <row r="21771" spans="45:45">
      <c r="AS21771" s="47"/>
    </row>
    <row r="21772" spans="45:45">
      <c r="AS21772" s="47"/>
    </row>
    <row r="21773" spans="45:45">
      <c r="AS21773" s="47"/>
    </row>
    <row r="21774" spans="45:45">
      <c r="AS21774" s="47"/>
    </row>
    <row r="21775" spans="45:45">
      <c r="AS21775" s="47"/>
    </row>
    <row r="21776" spans="45:45">
      <c r="AS21776" s="47"/>
    </row>
    <row r="21777" spans="45:45">
      <c r="AS21777" s="47"/>
    </row>
    <row r="21778" spans="45:45">
      <c r="AS21778" s="47"/>
    </row>
    <row r="21779" spans="45:45">
      <c r="AS21779" s="47"/>
    </row>
    <row r="21780" spans="45:45">
      <c r="AS21780" s="47"/>
    </row>
    <row r="21781" spans="45:45">
      <c r="AS21781" s="47"/>
    </row>
    <row r="21782" spans="45:45">
      <c r="AS21782" s="47"/>
    </row>
    <row r="21783" spans="45:45">
      <c r="AS21783" s="47"/>
    </row>
    <row r="21784" spans="45:45">
      <c r="AS21784" s="47"/>
    </row>
    <row r="21785" spans="45:45">
      <c r="AS21785" s="47"/>
    </row>
    <row r="21786" spans="45:45">
      <c r="AS21786" s="47"/>
    </row>
    <row r="21787" spans="45:45">
      <c r="AS21787" s="47"/>
    </row>
    <row r="21788" spans="45:45">
      <c r="AS21788" s="47"/>
    </row>
    <row r="21789" spans="45:45">
      <c r="AS21789" s="47"/>
    </row>
    <row r="21790" spans="45:45">
      <c r="AS21790" s="47"/>
    </row>
    <row r="21791" spans="45:45">
      <c r="AS21791" s="47"/>
    </row>
    <row r="21792" spans="45:45">
      <c r="AS21792" s="47"/>
    </row>
    <row r="21793" spans="45:45">
      <c r="AS21793" s="47"/>
    </row>
    <row r="21794" spans="45:45">
      <c r="AS21794" s="47"/>
    </row>
    <row r="21795" spans="45:45">
      <c r="AS21795" s="47"/>
    </row>
    <row r="21796" spans="45:45">
      <c r="AS21796" s="47"/>
    </row>
    <row r="21797" spans="45:45">
      <c r="AS21797" s="47"/>
    </row>
    <row r="21798" spans="45:45">
      <c r="AS21798" s="47"/>
    </row>
    <row r="21799" spans="45:45">
      <c r="AS21799" s="47"/>
    </row>
    <row r="21800" spans="45:45">
      <c r="AS21800" s="47"/>
    </row>
    <row r="21801" spans="45:45">
      <c r="AS21801" s="47"/>
    </row>
    <row r="21802" spans="45:45">
      <c r="AS21802" s="47"/>
    </row>
    <row r="21803" spans="45:45">
      <c r="AS21803" s="47"/>
    </row>
    <row r="21804" spans="45:45">
      <c r="AS21804" s="47"/>
    </row>
    <row r="21805" spans="45:45">
      <c r="AS21805" s="47"/>
    </row>
    <row r="21806" spans="45:45">
      <c r="AS21806" s="47"/>
    </row>
    <row r="21807" spans="45:45">
      <c r="AS21807" s="47"/>
    </row>
    <row r="21808" spans="45:45">
      <c r="AS21808" s="47"/>
    </row>
    <row r="21809" spans="45:45">
      <c r="AS21809" s="47"/>
    </row>
    <row r="21810" spans="45:45">
      <c r="AS21810" s="47"/>
    </row>
    <row r="21811" spans="45:45">
      <c r="AS21811" s="47"/>
    </row>
    <row r="21812" spans="45:45">
      <c r="AS21812" s="47"/>
    </row>
    <row r="21813" spans="45:45">
      <c r="AS21813" s="47"/>
    </row>
    <row r="21814" spans="45:45">
      <c r="AS21814" s="47"/>
    </row>
    <row r="21815" spans="45:45">
      <c r="AS21815" s="47"/>
    </row>
    <row r="21816" spans="45:45">
      <c r="AS21816" s="47"/>
    </row>
    <row r="21817" spans="45:45">
      <c r="AS21817" s="47"/>
    </row>
    <row r="21818" spans="45:45">
      <c r="AS21818" s="47"/>
    </row>
    <row r="21819" spans="45:45">
      <c r="AS21819" s="47"/>
    </row>
    <row r="21820" spans="45:45">
      <c r="AS21820" s="47"/>
    </row>
    <row r="21821" spans="45:45">
      <c r="AS21821" s="47"/>
    </row>
    <row r="21822" spans="45:45">
      <c r="AS21822" s="47"/>
    </row>
    <row r="21823" spans="45:45">
      <c r="AS21823" s="47"/>
    </row>
    <row r="21824" spans="45:45">
      <c r="AS21824" s="47"/>
    </row>
    <row r="21825" spans="45:45">
      <c r="AS21825" s="47"/>
    </row>
    <row r="21826" spans="45:45">
      <c r="AS21826" s="47"/>
    </row>
    <row r="21827" spans="45:45">
      <c r="AS21827" s="47"/>
    </row>
    <row r="21828" spans="45:45">
      <c r="AS21828" s="47"/>
    </row>
    <row r="21829" spans="45:45">
      <c r="AS21829" s="47"/>
    </row>
    <row r="21830" spans="45:45">
      <c r="AS21830" s="47"/>
    </row>
    <row r="21831" spans="45:45">
      <c r="AS21831" s="47"/>
    </row>
    <row r="21832" spans="45:45">
      <c r="AS21832" s="47"/>
    </row>
    <row r="21833" spans="45:45">
      <c r="AS21833" s="47"/>
    </row>
    <row r="21834" spans="45:45">
      <c r="AS21834" s="47"/>
    </row>
    <row r="21835" spans="45:45">
      <c r="AS21835" s="47"/>
    </row>
    <row r="21836" spans="45:45">
      <c r="AS21836" s="47"/>
    </row>
    <row r="21837" spans="45:45">
      <c r="AS21837" s="47"/>
    </row>
    <row r="21838" spans="45:45">
      <c r="AS21838" s="47"/>
    </row>
    <row r="21839" spans="45:45">
      <c r="AS21839" s="47"/>
    </row>
    <row r="21840" spans="45:45">
      <c r="AS21840" s="47"/>
    </row>
    <row r="21841" spans="45:45">
      <c r="AS21841" s="47"/>
    </row>
    <row r="21842" spans="45:45">
      <c r="AS21842" s="47"/>
    </row>
    <row r="21843" spans="45:45">
      <c r="AS21843" s="47"/>
    </row>
    <row r="21844" spans="45:45">
      <c r="AS21844" s="47"/>
    </row>
    <row r="21845" spans="45:45">
      <c r="AS21845" s="47"/>
    </row>
    <row r="21846" spans="45:45">
      <c r="AS21846" s="47"/>
    </row>
    <row r="21847" spans="45:45">
      <c r="AS21847" s="47"/>
    </row>
    <row r="21848" spans="45:45">
      <c r="AS21848" s="47"/>
    </row>
    <row r="21849" spans="45:45">
      <c r="AS21849" s="47"/>
    </row>
    <row r="21850" spans="45:45">
      <c r="AS21850" s="47"/>
    </row>
    <row r="21851" spans="45:45">
      <c r="AS21851" s="47"/>
    </row>
    <row r="21852" spans="45:45">
      <c r="AS21852" s="47"/>
    </row>
    <row r="21853" spans="45:45">
      <c r="AS21853" s="47"/>
    </row>
    <row r="21854" spans="45:45">
      <c r="AS21854" s="47"/>
    </row>
    <row r="21855" spans="45:45">
      <c r="AS21855" s="47"/>
    </row>
    <row r="21856" spans="45:45">
      <c r="AS21856" s="47"/>
    </row>
    <row r="21857" spans="45:45">
      <c r="AS21857" s="47"/>
    </row>
    <row r="21858" spans="45:45">
      <c r="AS21858" s="47"/>
    </row>
    <row r="21859" spans="45:45">
      <c r="AS21859" s="47"/>
    </row>
    <row r="21860" spans="45:45">
      <c r="AS21860" s="47"/>
    </row>
    <row r="21861" spans="45:45">
      <c r="AS21861" s="47"/>
    </row>
    <row r="21862" spans="45:45">
      <c r="AS21862" s="47"/>
    </row>
    <row r="21863" spans="45:45">
      <c r="AS21863" s="47"/>
    </row>
    <row r="21864" spans="45:45">
      <c r="AS21864" s="47"/>
    </row>
    <row r="21865" spans="45:45">
      <c r="AS21865" s="47"/>
    </row>
    <row r="21866" spans="45:45">
      <c r="AS21866" s="47"/>
    </row>
    <row r="21867" spans="45:45">
      <c r="AS21867" s="47"/>
    </row>
    <row r="21868" spans="45:45">
      <c r="AS21868" s="47"/>
    </row>
    <row r="21869" spans="45:45">
      <c r="AS21869" s="47"/>
    </row>
    <row r="21870" spans="45:45">
      <c r="AS21870" s="47"/>
    </row>
    <row r="21871" spans="45:45">
      <c r="AS21871" s="47"/>
    </row>
    <row r="21872" spans="45:45">
      <c r="AS21872" s="47"/>
    </row>
    <row r="21873" spans="45:45">
      <c r="AS21873" s="47"/>
    </row>
    <row r="21874" spans="45:45">
      <c r="AS21874" s="47"/>
    </row>
    <row r="21875" spans="45:45">
      <c r="AS21875" s="47"/>
    </row>
    <row r="21876" spans="45:45">
      <c r="AS21876" s="47"/>
    </row>
    <row r="21877" spans="45:45">
      <c r="AS21877" s="47"/>
    </row>
    <row r="21878" spans="45:45">
      <c r="AS21878" s="47"/>
    </row>
    <row r="21879" spans="45:45">
      <c r="AS21879" s="47"/>
    </row>
    <row r="21880" spans="45:45">
      <c r="AS21880" s="47"/>
    </row>
    <row r="21881" spans="45:45">
      <c r="AS21881" s="47"/>
    </row>
    <row r="21882" spans="45:45">
      <c r="AS21882" s="47"/>
    </row>
    <row r="21883" spans="45:45">
      <c r="AS21883" s="47"/>
    </row>
    <row r="21884" spans="45:45">
      <c r="AS21884" s="47"/>
    </row>
    <row r="21885" spans="45:45">
      <c r="AS21885" s="47"/>
    </row>
    <row r="21886" spans="45:45">
      <c r="AS21886" s="47"/>
    </row>
    <row r="21887" spans="45:45">
      <c r="AS21887" s="47"/>
    </row>
    <row r="21888" spans="45:45">
      <c r="AS21888" s="47"/>
    </row>
    <row r="21889" spans="45:45">
      <c r="AS21889" s="47"/>
    </row>
    <row r="21890" spans="45:45">
      <c r="AS21890" s="47"/>
    </row>
    <row r="21891" spans="45:45">
      <c r="AS21891" s="47"/>
    </row>
    <row r="21892" spans="45:45">
      <c r="AS21892" s="47"/>
    </row>
    <row r="21893" spans="45:45">
      <c r="AS21893" s="47"/>
    </row>
    <row r="21894" spans="45:45">
      <c r="AS21894" s="47"/>
    </row>
    <row r="21895" spans="45:45">
      <c r="AS21895" s="47"/>
    </row>
    <row r="21896" spans="45:45">
      <c r="AS21896" s="47"/>
    </row>
    <row r="21897" spans="45:45">
      <c r="AS21897" s="47"/>
    </row>
    <row r="21898" spans="45:45">
      <c r="AS21898" s="47"/>
    </row>
    <row r="21899" spans="45:45">
      <c r="AS21899" s="47"/>
    </row>
    <row r="21900" spans="45:45">
      <c r="AS21900" s="47"/>
    </row>
    <row r="21901" spans="45:45">
      <c r="AS21901" s="47"/>
    </row>
    <row r="21902" spans="45:45">
      <c r="AS21902" s="47"/>
    </row>
    <row r="21903" spans="45:45">
      <c r="AS21903" s="47"/>
    </row>
    <row r="21904" spans="45:45">
      <c r="AS21904" s="47"/>
    </row>
    <row r="21905" spans="45:45">
      <c r="AS21905" s="47"/>
    </row>
    <row r="21906" spans="45:45">
      <c r="AS21906" s="47"/>
    </row>
    <row r="21907" spans="45:45">
      <c r="AS21907" s="47"/>
    </row>
    <row r="21908" spans="45:45">
      <c r="AS21908" s="47"/>
    </row>
    <row r="21909" spans="45:45">
      <c r="AS21909" s="47"/>
    </row>
    <row r="21910" spans="45:45">
      <c r="AS21910" s="47"/>
    </row>
    <row r="21911" spans="45:45">
      <c r="AS21911" s="47"/>
    </row>
    <row r="21912" spans="45:45">
      <c r="AS21912" s="47"/>
    </row>
    <row r="21913" spans="45:45">
      <c r="AS21913" s="47"/>
    </row>
    <row r="21914" spans="45:45">
      <c r="AS21914" s="47"/>
    </row>
    <row r="21915" spans="45:45">
      <c r="AS21915" s="47"/>
    </row>
    <row r="21916" spans="45:45">
      <c r="AS21916" s="47"/>
    </row>
    <row r="21917" spans="45:45">
      <c r="AS21917" s="47"/>
    </row>
    <row r="21918" spans="45:45">
      <c r="AS21918" s="47"/>
    </row>
    <row r="21919" spans="45:45">
      <c r="AS21919" s="47"/>
    </row>
    <row r="21920" spans="45:45">
      <c r="AS21920" s="47"/>
    </row>
    <row r="21921" spans="45:45">
      <c r="AS21921" s="47"/>
    </row>
    <row r="21922" spans="45:45">
      <c r="AS21922" s="47"/>
    </row>
    <row r="21923" spans="45:45">
      <c r="AS21923" s="47"/>
    </row>
    <row r="21924" spans="45:45">
      <c r="AS21924" s="47"/>
    </row>
    <row r="21925" spans="45:45">
      <c r="AS21925" s="47"/>
    </row>
    <row r="21926" spans="45:45">
      <c r="AS21926" s="47"/>
    </row>
    <row r="21927" spans="45:45">
      <c r="AS21927" s="47"/>
    </row>
    <row r="21928" spans="45:45">
      <c r="AS21928" s="47"/>
    </row>
    <row r="21929" spans="45:45">
      <c r="AS21929" s="47"/>
    </row>
    <row r="21930" spans="45:45">
      <c r="AS21930" s="47"/>
    </row>
    <row r="21931" spans="45:45">
      <c r="AS21931" s="47"/>
    </row>
    <row r="21932" spans="45:45">
      <c r="AS21932" s="47"/>
    </row>
    <row r="21933" spans="45:45">
      <c r="AS21933" s="47"/>
    </row>
    <row r="21934" spans="45:45">
      <c r="AS21934" s="47"/>
    </row>
    <row r="21935" spans="45:45">
      <c r="AS21935" s="47"/>
    </row>
    <row r="21936" spans="45:45">
      <c r="AS21936" s="47"/>
    </row>
    <row r="21937" spans="45:45">
      <c r="AS21937" s="47"/>
    </row>
    <row r="21938" spans="45:45">
      <c r="AS21938" s="47"/>
    </row>
    <row r="21939" spans="45:45">
      <c r="AS21939" s="47"/>
    </row>
    <row r="21940" spans="45:45">
      <c r="AS21940" s="47"/>
    </row>
    <row r="21941" spans="45:45">
      <c r="AS21941" s="47"/>
    </row>
    <row r="21942" spans="45:45">
      <c r="AS21942" s="47"/>
    </row>
    <row r="21943" spans="45:45">
      <c r="AS21943" s="47"/>
    </row>
    <row r="21944" spans="45:45">
      <c r="AS21944" s="47"/>
    </row>
    <row r="21945" spans="45:45">
      <c r="AS21945" s="47"/>
    </row>
    <row r="21946" spans="45:45">
      <c r="AS21946" s="47"/>
    </row>
    <row r="21947" spans="45:45">
      <c r="AS21947" s="47"/>
    </row>
    <row r="21948" spans="45:45">
      <c r="AS21948" s="47"/>
    </row>
    <row r="21949" spans="45:45">
      <c r="AS21949" s="47"/>
    </row>
    <row r="21950" spans="45:45">
      <c r="AS21950" s="47"/>
    </row>
    <row r="21951" spans="45:45">
      <c r="AS21951" s="47"/>
    </row>
    <row r="21952" spans="45:45">
      <c r="AS21952" s="47"/>
    </row>
    <row r="21953" spans="45:45">
      <c r="AS21953" s="47"/>
    </row>
    <row r="21954" spans="45:45">
      <c r="AS21954" s="47"/>
    </row>
    <row r="21955" spans="45:45">
      <c r="AS21955" s="47"/>
    </row>
    <row r="21956" spans="45:45">
      <c r="AS21956" s="47"/>
    </row>
    <row r="21957" spans="45:45">
      <c r="AS21957" s="47"/>
    </row>
    <row r="21958" spans="45:45">
      <c r="AS21958" s="47"/>
    </row>
    <row r="21959" spans="45:45">
      <c r="AS21959" s="47"/>
    </row>
    <row r="21960" spans="45:45">
      <c r="AS21960" s="47"/>
    </row>
    <row r="21961" spans="45:45">
      <c r="AS21961" s="47"/>
    </row>
    <row r="21962" spans="45:45">
      <c r="AS21962" s="47"/>
    </row>
    <row r="21963" spans="45:45">
      <c r="AS21963" s="47"/>
    </row>
    <row r="21964" spans="45:45">
      <c r="AS21964" s="47"/>
    </row>
    <row r="21965" spans="45:45">
      <c r="AS21965" s="47"/>
    </row>
    <row r="21966" spans="45:45">
      <c r="AS21966" s="47"/>
    </row>
    <row r="21967" spans="45:45">
      <c r="AS21967" s="47"/>
    </row>
    <row r="21968" spans="45:45">
      <c r="AS21968" s="47"/>
    </row>
    <row r="21969" spans="45:45">
      <c r="AS21969" s="47"/>
    </row>
    <row r="21970" spans="45:45">
      <c r="AS21970" s="47"/>
    </row>
    <row r="21971" spans="45:45">
      <c r="AS21971" s="47"/>
    </row>
    <row r="21972" spans="45:45">
      <c r="AS21972" s="47"/>
    </row>
    <row r="21973" spans="45:45">
      <c r="AS21973" s="47"/>
    </row>
    <row r="21974" spans="45:45">
      <c r="AS21974" s="47"/>
    </row>
    <row r="21975" spans="45:45">
      <c r="AS21975" s="47"/>
    </row>
    <row r="21976" spans="45:45">
      <c r="AS21976" s="47"/>
    </row>
    <row r="21977" spans="45:45">
      <c r="AS21977" s="47"/>
    </row>
    <row r="21978" spans="45:45">
      <c r="AS21978" s="47"/>
    </row>
    <row r="21979" spans="45:45">
      <c r="AS21979" s="47"/>
    </row>
    <row r="21980" spans="45:45">
      <c r="AS21980" s="47"/>
    </row>
    <row r="21981" spans="45:45">
      <c r="AS21981" s="47"/>
    </row>
    <row r="21982" spans="45:45">
      <c r="AS21982" s="47"/>
    </row>
    <row r="21983" spans="45:45">
      <c r="AS21983" s="47"/>
    </row>
    <row r="21984" spans="45:45">
      <c r="AS21984" s="47"/>
    </row>
    <row r="21985" spans="45:45">
      <c r="AS21985" s="47"/>
    </row>
    <row r="21986" spans="45:45">
      <c r="AS21986" s="47"/>
    </row>
    <row r="21987" spans="45:45">
      <c r="AS21987" s="47"/>
    </row>
    <row r="21988" spans="45:45">
      <c r="AS21988" s="47"/>
    </row>
    <row r="21989" spans="45:45">
      <c r="AS21989" s="47"/>
    </row>
    <row r="21990" spans="45:45">
      <c r="AS21990" s="47"/>
    </row>
    <row r="21991" spans="45:45">
      <c r="AS21991" s="47"/>
    </row>
    <row r="21992" spans="45:45">
      <c r="AS21992" s="47"/>
    </row>
    <row r="21993" spans="45:45">
      <c r="AS21993" s="47"/>
    </row>
    <row r="21994" spans="45:45">
      <c r="AS21994" s="47"/>
    </row>
    <row r="21995" spans="45:45">
      <c r="AS21995" s="47"/>
    </row>
    <row r="21996" spans="45:45">
      <c r="AS21996" s="47"/>
    </row>
    <row r="21997" spans="45:45">
      <c r="AS21997" s="47"/>
    </row>
    <row r="21998" spans="45:45">
      <c r="AS21998" s="47"/>
    </row>
    <row r="21999" spans="45:45">
      <c r="AS21999" s="47"/>
    </row>
    <row r="22000" spans="45:45">
      <c r="AS22000" s="47"/>
    </row>
    <row r="22001" spans="45:45">
      <c r="AS22001" s="47"/>
    </row>
    <row r="22002" spans="45:45">
      <c r="AS22002" s="47"/>
    </row>
    <row r="22003" spans="45:45">
      <c r="AS22003" s="47"/>
    </row>
    <row r="22004" spans="45:45">
      <c r="AS22004" s="47"/>
    </row>
    <row r="22005" spans="45:45">
      <c r="AS22005" s="47"/>
    </row>
    <row r="22006" spans="45:45">
      <c r="AS22006" s="47"/>
    </row>
    <row r="22007" spans="45:45">
      <c r="AS22007" s="47"/>
    </row>
    <row r="22008" spans="45:45">
      <c r="AS22008" s="47"/>
    </row>
    <row r="22009" spans="45:45">
      <c r="AS22009" s="47"/>
    </row>
    <row r="22010" spans="45:45">
      <c r="AS22010" s="47"/>
    </row>
    <row r="22011" spans="45:45">
      <c r="AS22011" s="47"/>
    </row>
    <row r="22012" spans="45:45">
      <c r="AS22012" s="47"/>
    </row>
    <row r="22013" spans="45:45">
      <c r="AS22013" s="47"/>
    </row>
    <row r="22014" spans="45:45">
      <c r="AS22014" s="47"/>
    </row>
    <row r="22015" spans="45:45">
      <c r="AS22015" s="47"/>
    </row>
    <row r="22016" spans="45:45">
      <c r="AS22016" s="47"/>
    </row>
    <row r="22017" spans="45:45">
      <c r="AS22017" s="47"/>
    </row>
    <row r="22018" spans="45:45">
      <c r="AS22018" s="47"/>
    </row>
    <row r="22019" spans="45:45">
      <c r="AS22019" s="47"/>
    </row>
    <row r="22020" spans="45:45">
      <c r="AS22020" s="47"/>
    </row>
    <row r="22021" spans="45:45">
      <c r="AS22021" s="47"/>
    </row>
    <row r="22022" spans="45:45">
      <c r="AS22022" s="47"/>
    </row>
    <row r="22023" spans="45:45">
      <c r="AS22023" s="47"/>
    </row>
    <row r="22024" spans="45:45">
      <c r="AS22024" s="47"/>
    </row>
    <row r="22025" spans="45:45">
      <c r="AS22025" s="47"/>
    </row>
    <row r="22026" spans="45:45">
      <c r="AS22026" s="47"/>
    </row>
    <row r="22027" spans="45:45">
      <c r="AS22027" s="47"/>
    </row>
    <row r="22028" spans="45:45">
      <c r="AS22028" s="47"/>
    </row>
    <row r="22029" spans="45:45">
      <c r="AS22029" s="47"/>
    </row>
    <row r="22030" spans="45:45">
      <c r="AS22030" s="47"/>
    </row>
    <row r="22031" spans="45:45">
      <c r="AS22031" s="47"/>
    </row>
    <row r="22032" spans="45:45">
      <c r="AS22032" s="47"/>
    </row>
    <row r="22033" spans="45:45">
      <c r="AS22033" s="47"/>
    </row>
    <row r="22034" spans="45:45">
      <c r="AS22034" s="47"/>
    </row>
    <row r="22035" spans="45:45">
      <c r="AS22035" s="47"/>
    </row>
    <row r="22036" spans="45:45">
      <c r="AS22036" s="47"/>
    </row>
    <row r="22037" spans="45:45">
      <c r="AS22037" s="47"/>
    </row>
    <row r="22038" spans="45:45">
      <c r="AS22038" s="47"/>
    </row>
    <row r="22039" spans="45:45">
      <c r="AS22039" s="47"/>
    </row>
    <row r="22040" spans="45:45">
      <c r="AS22040" s="47"/>
    </row>
    <row r="22041" spans="45:45">
      <c r="AS22041" s="47"/>
    </row>
    <row r="22042" spans="45:45">
      <c r="AS22042" s="47"/>
    </row>
    <row r="22043" spans="45:45">
      <c r="AS22043" s="47"/>
    </row>
    <row r="22044" spans="45:45">
      <c r="AS22044" s="47"/>
    </row>
    <row r="22045" spans="45:45">
      <c r="AS22045" s="47"/>
    </row>
    <row r="22046" spans="45:45">
      <c r="AS22046" s="47"/>
    </row>
    <row r="22047" spans="45:45">
      <c r="AS22047" s="47"/>
    </row>
    <row r="22048" spans="45:45">
      <c r="AS22048" s="47"/>
    </row>
    <row r="22049" spans="45:45">
      <c r="AS22049" s="47"/>
    </row>
    <row r="22050" spans="45:45">
      <c r="AS22050" s="47"/>
    </row>
    <row r="22051" spans="45:45">
      <c r="AS22051" s="47"/>
    </row>
    <row r="22052" spans="45:45">
      <c r="AS22052" s="47"/>
    </row>
    <row r="22053" spans="45:45">
      <c r="AS22053" s="47"/>
    </row>
    <row r="22054" spans="45:45">
      <c r="AS22054" s="47"/>
    </row>
    <row r="22055" spans="45:45">
      <c r="AS22055" s="47"/>
    </row>
    <row r="22056" spans="45:45">
      <c r="AS22056" s="47"/>
    </row>
    <row r="22057" spans="45:45">
      <c r="AS22057" s="47"/>
    </row>
    <row r="22058" spans="45:45">
      <c r="AS22058" s="47"/>
    </row>
    <row r="22059" spans="45:45">
      <c r="AS22059" s="47"/>
    </row>
    <row r="22060" spans="45:45">
      <c r="AS22060" s="47"/>
    </row>
    <row r="22061" spans="45:45">
      <c r="AS22061" s="47"/>
    </row>
    <row r="22062" spans="45:45">
      <c r="AS22062" s="47"/>
    </row>
    <row r="22063" spans="45:45">
      <c r="AS22063" s="47"/>
    </row>
    <row r="22064" spans="45:45">
      <c r="AS22064" s="47"/>
    </row>
    <row r="22065" spans="45:45">
      <c r="AS22065" s="47"/>
    </row>
    <row r="22066" spans="45:45">
      <c r="AS22066" s="47"/>
    </row>
    <row r="22067" spans="45:45">
      <c r="AS22067" s="47"/>
    </row>
    <row r="22068" spans="45:45">
      <c r="AS22068" s="47"/>
    </row>
    <row r="22069" spans="45:45">
      <c r="AS22069" s="47"/>
    </row>
    <row r="22070" spans="45:45">
      <c r="AS22070" s="47"/>
    </row>
    <row r="22071" spans="45:45">
      <c r="AS22071" s="47"/>
    </row>
    <row r="22072" spans="45:45">
      <c r="AS22072" s="47"/>
    </row>
    <row r="22073" spans="45:45">
      <c r="AS22073" s="47"/>
    </row>
    <row r="22074" spans="45:45">
      <c r="AS22074" s="47"/>
    </row>
    <row r="22075" spans="45:45">
      <c r="AS22075" s="47"/>
    </row>
    <row r="22076" spans="45:45">
      <c r="AS22076" s="47"/>
    </row>
    <row r="22077" spans="45:45">
      <c r="AS22077" s="47"/>
    </row>
    <row r="22078" spans="45:45">
      <c r="AS22078" s="47"/>
    </row>
    <row r="22079" spans="45:45">
      <c r="AS22079" s="47"/>
    </row>
    <row r="22080" spans="45:45">
      <c r="AS22080" s="47"/>
    </row>
    <row r="22081" spans="45:45">
      <c r="AS22081" s="47"/>
    </row>
    <row r="22082" spans="45:45">
      <c r="AS22082" s="47"/>
    </row>
    <row r="22083" spans="45:45">
      <c r="AS22083" s="47"/>
    </row>
    <row r="22084" spans="45:45">
      <c r="AS22084" s="47"/>
    </row>
    <row r="22085" spans="45:45">
      <c r="AS22085" s="47"/>
    </row>
    <row r="22086" spans="45:45">
      <c r="AS22086" s="47"/>
    </row>
    <row r="22087" spans="45:45">
      <c r="AS22087" s="47"/>
    </row>
    <row r="22088" spans="45:45">
      <c r="AS22088" s="47"/>
    </row>
    <row r="22089" spans="45:45">
      <c r="AS22089" s="47"/>
    </row>
    <row r="22090" spans="45:45">
      <c r="AS22090" s="47"/>
    </row>
    <row r="22091" spans="45:45">
      <c r="AS22091" s="47"/>
    </row>
    <row r="22092" spans="45:45">
      <c r="AS22092" s="47"/>
    </row>
    <row r="22093" spans="45:45">
      <c r="AS22093" s="47"/>
    </row>
    <row r="22094" spans="45:45">
      <c r="AS22094" s="47"/>
    </row>
    <row r="22095" spans="45:45">
      <c r="AS22095" s="47"/>
    </row>
    <row r="22096" spans="45:45">
      <c r="AS22096" s="47"/>
    </row>
    <row r="22097" spans="45:45">
      <c r="AS22097" s="47"/>
    </row>
    <row r="22098" spans="45:45">
      <c r="AS22098" s="47"/>
    </row>
    <row r="22099" spans="45:45">
      <c r="AS22099" s="47"/>
    </row>
    <row r="22100" spans="45:45">
      <c r="AS22100" s="47"/>
    </row>
    <row r="22101" spans="45:45">
      <c r="AS22101" s="47"/>
    </row>
    <row r="22102" spans="45:45">
      <c r="AS22102" s="47"/>
    </row>
    <row r="22103" spans="45:45">
      <c r="AS22103" s="47"/>
    </row>
    <row r="22104" spans="45:45">
      <c r="AS22104" s="47"/>
    </row>
    <row r="22105" spans="45:45">
      <c r="AS22105" s="47"/>
    </row>
    <row r="22106" spans="45:45">
      <c r="AS22106" s="47"/>
    </row>
    <row r="22107" spans="45:45">
      <c r="AS22107" s="47"/>
    </row>
    <row r="22108" spans="45:45">
      <c r="AS22108" s="47"/>
    </row>
    <row r="22109" spans="45:45">
      <c r="AS22109" s="47"/>
    </row>
    <row r="22110" spans="45:45">
      <c r="AS22110" s="47"/>
    </row>
    <row r="22111" spans="45:45">
      <c r="AS22111" s="47"/>
    </row>
    <row r="22112" spans="45:45">
      <c r="AS22112" s="47"/>
    </row>
    <row r="22113" spans="45:45">
      <c r="AS22113" s="47"/>
    </row>
    <row r="22114" spans="45:45">
      <c r="AS22114" s="47"/>
    </row>
    <row r="22115" spans="45:45">
      <c r="AS22115" s="47"/>
    </row>
    <row r="22116" spans="45:45">
      <c r="AS22116" s="47"/>
    </row>
    <row r="22117" spans="45:45">
      <c r="AS22117" s="47"/>
    </row>
    <row r="22118" spans="45:45">
      <c r="AS22118" s="47"/>
    </row>
    <row r="22119" spans="45:45">
      <c r="AS22119" s="47"/>
    </row>
    <row r="22120" spans="45:45">
      <c r="AS22120" s="47"/>
    </row>
    <row r="22121" spans="45:45">
      <c r="AS22121" s="47"/>
    </row>
    <row r="22122" spans="45:45">
      <c r="AS22122" s="47"/>
    </row>
    <row r="22123" spans="45:45">
      <c r="AS22123" s="47"/>
    </row>
    <row r="22124" spans="45:45">
      <c r="AS22124" s="47"/>
    </row>
    <row r="22125" spans="45:45">
      <c r="AS22125" s="47"/>
    </row>
    <row r="22126" spans="45:45">
      <c r="AS22126" s="47"/>
    </row>
    <row r="22127" spans="45:45">
      <c r="AS22127" s="47"/>
    </row>
    <row r="22128" spans="45:45">
      <c r="AS22128" s="47"/>
    </row>
    <row r="22129" spans="45:45">
      <c r="AS22129" s="47"/>
    </row>
    <row r="22130" spans="45:45">
      <c r="AS22130" s="47"/>
    </row>
    <row r="22131" spans="45:45">
      <c r="AS22131" s="47"/>
    </row>
    <row r="22132" spans="45:45">
      <c r="AS22132" s="47"/>
    </row>
    <row r="22133" spans="45:45">
      <c r="AS22133" s="47"/>
    </row>
    <row r="22134" spans="45:45">
      <c r="AS22134" s="47"/>
    </row>
    <row r="22135" spans="45:45">
      <c r="AS22135" s="47"/>
    </row>
    <row r="22136" spans="45:45">
      <c r="AS22136" s="47"/>
    </row>
    <row r="22137" spans="45:45">
      <c r="AS22137" s="47"/>
    </row>
    <row r="22138" spans="45:45">
      <c r="AS22138" s="47"/>
    </row>
    <row r="22139" spans="45:45">
      <c r="AS22139" s="47"/>
    </row>
    <row r="22140" spans="45:45">
      <c r="AS22140" s="47"/>
    </row>
    <row r="22141" spans="45:45">
      <c r="AS22141" s="47"/>
    </row>
    <row r="22142" spans="45:45">
      <c r="AS22142" s="47"/>
    </row>
    <row r="22143" spans="45:45">
      <c r="AS22143" s="47"/>
    </row>
    <row r="22144" spans="45:45">
      <c r="AS22144" s="47"/>
    </row>
    <row r="22145" spans="45:45">
      <c r="AS22145" s="47"/>
    </row>
    <row r="22146" spans="45:45">
      <c r="AS22146" s="47"/>
    </row>
    <row r="22147" spans="45:45">
      <c r="AS22147" s="47"/>
    </row>
    <row r="22148" spans="45:45">
      <c r="AS22148" s="47"/>
    </row>
    <row r="22149" spans="45:45">
      <c r="AS22149" s="47"/>
    </row>
    <row r="22150" spans="45:45">
      <c r="AS22150" s="47"/>
    </row>
    <row r="22151" spans="45:45">
      <c r="AS22151" s="47"/>
    </row>
    <row r="22152" spans="45:45">
      <c r="AS22152" s="47"/>
    </row>
    <row r="22153" spans="45:45">
      <c r="AS22153" s="47"/>
    </row>
    <row r="22154" spans="45:45">
      <c r="AS22154" s="47"/>
    </row>
    <row r="22155" spans="45:45">
      <c r="AS22155" s="47"/>
    </row>
    <row r="22156" spans="45:45">
      <c r="AS22156" s="47"/>
    </row>
    <row r="22157" spans="45:45">
      <c r="AS22157" s="47"/>
    </row>
    <row r="22158" spans="45:45">
      <c r="AS22158" s="47"/>
    </row>
    <row r="22159" spans="45:45">
      <c r="AS22159" s="47"/>
    </row>
    <row r="22160" spans="45:45">
      <c r="AS22160" s="47"/>
    </row>
    <row r="22161" spans="45:45">
      <c r="AS22161" s="47"/>
    </row>
    <row r="22162" spans="45:45">
      <c r="AS22162" s="47"/>
    </row>
    <row r="22163" spans="45:45">
      <c r="AS22163" s="47"/>
    </row>
    <row r="22164" spans="45:45">
      <c r="AS22164" s="47"/>
    </row>
    <row r="22165" spans="45:45">
      <c r="AS22165" s="47"/>
    </row>
    <row r="22166" spans="45:45">
      <c r="AS22166" s="47"/>
    </row>
    <row r="22167" spans="45:45">
      <c r="AS22167" s="47"/>
    </row>
    <row r="22168" spans="45:45">
      <c r="AS22168" s="47"/>
    </row>
    <row r="22169" spans="45:45">
      <c r="AS22169" s="47"/>
    </row>
    <row r="22170" spans="45:45">
      <c r="AS22170" s="47"/>
    </row>
    <row r="22171" spans="45:45">
      <c r="AS22171" s="47"/>
    </row>
    <row r="22172" spans="45:45">
      <c r="AS22172" s="47"/>
    </row>
    <row r="22173" spans="45:45">
      <c r="AS22173" s="47"/>
    </row>
    <row r="22174" spans="45:45">
      <c r="AS22174" s="47"/>
    </row>
    <row r="22175" spans="45:45">
      <c r="AS22175" s="47"/>
    </row>
    <row r="22176" spans="45:45">
      <c r="AS22176" s="47"/>
    </row>
    <row r="22177" spans="45:45">
      <c r="AS22177" s="47"/>
    </row>
    <row r="22178" spans="45:45">
      <c r="AS22178" s="47"/>
    </row>
    <row r="22179" spans="45:45">
      <c r="AS22179" s="47"/>
    </row>
    <row r="22180" spans="45:45">
      <c r="AS22180" s="47"/>
    </row>
    <row r="22181" spans="45:45">
      <c r="AS22181" s="47"/>
    </row>
    <row r="22182" spans="45:45">
      <c r="AS22182" s="47"/>
    </row>
    <row r="22183" spans="45:45">
      <c r="AS22183" s="47"/>
    </row>
    <row r="22184" spans="45:45">
      <c r="AS22184" s="47"/>
    </row>
    <row r="22185" spans="45:45">
      <c r="AS22185" s="47"/>
    </row>
    <row r="22186" spans="45:45">
      <c r="AS22186" s="47"/>
    </row>
    <row r="22187" spans="45:45">
      <c r="AS22187" s="47"/>
    </row>
    <row r="22188" spans="45:45">
      <c r="AS22188" s="47"/>
    </row>
    <row r="22189" spans="45:45">
      <c r="AS22189" s="47"/>
    </row>
    <row r="22190" spans="45:45">
      <c r="AS22190" s="47"/>
    </row>
    <row r="22191" spans="45:45">
      <c r="AS22191" s="47"/>
    </row>
    <row r="22192" spans="45:45">
      <c r="AS22192" s="47"/>
    </row>
    <row r="22193" spans="45:45">
      <c r="AS22193" s="47"/>
    </row>
    <row r="22194" spans="45:45">
      <c r="AS22194" s="47"/>
    </row>
    <row r="22195" spans="45:45">
      <c r="AS22195" s="47"/>
    </row>
    <row r="22196" spans="45:45">
      <c r="AS22196" s="47"/>
    </row>
    <row r="22197" spans="45:45">
      <c r="AS22197" s="47"/>
    </row>
    <row r="22198" spans="45:45">
      <c r="AS22198" s="47"/>
    </row>
    <row r="22199" spans="45:45">
      <c r="AS22199" s="47"/>
    </row>
    <row r="22200" spans="45:45">
      <c r="AS22200" s="47"/>
    </row>
    <row r="22201" spans="45:45">
      <c r="AS22201" s="47"/>
    </row>
    <row r="22202" spans="45:45">
      <c r="AS22202" s="47"/>
    </row>
    <row r="22203" spans="45:45">
      <c r="AS22203" s="47"/>
    </row>
    <row r="22204" spans="45:45">
      <c r="AS22204" s="47"/>
    </row>
    <row r="22205" spans="45:45">
      <c r="AS22205" s="47"/>
    </row>
    <row r="22206" spans="45:45">
      <c r="AS22206" s="47"/>
    </row>
    <row r="22207" spans="45:45">
      <c r="AS22207" s="47"/>
    </row>
    <row r="22208" spans="45:45">
      <c r="AS22208" s="47"/>
    </row>
    <row r="22209" spans="45:45">
      <c r="AS22209" s="47"/>
    </row>
    <row r="22210" spans="45:45">
      <c r="AS22210" s="47"/>
    </row>
    <row r="22211" spans="45:45">
      <c r="AS22211" s="47"/>
    </row>
    <row r="22212" spans="45:45">
      <c r="AS22212" s="47"/>
    </row>
    <row r="22213" spans="45:45">
      <c r="AS22213" s="47"/>
    </row>
    <row r="22214" spans="45:45">
      <c r="AS22214" s="47"/>
    </row>
    <row r="22215" spans="45:45">
      <c r="AS22215" s="47"/>
    </row>
    <row r="22216" spans="45:45">
      <c r="AS22216" s="47"/>
    </row>
    <row r="22217" spans="45:45">
      <c r="AS22217" s="47"/>
    </row>
    <row r="22218" spans="45:45">
      <c r="AS22218" s="47"/>
    </row>
    <row r="22219" spans="45:45">
      <c r="AS22219" s="47"/>
    </row>
    <row r="22220" spans="45:45">
      <c r="AS22220" s="47"/>
    </row>
    <row r="22221" spans="45:45">
      <c r="AS22221" s="47"/>
    </row>
    <row r="22222" spans="45:45">
      <c r="AS22222" s="47"/>
    </row>
    <row r="22223" spans="45:45">
      <c r="AS22223" s="47"/>
    </row>
    <row r="22224" spans="45:45">
      <c r="AS22224" s="47"/>
    </row>
    <row r="22225" spans="45:45">
      <c r="AS22225" s="47"/>
    </row>
    <row r="22226" spans="45:45">
      <c r="AS22226" s="47"/>
    </row>
    <row r="22227" spans="45:45">
      <c r="AS22227" s="47"/>
    </row>
    <row r="22228" spans="45:45">
      <c r="AS22228" s="47"/>
    </row>
    <row r="22229" spans="45:45">
      <c r="AS22229" s="47"/>
    </row>
    <row r="22230" spans="45:45">
      <c r="AS22230" s="47"/>
    </row>
    <row r="22231" spans="45:45">
      <c r="AS22231" s="47"/>
    </row>
    <row r="22232" spans="45:45">
      <c r="AS22232" s="47"/>
    </row>
    <row r="22233" spans="45:45">
      <c r="AS22233" s="47"/>
    </row>
    <row r="22234" spans="45:45">
      <c r="AS22234" s="47"/>
    </row>
    <row r="22235" spans="45:45">
      <c r="AS22235" s="47"/>
    </row>
    <row r="22236" spans="45:45">
      <c r="AS22236" s="47"/>
    </row>
    <row r="22237" spans="45:45">
      <c r="AS22237" s="47"/>
    </row>
    <row r="22238" spans="45:45">
      <c r="AS22238" s="47"/>
    </row>
    <row r="22239" spans="45:45">
      <c r="AS22239" s="47"/>
    </row>
    <row r="22240" spans="45:45">
      <c r="AS22240" s="47"/>
    </row>
    <row r="22241" spans="45:45">
      <c r="AS22241" s="47"/>
    </row>
    <row r="22242" spans="45:45">
      <c r="AS22242" s="47"/>
    </row>
    <row r="22243" spans="45:45">
      <c r="AS22243" s="47"/>
    </row>
    <row r="22244" spans="45:45">
      <c r="AS22244" s="47"/>
    </row>
    <row r="22245" spans="45:45">
      <c r="AS22245" s="47"/>
    </row>
    <row r="22246" spans="45:45">
      <c r="AS22246" s="47"/>
    </row>
    <row r="22247" spans="45:45">
      <c r="AS22247" s="47"/>
    </row>
    <row r="22248" spans="45:45">
      <c r="AS22248" s="47"/>
    </row>
    <row r="22249" spans="45:45">
      <c r="AS22249" s="47"/>
    </row>
    <row r="22250" spans="45:45">
      <c r="AS22250" s="47"/>
    </row>
    <row r="22251" spans="45:45">
      <c r="AS22251" s="47"/>
    </row>
    <row r="22252" spans="45:45">
      <c r="AS22252" s="47"/>
    </row>
    <row r="22253" spans="45:45">
      <c r="AS22253" s="47"/>
    </row>
    <row r="22254" spans="45:45">
      <c r="AS22254" s="47"/>
    </row>
    <row r="22255" spans="45:45">
      <c r="AS22255" s="47"/>
    </row>
    <row r="22256" spans="45:45">
      <c r="AS22256" s="47"/>
    </row>
    <row r="22257" spans="45:45">
      <c r="AS22257" s="47"/>
    </row>
    <row r="22258" spans="45:45">
      <c r="AS22258" s="47"/>
    </row>
    <row r="22259" spans="45:45">
      <c r="AS22259" s="47"/>
    </row>
    <row r="22260" spans="45:45">
      <c r="AS22260" s="47"/>
    </row>
    <row r="22261" spans="45:45">
      <c r="AS22261" s="47"/>
    </row>
    <row r="22262" spans="45:45">
      <c r="AS22262" s="47"/>
    </row>
    <row r="22263" spans="45:45">
      <c r="AS22263" s="47"/>
    </row>
    <row r="22264" spans="45:45">
      <c r="AS22264" s="47"/>
    </row>
    <row r="22265" spans="45:45">
      <c r="AS22265" s="47"/>
    </row>
    <row r="22266" spans="45:45">
      <c r="AS22266" s="47"/>
    </row>
    <row r="22267" spans="45:45">
      <c r="AS22267" s="47"/>
    </row>
    <row r="22268" spans="45:45">
      <c r="AS22268" s="47"/>
    </row>
    <row r="22269" spans="45:45">
      <c r="AS22269" s="47"/>
    </row>
    <row r="22270" spans="45:45">
      <c r="AS22270" s="47"/>
    </row>
    <row r="22271" spans="45:45">
      <c r="AS22271" s="47"/>
    </row>
    <row r="22272" spans="45:45">
      <c r="AS22272" s="47"/>
    </row>
    <row r="22273" spans="45:45">
      <c r="AS22273" s="47"/>
    </row>
    <row r="22274" spans="45:45">
      <c r="AS22274" s="47"/>
    </row>
    <row r="22275" spans="45:45">
      <c r="AS22275" s="47"/>
    </row>
    <row r="22276" spans="45:45">
      <c r="AS22276" s="47"/>
    </row>
    <row r="22277" spans="45:45">
      <c r="AS22277" s="47"/>
    </row>
    <row r="22278" spans="45:45">
      <c r="AS22278" s="47"/>
    </row>
    <row r="22279" spans="45:45">
      <c r="AS22279" s="47"/>
    </row>
    <row r="22280" spans="45:45">
      <c r="AS22280" s="47"/>
    </row>
    <row r="22281" spans="45:45">
      <c r="AS22281" s="47"/>
    </row>
    <row r="22282" spans="45:45">
      <c r="AS22282" s="47"/>
    </row>
    <row r="22283" spans="45:45">
      <c r="AS22283" s="47"/>
    </row>
    <row r="22284" spans="45:45">
      <c r="AS22284" s="47"/>
    </row>
    <row r="22285" spans="45:45">
      <c r="AS22285" s="47"/>
    </row>
    <row r="22286" spans="45:45">
      <c r="AS22286" s="47"/>
    </row>
    <row r="22287" spans="45:45">
      <c r="AS22287" s="47"/>
    </row>
    <row r="22288" spans="45:45">
      <c r="AS22288" s="47"/>
    </row>
    <row r="22289" spans="45:45">
      <c r="AS22289" s="47"/>
    </row>
    <row r="22290" spans="45:45">
      <c r="AS22290" s="47"/>
    </row>
    <row r="22291" spans="45:45">
      <c r="AS22291" s="47"/>
    </row>
    <row r="22292" spans="45:45">
      <c r="AS22292" s="47"/>
    </row>
    <row r="22293" spans="45:45">
      <c r="AS22293" s="47"/>
    </row>
    <row r="22294" spans="45:45">
      <c r="AS22294" s="47"/>
    </row>
    <row r="22295" spans="45:45">
      <c r="AS22295" s="47"/>
    </row>
    <row r="22296" spans="45:45">
      <c r="AS22296" s="47"/>
    </row>
    <row r="22297" spans="45:45">
      <c r="AS22297" s="47"/>
    </row>
    <row r="22298" spans="45:45">
      <c r="AS22298" s="47"/>
    </row>
    <row r="22299" spans="45:45">
      <c r="AS22299" s="47"/>
    </row>
    <row r="22300" spans="45:45">
      <c r="AS22300" s="47"/>
    </row>
    <row r="22301" spans="45:45">
      <c r="AS22301" s="47"/>
    </row>
    <row r="22302" spans="45:45">
      <c r="AS22302" s="47"/>
    </row>
    <row r="22303" spans="45:45">
      <c r="AS22303" s="47"/>
    </row>
    <row r="22304" spans="45:45">
      <c r="AS22304" s="47"/>
    </row>
    <row r="22305" spans="45:45">
      <c r="AS22305" s="47"/>
    </row>
    <row r="22306" spans="45:45">
      <c r="AS22306" s="47"/>
    </row>
    <row r="22307" spans="45:45">
      <c r="AS22307" s="47"/>
    </row>
    <row r="22308" spans="45:45">
      <c r="AS22308" s="47"/>
    </row>
    <row r="22309" spans="45:45">
      <c r="AS22309" s="47"/>
    </row>
    <row r="22310" spans="45:45">
      <c r="AS22310" s="47"/>
    </row>
    <row r="22311" spans="45:45">
      <c r="AS22311" s="47"/>
    </row>
    <row r="22312" spans="45:45">
      <c r="AS22312" s="47"/>
    </row>
    <row r="22313" spans="45:45">
      <c r="AS22313" s="47"/>
    </row>
    <row r="22314" spans="45:45">
      <c r="AS22314" s="47"/>
    </row>
    <row r="22315" spans="45:45">
      <c r="AS22315" s="47"/>
    </row>
    <row r="22316" spans="45:45">
      <c r="AS22316" s="47"/>
    </row>
    <row r="22317" spans="45:45">
      <c r="AS22317" s="47"/>
    </row>
    <row r="22318" spans="45:45">
      <c r="AS22318" s="47"/>
    </row>
    <row r="22319" spans="45:45">
      <c r="AS22319" s="47"/>
    </row>
    <row r="22320" spans="45:45">
      <c r="AS22320" s="47"/>
    </row>
    <row r="22321" spans="45:45">
      <c r="AS22321" s="47"/>
    </row>
    <row r="22322" spans="45:45">
      <c r="AS22322" s="47"/>
    </row>
    <row r="22323" spans="45:45">
      <c r="AS22323" s="47"/>
    </row>
    <row r="22324" spans="45:45">
      <c r="AS22324" s="47"/>
    </row>
    <row r="22325" spans="45:45">
      <c r="AS22325" s="47"/>
    </row>
    <row r="22326" spans="45:45">
      <c r="AS22326" s="47"/>
    </row>
    <row r="22327" spans="45:45">
      <c r="AS22327" s="47"/>
    </row>
    <row r="22328" spans="45:45">
      <c r="AS22328" s="47"/>
    </row>
    <row r="22329" spans="45:45">
      <c r="AS22329" s="47"/>
    </row>
    <row r="22330" spans="45:45">
      <c r="AS22330" s="47"/>
    </row>
    <row r="22331" spans="45:45">
      <c r="AS22331" s="47"/>
    </row>
    <row r="22332" spans="45:45">
      <c r="AS22332" s="47"/>
    </row>
    <row r="22333" spans="45:45">
      <c r="AS22333" s="47"/>
    </row>
    <row r="22334" spans="45:45">
      <c r="AS22334" s="47"/>
    </row>
    <row r="22335" spans="45:45">
      <c r="AS22335" s="47"/>
    </row>
    <row r="22336" spans="45:45">
      <c r="AS22336" s="47"/>
    </row>
    <row r="22337" spans="45:45">
      <c r="AS22337" s="47"/>
    </row>
    <row r="22338" spans="45:45">
      <c r="AS22338" s="47"/>
    </row>
    <row r="22339" spans="45:45">
      <c r="AS22339" s="47"/>
    </row>
    <row r="22340" spans="45:45">
      <c r="AS22340" s="47"/>
    </row>
    <row r="22341" spans="45:45">
      <c r="AS22341" s="47"/>
    </row>
    <row r="22342" spans="45:45">
      <c r="AS22342" s="47"/>
    </row>
    <row r="22343" spans="45:45">
      <c r="AS22343" s="47"/>
    </row>
    <row r="22344" spans="45:45">
      <c r="AS22344" s="47"/>
    </row>
    <row r="22345" spans="45:45">
      <c r="AS22345" s="47"/>
    </row>
    <row r="22346" spans="45:45">
      <c r="AS22346" s="47"/>
    </row>
    <row r="22347" spans="45:45">
      <c r="AS22347" s="47"/>
    </row>
    <row r="22348" spans="45:45">
      <c r="AS22348" s="47"/>
    </row>
    <row r="22349" spans="45:45">
      <c r="AS22349" s="47"/>
    </row>
    <row r="22350" spans="45:45">
      <c r="AS22350" s="47"/>
    </row>
    <row r="22351" spans="45:45">
      <c r="AS22351" s="47"/>
    </row>
    <row r="22352" spans="45:45">
      <c r="AS22352" s="47"/>
    </row>
    <row r="22353" spans="45:45">
      <c r="AS22353" s="47"/>
    </row>
    <row r="22354" spans="45:45">
      <c r="AS22354" s="47"/>
    </row>
    <row r="22355" spans="45:45">
      <c r="AS22355" s="47"/>
    </row>
    <row r="22356" spans="45:45">
      <c r="AS22356" s="47"/>
    </row>
    <row r="22357" spans="45:45">
      <c r="AS22357" s="47"/>
    </row>
    <row r="22358" spans="45:45">
      <c r="AS22358" s="47"/>
    </row>
    <row r="22359" spans="45:45">
      <c r="AS22359" s="47"/>
    </row>
    <row r="22360" spans="45:45">
      <c r="AS22360" s="47"/>
    </row>
    <row r="22361" spans="45:45">
      <c r="AS22361" s="47"/>
    </row>
    <row r="22362" spans="45:45">
      <c r="AS22362" s="47"/>
    </row>
    <row r="22363" spans="45:45">
      <c r="AS22363" s="47"/>
    </row>
    <row r="22364" spans="45:45">
      <c r="AS22364" s="47"/>
    </row>
    <row r="22365" spans="45:45">
      <c r="AS22365" s="47"/>
    </row>
    <row r="22366" spans="45:45">
      <c r="AS22366" s="47"/>
    </row>
    <row r="22367" spans="45:45">
      <c r="AS22367" s="47"/>
    </row>
    <row r="22368" spans="45:45">
      <c r="AS22368" s="47"/>
    </row>
    <row r="22369" spans="45:45">
      <c r="AS22369" s="47"/>
    </row>
    <row r="22370" spans="45:45">
      <c r="AS22370" s="47"/>
    </row>
    <row r="22371" spans="45:45">
      <c r="AS22371" s="47"/>
    </row>
    <row r="22372" spans="45:45">
      <c r="AS22372" s="47"/>
    </row>
    <row r="22373" spans="45:45">
      <c r="AS22373" s="47"/>
    </row>
    <row r="22374" spans="45:45">
      <c r="AS22374" s="47"/>
    </row>
    <row r="22375" spans="45:45">
      <c r="AS22375" s="47"/>
    </row>
    <row r="22376" spans="45:45">
      <c r="AS22376" s="47"/>
    </row>
    <row r="22377" spans="45:45">
      <c r="AS22377" s="47"/>
    </row>
    <row r="22378" spans="45:45">
      <c r="AS22378" s="47"/>
    </row>
    <row r="22379" spans="45:45">
      <c r="AS22379" s="47"/>
    </row>
    <row r="22380" spans="45:45">
      <c r="AS22380" s="47"/>
    </row>
    <row r="22381" spans="45:45">
      <c r="AS22381" s="47"/>
    </row>
    <row r="22382" spans="45:45">
      <c r="AS22382" s="47"/>
    </row>
    <row r="22383" spans="45:45">
      <c r="AS22383" s="47"/>
    </row>
    <row r="22384" spans="45:45">
      <c r="AS22384" s="47"/>
    </row>
    <row r="22385" spans="45:45">
      <c r="AS22385" s="47"/>
    </row>
    <row r="22386" spans="45:45">
      <c r="AS22386" s="47"/>
    </row>
    <row r="22387" spans="45:45">
      <c r="AS22387" s="47"/>
    </row>
    <row r="22388" spans="45:45">
      <c r="AS22388" s="47"/>
    </row>
    <row r="22389" spans="45:45">
      <c r="AS22389" s="47"/>
    </row>
    <row r="22390" spans="45:45">
      <c r="AS22390" s="47"/>
    </row>
    <row r="22391" spans="45:45">
      <c r="AS22391" s="47"/>
    </row>
    <row r="22392" spans="45:45">
      <c r="AS22392" s="47"/>
    </row>
    <row r="22393" spans="45:45">
      <c r="AS22393" s="47"/>
    </row>
    <row r="22394" spans="45:45">
      <c r="AS22394" s="47"/>
    </row>
    <row r="22395" spans="45:45">
      <c r="AS22395" s="47"/>
    </row>
    <row r="22396" spans="45:45">
      <c r="AS22396" s="47"/>
    </row>
    <row r="22397" spans="45:45">
      <c r="AS22397" s="47"/>
    </row>
    <row r="22398" spans="45:45">
      <c r="AS22398" s="47"/>
    </row>
    <row r="22399" spans="45:45">
      <c r="AS22399" s="47"/>
    </row>
    <row r="22400" spans="45:45">
      <c r="AS22400" s="47"/>
    </row>
    <row r="22401" spans="45:45">
      <c r="AS22401" s="47"/>
    </row>
    <row r="22402" spans="45:45">
      <c r="AS22402" s="47"/>
    </row>
    <row r="22403" spans="45:45">
      <c r="AS22403" s="47"/>
    </row>
    <row r="22404" spans="45:45">
      <c r="AS22404" s="47"/>
    </row>
    <row r="22405" spans="45:45">
      <c r="AS22405" s="47"/>
    </row>
    <row r="22406" spans="45:45">
      <c r="AS22406" s="47"/>
    </row>
    <row r="22407" spans="45:45">
      <c r="AS22407" s="47"/>
    </row>
    <row r="22408" spans="45:45">
      <c r="AS22408" s="47"/>
    </row>
    <row r="22409" spans="45:45">
      <c r="AS22409" s="47"/>
    </row>
    <row r="22410" spans="45:45">
      <c r="AS22410" s="47"/>
    </row>
    <row r="22411" spans="45:45">
      <c r="AS22411" s="47"/>
    </row>
    <row r="22412" spans="45:45">
      <c r="AS22412" s="47"/>
    </row>
    <row r="22413" spans="45:45">
      <c r="AS22413" s="47"/>
    </row>
    <row r="22414" spans="45:45">
      <c r="AS22414" s="47"/>
    </row>
    <row r="22415" spans="45:45">
      <c r="AS22415" s="47"/>
    </row>
    <row r="22416" spans="45:45">
      <c r="AS22416" s="47"/>
    </row>
    <row r="22417" spans="45:45">
      <c r="AS22417" s="47"/>
    </row>
    <row r="22418" spans="45:45">
      <c r="AS22418" s="47"/>
    </row>
    <row r="22419" spans="45:45">
      <c r="AS22419" s="47"/>
    </row>
    <row r="22420" spans="45:45">
      <c r="AS22420" s="47"/>
    </row>
    <row r="22421" spans="45:45">
      <c r="AS22421" s="47"/>
    </row>
    <row r="22422" spans="45:45">
      <c r="AS22422" s="47"/>
    </row>
    <row r="22423" spans="45:45">
      <c r="AS22423" s="47"/>
    </row>
    <row r="22424" spans="45:45">
      <c r="AS22424" s="47"/>
    </row>
    <row r="22425" spans="45:45">
      <c r="AS22425" s="47"/>
    </row>
    <row r="22426" spans="45:45">
      <c r="AS22426" s="47"/>
    </row>
    <row r="22427" spans="45:45">
      <c r="AS22427" s="47"/>
    </row>
    <row r="22428" spans="45:45">
      <c r="AS22428" s="47"/>
    </row>
    <row r="22429" spans="45:45">
      <c r="AS22429" s="47"/>
    </row>
    <row r="22430" spans="45:45">
      <c r="AS22430" s="47"/>
    </row>
    <row r="22431" spans="45:45">
      <c r="AS22431" s="47"/>
    </row>
    <row r="22432" spans="45:45">
      <c r="AS22432" s="47"/>
    </row>
    <row r="22433" spans="45:45">
      <c r="AS22433" s="47"/>
    </row>
    <row r="22434" spans="45:45">
      <c r="AS22434" s="47"/>
    </row>
    <row r="22435" spans="45:45">
      <c r="AS22435" s="47"/>
    </row>
    <row r="22436" spans="45:45">
      <c r="AS22436" s="47"/>
    </row>
    <row r="22437" spans="45:45">
      <c r="AS22437" s="47"/>
    </row>
    <row r="22438" spans="45:45">
      <c r="AS22438" s="47"/>
    </row>
    <row r="22439" spans="45:45">
      <c r="AS22439" s="47"/>
    </row>
    <row r="22440" spans="45:45">
      <c r="AS22440" s="47"/>
    </row>
    <row r="22441" spans="45:45">
      <c r="AS22441" s="47"/>
    </row>
    <row r="22442" spans="45:45">
      <c r="AS22442" s="47"/>
    </row>
    <row r="22443" spans="45:45">
      <c r="AS22443" s="47"/>
    </row>
    <row r="22444" spans="45:45">
      <c r="AS22444" s="47"/>
    </row>
    <row r="22445" spans="45:45">
      <c r="AS22445" s="47"/>
    </row>
    <row r="22446" spans="45:45">
      <c r="AS22446" s="47"/>
    </row>
    <row r="22447" spans="45:45">
      <c r="AS22447" s="47"/>
    </row>
    <row r="22448" spans="45:45">
      <c r="AS22448" s="47"/>
    </row>
    <row r="22449" spans="45:45">
      <c r="AS22449" s="47"/>
    </row>
    <row r="22450" spans="45:45">
      <c r="AS22450" s="47"/>
    </row>
    <row r="22451" spans="45:45">
      <c r="AS22451" s="47"/>
    </row>
    <row r="22452" spans="45:45">
      <c r="AS22452" s="47"/>
    </row>
    <row r="22453" spans="45:45">
      <c r="AS22453" s="47"/>
    </row>
    <row r="22454" spans="45:45">
      <c r="AS22454" s="47"/>
    </row>
    <row r="22455" spans="45:45">
      <c r="AS22455" s="47"/>
    </row>
    <row r="22456" spans="45:45">
      <c r="AS22456" s="47"/>
    </row>
    <row r="22457" spans="45:45">
      <c r="AS22457" s="47"/>
    </row>
    <row r="22458" spans="45:45">
      <c r="AS22458" s="47"/>
    </row>
    <row r="22459" spans="45:45">
      <c r="AS22459" s="47"/>
    </row>
    <row r="22460" spans="45:45">
      <c r="AS22460" s="47"/>
    </row>
    <row r="22461" spans="45:45">
      <c r="AS22461" s="47"/>
    </row>
    <row r="22462" spans="45:45">
      <c r="AS22462" s="47"/>
    </row>
    <row r="22463" spans="45:45">
      <c r="AS22463" s="47"/>
    </row>
    <row r="22464" spans="45:45">
      <c r="AS22464" s="47"/>
    </row>
    <row r="22465" spans="45:45">
      <c r="AS22465" s="47"/>
    </row>
    <row r="22466" spans="45:45">
      <c r="AS22466" s="47"/>
    </row>
    <row r="22467" spans="45:45">
      <c r="AS22467" s="47"/>
    </row>
    <row r="22468" spans="45:45">
      <c r="AS22468" s="47"/>
    </row>
    <row r="22469" spans="45:45">
      <c r="AS22469" s="47"/>
    </row>
    <row r="22470" spans="45:45">
      <c r="AS22470" s="47"/>
    </row>
    <row r="22471" spans="45:45">
      <c r="AS22471" s="47"/>
    </row>
    <row r="22472" spans="45:45">
      <c r="AS22472" s="47"/>
    </row>
    <row r="22473" spans="45:45">
      <c r="AS22473" s="47"/>
    </row>
    <row r="22474" spans="45:45">
      <c r="AS22474" s="47"/>
    </row>
    <row r="22475" spans="45:45">
      <c r="AS22475" s="47"/>
    </row>
    <row r="22476" spans="45:45">
      <c r="AS22476" s="47"/>
    </row>
    <row r="22477" spans="45:45">
      <c r="AS22477" s="47"/>
    </row>
    <row r="22478" spans="45:45">
      <c r="AS22478" s="47"/>
    </row>
    <row r="22479" spans="45:45">
      <c r="AS22479" s="47"/>
    </row>
    <row r="22480" spans="45:45">
      <c r="AS22480" s="47"/>
    </row>
    <row r="22481" spans="45:45">
      <c r="AS22481" s="47"/>
    </row>
    <row r="22482" spans="45:45">
      <c r="AS22482" s="47"/>
    </row>
    <row r="22483" spans="45:45">
      <c r="AS22483" s="47"/>
    </row>
    <row r="22484" spans="45:45">
      <c r="AS22484" s="47"/>
    </row>
    <row r="22485" spans="45:45">
      <c r="AS22485" s="47"/>
    </row>
    <row r="22486" spans="45:45">
      <c r="AS22486" s="47"/>
    </row>
    <row r="22487" spans="45:45">
      <c r="AS22487" s="47"/>
    </row>
    <row r="22488" spans="45:45">
      <c r="AS22488" s="47"/>
    </row>
    <row r="22489" spans="45:45">
      <c r="AS22489" s="47"/>
    </row>
    <row r="22490" spans="45:45">
      <c r="AS22490" s="47"/>
    </row>
    <row r="22491" spans="45:45">
      <c r="AS22491" s="47"/>
    </row>
    <row r="22492" spans="45:45">
      <c r="AS22492" s="47"/>
    </row>
    <row r="22493" spans="45:45">
      <c r="AS22493" s="47"/>
    </row>
    <row r="22494" spans="45:45">
      <c r="AS22494" s="47"/>
    </row>
    <row r="22495" spans="45:45">
      <c r="AS22495" s="47"/>
    </row>
    <row r="22496" spans="45:45">
      <c r="AS22496" s="47"/>
    </row>
    <row r="22497" spans="45:45">
      <c r="AS22497" s="47"/>
    </row>
    <row r="22498" spans="45:45">
      <c r="AS22498" s="47"/>
    </row>
    <row r="22499" spans="45:45">
      <c r="AS22499" s="47"/>
    </row>
    <row r="22500" spans="45:45">
      <c r="AS22500" s="47"/>
    </row>
    <row r="22501" spans="45:45">
      <c r="AS22501" s="47"/>
    </row>
    <row r="22502" spans="45:45">
      <c r="AS22502" s="47"/>
    </row>
    <row r="22503" spans="45:45">
      <c r="AS22503" s="47"/>
    </row>
    <row r="22504" spans="45:45">
      <c r="AS22504" s="47"/>
    </row>
    <row r="22505" spans="45:45">
      <c r="AS22505" s="47"/>
    </row>
    <row r="22506" spans="45:45">
      <c r="AS22506" s="47"/>
    </row>
    <row r="22507" spans="45:45">
      <c r="AS22507" s="47"/>
    </row>
    <row r="22508" spans="45:45">
      <c r="AS22508" s="47"/>
    </row>
    <row r="22509" spans="45:45">
      <c r="AS22509" s="47"/>
    </row>
    <row r="22510" spans="45:45">
      <c r="AS22510" s="47"/>
    </row>
    <row r="22511" spans="45:45">
      <c r="AS22511" s="47"/>
    </row>
    <row r="22512" spans="45:45">
      <c r="AS22512" s="47"/>
    </row>
    <row r="22513" spans="45:45">
      <c r="AS22513" s="47"/>
    </row>
    <row r="22514" spans="45:45">
      <c r="AS22514" s="47"/>
    </row>
    <row r="22515" spans="45:45">
      <c r="AS22515" s="47"/>
    </row>
    <row r="22516" spans="45:45">
      <c r="AS22516" s="47"/>
    </row>
    <row r="22517" spans="45:45">
      <c r="AS22517" s="47"/>
    </row>
    <row r="22518" spans="45:45">
      <c r="AS22518" s="47"/>
    </row>
    <row r="22519" spans="45:45">
      <c r="AS22519" s="47"/>
    </row>
    <row r="22520" spans="45:45">
      <c r="AS22520" s="47"/>
    </row>
    <row r="22521" spans="45:45">
      <c r="AS22521" s="47"/>
    </row>
    <row r="22522" spans="45:45">
      <c r="AS22522" s="47"/>
    </row>
    <row r="22523" spans="45:45">
      <c r="AS22523" s="47"/>
    </row>
    <row r="22524" spans="45:45">
      <c r="AS22524" s="47"/>
    </row>
    <row r="22525" spans="45:45">
      <c r="AS22525" s="47"/>
    </row>
    <row r="22526" spans="45:45">
      <c r="AS22526" s="47"/>
    </row>
    <row r="22527" spans="45:45">
      <c r="AS22527" s="47"/>
    </row>
    <row r="22528" spans="45:45">
      <c r="AS22528" s="47"/>
    </row>
    <row r="22529" spans="45:45">
      <c r="AS22529" s="47"/>
    </row>
    <row r="22530" spans="45:45">
      <c r="AS22530" s="47"/>
    </row>
    <row r="22531" spans="45:45">
      <c r="AS22531" s="47"/>
    </row>
    <row r="22532" spans="45:45">
      <c r="AS22532" s="47"/>
    </row>
    <row r="22533" spans="45:45">
      <c r="AS22533" s="47"/>
    </row>
    <row r="22534" spans="45:45">
      <c r="AS22534" s="47"/>
    </row>
    <row r="22535" spans="45:45">
      <c r="AS22535" s="47"/>
    </row>
    <row r="22536" spans="45:45">
      <c r="AS22536" s="47"/>
    </row>
    <row r="22537" spans="45:45">
      <c r="AS22537" s="47"/>
    </row>
    <row r="22538" spans="45:45">
      <c r="AS22538" s="47"/>
    </row>
    <row r="22539" spans="45:45">
      <c r="AS22539" s="47"/>
    </row>
    <row r="22540" spans="45:45">
      <c r="AS22540" s="47"/>
    </row>
    <row r="22541" spans="45:45">
      <c r="AS22541" s="47"/>
    </row>
    <row r="22542" spans="45:45">
      <c r="AS22542" s="47"/>
    </row>
    <row r="22543" spans="45:45">
      <c r="AS22543" s="47"/>
    </row>
    <row r="22544" spans="45:45">
      <c r="AS22544" s="47"/>
    </row>
    <row r="22545" spans="45:45">
      <c r="AS22545" s="47"/>
    </row>
    <row r="22546" spans="45:45">
      <c r="AS22546" s="47"/>
    </row>
    <row r="22547" spans="45:45">
      <c r="AS22547" s="47"/>
    </row>
    <row r="22548" spans="45:45">
      <c r="AS22548" s="47"/>
    </row>
    <row r="22549" spans="45:45">
      <c r="AS22549" s="47"/>
    </row>
    <row r="22550" spans="45:45">
      <c r="AS22550" s="47"/>
    </row>
    <row r="22551" spans="45:45">
      <c r="AS22551" s="47"/>
    </row>
    <row r="22552" spans="45:45">
      <c r="AS22552" s="47"/>
    </row>
    <row r="22553" spans="45:45">
      <c r="AS22553" s="47"/>
    </row>
    <row r="22554" spans="45:45">
      <c r="AS22554" s="47"/>
    </row>
    <row r="22555" spans="45:45">
      <c r="AS22555" s="47"/>
    </row>
    <row r="22556" spans="45:45">
      <c r="AS22556" s="47"/>
    </row>
    <row r="22557" spans="45:45">
      <c r="AS22557" s="47"/>
    </row>
    <row r="22558" spans="45:45">
      <c r="AS22558" s="47"/>
    </row>
    <row r="22559" spans="45:45">
      <c r="AS22559" s="47"/>
    </row>
    <row r="22560" spans="45:45">
      <c r="AS22560" s="47"/>
    </row>
    <row r="22561" spans="45:45">
      <c r="AS22561" s="47"/>
    </row>
    <row r="22562" spans="45:45">
      <c r="AS22562" s="47"/>
    </row>
    <row r="22563" spans="45:45">
      <c r="AS22563" s="47"/>
    </row>
    <row r="22564" spans="45:45">
      <c r="AS22564" s="47"/>
    </row>
    <row r="22565" spans="45:45">
      <c r="AS22565" s="47"/>
    </row>
    <row r="22566" spans="45:45">
      <c r="AS22566" s="47"/>
    </row>
    <row r="22567" spans="45:45">
      <c r="AS22567" s="47"/>
    </row>
    <row r="22568" spans="45:45">
      <c r="AS22568" s="47"/>
    </row>
    <row r="22569" spans="45:45">
      <c r="AS22569" s="47"/>
    </row>
    <row r="22570" spans="45:45">
      <c r="AS22570" s="47"/>
    </row>
    <row r="22571" spans="45:45">
      <c r="AS22571" s="47"/>
    </row>
    <row r="22572" spans="45:45">
      <c r="AS22572" s="47"/>
    </row>
    <row r="22573" spans="45:45">
      <c r="AS22573" s="47"/>
    </row>
    <row r="22574" spans="45:45">
      <c r="AS22574" s="47"/>
    </row>
    <row r="22575" spans="45:45">
      <c r="AS22575" s="47"/>
    </row>
    <row r="22576" spans="45:45">
      <c r="AS22576" s="47"/>
    </row>
    <row r="22577" spans="45:45">
      <c r="AS22577" s="47"/>
    </row>
    <row r="22578" spans="45:45">
      <c r="AS22578" s="47"/>
    </row>
    <row r="22579" spans="45:45">
      <c r="AS22579" s="47"/>
    </row>
    <row r="22580" spans="45:45">
      <c r="AS22580" s="47"/>
    </row>
    <row r="22581" spans="45:45">
      <c r="AS22581" s="47"/>
    </row>
    <row r="22582" spans="45:45">
      <c r="AS22582" s="47"/>
    </row>
    <row r="22583" spans="45:45">
      <c r="AS22583" s="47"/>
    </row>
    <row r="22584" spans="45:45">
      <c r="AS22584" s="47"/>
    </row>
    <row r="22585" spans="45:45">
      <c r="AS22585" s="47"/>
    </row>
    <row r="22586" spans="45:45">
      <c r="AS22586" s="47"/>
    </row>
    <row r="22587" spans="45:45">
      <c r="AS22587" s="47"/>
    </row>
    <row r="22588" spans="45:45">
      <c r="AS22588" s="47"/>
    </row>
    <row r="22589" spans="45:45">
      <c r="AS22589" s="47"/>
    </row>
    <row r="22590" spans="45:45">
      <c r="AS22590" s="47"/>
    </row>
    <row r="22591" spans="45:45">
      <c r="AS22591" s="47"/>
    </row>
    <row r="22592" spans="45:45">
      <c r="AS22592" s="47"/>
    </row>
    <row r="22593" spans="45:45">
      <c r="AS22593" s="47"/>
    </row>
    <row r="22594" spans="45:45">
      <c r="AS22594" s="47"/>
    </row>
    <row r="22595" spans="45:45">
      <c r="AS22595" s="47"/>
    </row>
    <row r="22596" spans="45:45">
      <c r="AS22596" s="47"/>
    </row>
    <row r="22597" spans="45:45">
      <c r="AS22597" s="47"/>
    </row>
    <row r="22598" spans="45:45">
      <c r="AS22598" s="47"/>
    </row>
    <row r="22599" spans="45:45">
      <c r="AS22599" s="47"/>
    </row>
    <row r="22600" spans="45:45">
      <c r="AS22600" s="47"/>
    </row>
    <row r="22601" spans="45:45">
      <c r="AS22601" s="47"/>
    </row>
    <row r="22602" spans="45:45">
      <c r="AS22602" s="47"/>
    </row>
    <row r="22603" spans="45:45">
      <c r="AS22603" s="47"/>
    </row>
    <row r="22604" spans="45:45">
      <c r="AS22604" s="47"/>
    </row>
    <row r="22605" spans="45:45">
      <c r="AS22605" s="47"/>
    </row>
    <row r="22606" spans="45:45">
      <c r="AS22606" s="47"/>
    </row>
    <row r="22607" spans="45:45">
      <c r="AS22607" s="47"/>
    </row>
    <row r="22608" spans="45:45">
      <c r="AS22608" s="47"/>
    </row>
    <row r="22609" spans="45:45">
      <c r="AS22609" s="47"/>
    </row>
    <row r="22610" spans="45:45">
      <c r="AS22610" s="47"/>
    </row>
    <row r="22611" spans="45:45">
      <c r="AS22611" s="47"/>
    </row>
    <row r="22612" spans="45:45">
      <c r="AS22612" s="47"/>
    </row>
    <row r="22613" spans="45:45">
      <c r="AS22613" s="47"/>
    </row>
    <row r="22614" spans="45:45">
      <c r="AS22614" s="47"/>
    </row>
    <row r="22615" spans="45:45">
      <c r="AS22615" s="47"/>
    </row>
    <row r="22616" spans="45:45">
      <c r="AS22616" s="47"/>
    </row>
    <row r="22617" spans="45:45">
      <c r="AS22617" s="47"/>
    </row>
    <row r="22618" spans="45:45">
      <c r="AS22618" s="47"/>
    </row>
    <row r="22619" spans="45:45">
      <c r="AS22619" s="47"/>
    </row>
    <row r="22620" spans="45:45">
      <c r="AS22620" s="47"/>
    </row>
    <row r="22621" spans="45:45">
      <c r="AS22621" s="47"/>
    </row>
    <row r="22622" spans="45:45">
      <c r="AS22622" s="47"/>
    </row>
    <row r="22623" spans="45:45">
      <c r="AS22623" s="47"/>
    </row>
    <row r="22624" spans="45:45">
      <c r="AS22624" s="47"/>
    </row>
    <row r="22625" spans="45:45">
      <c r="AS22625" s="47"/>
    </row>
    <row r="22626" spans="45:45">
      <c r="AS22626" s="47"/>
    </row>
    <row r="22627" spans="45:45">
      <c r="AS22627" s="47"/>
    </row>
    <row r="22628" spans="45:45">
      <c r="AS22628" s="47"/>
    </row>
    <row r="22629" spans="45:45">
      <c r="AS22629" s="47"/>
    </row>
    <row r="22630" spans="45:45">
      <c r="AS22630" s="47"/>
    </row>
    <row r="22631" spans="45:45">
      <c r="AS22631" s="47"/>
    </row>
    <row r="22632" spans="45:45">
      <c r="AS22632" s="47"/>
    </row>
    <row r="22633" spans="45:45">
      <c r="AS22633" s="47"/>
    </row>
    <row r="22634" spans="45:45">
      <c r="AS22634" s="47"/>
    </row>
    <row r="22635" spans="45:45">
      <c r="AS22635" s="47"/>
    </row>
    <row r="22636" spans="45:45">
      <c r="AS22636" s="47"/>
    </row>
    <row r="22637" spans="45:45">
      <c r="AS22637" s="47"/>
    </row>
    <row r="22638" spans="45:45">
      <c r="AS22638" s="47"/>
    </row>
    <row r="22639" spans="45:45">
      <c r="AS22639" s="47"/>
    </row>
    <row r="22640" spans="45:45">
      <c r="AS22640" s="47"/>
    </row>
    <row r="22641" spans="45:45">
      <c r="AS22641" s="47"/>
    </row>
    <row r="22642" spans="45:45">
      <c r="AS22642" s="47"/>
    </row>
    <row r="22643" spans="45:45">
      <c r="AS22643" s="47"/>
    </row>
    <row r="22644" spans="45:45">
      <c r="AS22644" s="47"/>
    </row>
    <row r="22645" spans="45:45">
      <c r="AS22645" s="47"/>
    </row>
    <row r="22646" spans="45:45">
      <c r="AS22646" s="47"/>
    </row>
    <row r="22647" spans="45:45">
      <c r="AS22647" s="47"/>
    </row>
    <row r="22648" spans="45:45">
      <c r="AS22648" s="47"/>
    </row>
    <row r="22649" spans="45:45">
      <c r="AS22649" s="47"/>
    </row>
    <row r="22650" spans="45:45">
      <c r="AS22650" s="47"/>
    </row>
    <row r="22651" spans="45:45">
      <c r="AS22651" s="47"/>
    </row>
    <row r="22652" spans="45:45">
      <c r="AS22652" s="47"/>
    </row>
    <row r="22653" spans="45:45">
      <c r="AS22653" s="47"/>
    </row>
    <row r="22654" spans="45:45">
      <c r="AS22654" s="47"/>
    </row>
    <row r="22655" spans="45:45">
      <c r="AS22655" s="47"/>
    </row>
    <row r="22656" spans="45:45">
      <c r="AS22656" s="47"/>
    </row>
    <row r="22657" spans="45:45">
      <c r="AS22657" s="47"/>
    </row>
    <row r="22658" spans="45:45">
      <c r="AS22658" s="47"/>
    </row>
    <row r="22659" spans="45:45">
      <c r="AS22659" s="47"/>
    </row>
    <row r="22660" spans="45:45">
      <c r="AS22660" s="47"/>
    </row>
    <row r="22661" spans="45:45">
      <c r="AS22661" s="47"/>
    </row>
    <row r="22662" spans="45:45">
      <c r="AS22662" s="47"/>
    </row>
    <row r="22663" spans="45:45">
      <c r="AS22663" s="47"/>
    </row>
    <row r="22664" spans="45:45">
      <c r="AS22664" s="47"/>
    </row>
    <row r="22665" spans="45:45">
      <c r="AS22665" s="47"/>
    </row>
    <row r="22666" spans="45:45">
      <c r="AS22666" s="47"/>
    </row>
    <row r="22667" spans="45:45">
      <c r="AS22667" s="47"/>
    </row>
    <row r="22668" spans="45:45">
      <c r="AS22668" s="47"/>
    </row>
    <row r="22669" spans="45:45">
      <c r="AS22669" s="47"/>
    </row>
    <row r="22670" spans="45:45">
      <c r="AS22670" s="47"/>
    </row>
    <row r="22671" spans="45:45">
      <c r="AS22671" s="47"/>
    </row>
    <row r="22672" spans="45:45">
      <c r="AS22672" s="47"/>
    </row>
    <row r="22673" spans="45:45">
      <c r="AS22673" s="47"/>
    </row>
    <row r="22674" spans="45:45">
      <c r="AS22674" s="47"/>
    </row>
    <row r="22675" spans="45:45">
      <c r="AS22675" s="47"/>
    </row>
    <row r="22676" spans="45:45">
      <c r="AS22676" s="47"/>
    </row>
    <row r="22677" spans="45:45">
      <c r="AS22677" s="47"/>
    </row>
    <row r="22678" spans="45:45">
      <c r="AS22678" s="47"/>
    </row>
    <row r="22679" spans="45:45">
      <c r="AS22679" s="47"/>
    </row>
    <row r="22680" spans="45:45">
      <c r="AS22680" s="47"/>
    </row>
    <row r="22681" spans="45:45">
      <c r="AS22681" s="47"/>
    </row>
    <row r="22682" spans="45:45">
      <c r="AS22682" s="47"/>
    </row>
    <row r="22683" spans="45:45">
      <c r="AS22683" s="47"/>
    </row>
    <row r="22684" spans="45:45">
      <c r="AS22684" s="47"/>
    </row>
    <row r="22685" spans="45:45">
      <c r="AS22685" s="47"/>
    </row>
    <row r="22686" spans="45:45">
      <c r="AS22686" s="47"/>
    </row>
    <row r="22687" spans="45:45">
      <c r="AS22687" s="47"/>
    </row>
    <row r="22688" spans="45:45">
      <c r="AS22688" s="47"/>
    </row>
    <row r="22689" spans="45:45">
      <c r="AS22689" s="47"/>
    </row>
    <row r="22690" spans="45:45">
      <c r="AS22690" s="47"/>
    </row>
    <row r="22691" spans="45:45">
      <c r="AS22691" s="47"/>
    </row>
    <row r="22692" spans="45:45">
      <c r="AS22692" s="47"/>
    </row>
    <row r="22693" spans="45:45">
      <c r="AS22693" s="47"/>
    </row>
    <row r="22694" spans="45:45">
      <c r="AS22694" s="47"/>
    </row>
    <row r="22695" spans="45:45">
      <c r="AS22695" s="47"/>
    </row>
    <row r="22696" spans="45:45">
      <c r="AS22696" s="47"/>
    </row>
    <row r="22697" spans="45:45">
      <c r="AS22697" s="47"/>
    </row>
    <row r="22698" spans="45:45">
      <c r="AS22698" s="47"/>
    </row>
    <row r="22699" spans="45:45">
      <c r="AS22699" s="47"/>
    </row>
    <row r="22700" spans="45:45">
      <c r="AS22700" s="47"/>
    </row>
    <row r="22701" spans="45:45">
      <c r="AS22701" s="47"/>
    </row>
    <row r="22702" spans="45:45">
      <c r="AS22702" s="47"/>
    </row>
    <row r="22703" spans="45:45">
      <c r="AS22703" s="47"/>
    </row>
    <row r="22704" spans="45:45">
      <c r="AS22704" s="47"/>
    </row>
    <row r="22705" spans="45:45">
      <c r="AS22705" s="47"/>
    </row>
    <row r="22706" spans="45:45">
      <c r="AS22706" s="47"/>
    </row>
    <row r="22707" spans="45:45">
      <c r="AS22707" s="47"/>
    </row>
    <row r="22708" spans="45:45">
      <c r="AS22708" s="47"/>
    </row>
    <row r="22709" spans="45:45">
      <c r="AS22709" s="47"/>
    </row>
    <row r="22710" spans="45:45">
      <c r="AS22710" s="47"/>
    </row>
    <row r="22711" spans="45:45">
      <c r="AS22711" s="47"/>
    </row>
    <row r="22712" spans="45:45">
      <c r="AS22712" s="47"/>
    </row>
    <row r="22713" spans="45:45">
      <c r="AS22713" s="47"/>
    </row>
    <row r="22714" spans="45:45">
      <c r="AS22714" s="47"/>
    </row>
    <row r="22715" spans="45:45">
      <c r="AS22715" s="47"/>
    </row>
    <row r="22716" spans="45:45">
      <c r="AS22716" s="47"/>
    </row>
    <row r="22717" spans="45:45">
      <c r="AS22717" s="47"/>
    </row>
    <row r="22718" spans="45:45">
      <c r="AS22718" s="47"/>
    </row>
    <row r="22719" spans="45:45">
      <c r="AS22719" s="47"/>
    </row>
    <row r="22720" spans="45:45">
      <c r="AS22720" s="47"/>
    </row>
    <row r="22721" spans="45:45">
      <c r="AS22721" s="47"/>
    </row>
    <row r="22722" spans="45:45">
      <c r="AS22722" s="47"/>
    </row>
    <row r="22723" spans="45:45">
      <c r="AS22723" s="47"/>
    </row>
    <row r="22724" spans="45:45">
      <c r="AS22724" s="47"/>
    </row>
    <row r="22725" spans="45:45">
      <c r="AS22725" s="47"/>
    </row>
    <row r="22726" spans="45:45">
      <c r="AS22726" s="47"/>
    </row>
    <row r="22727" spans="45:45">
      <c r="AS22727" s="47"/>
    </row>
    <row r="22728" spans="45:45">
      <c r="AS22728" s="47"/>
    </row>
    <row r="22729" spans="45:45">
      <c r="AS22729" s="47"/>
    </row>
    <row r="22730" spans="45:45">
      <c r="AS22730" s="47"/>
    </row>
    <row r="22731" spans="45:45">
      <c r="AS22731" s="47"/>
    </row>
    <row r="22732" spans="45:45">
      <c r="AS22732" s="47"/>
    </row>
    <row r="22733" spans="45:45">
      <c r="AS22733" s="47"/>
    </row>
    <row r="22734" spans="45:45">
      <c r="AS22734" s="47"/>
    </row>
    <row r="22735" spans="45:45">
      <c r="AS22735" s="47"/>
    </row>
    <row r="22736" spans="45:45">
      <c r="AS22736" s="47"/>
    </row>
    <row r="22737" spans="45:45">
      <c r="AS22737" s="47"/>
    </row>
    <row r="22738" spans="45:45">
      <c r="AS22738" s="47"/>
    </row>
    <row r="22739" spans="45:45">
      <c r="AS22739" s="47"/>
    </row>
    <row r="22740" spans="45:45">
      <c r="AS22740" s="47"/>
    </row>
    <row r="22741" spans="45:45">
      <c r="AS22741" s="47"/>
    </row>
    <row r="22742" spans="45:45">
      <c r="AS22742" s="47"/>
    </row>
    <row r="22743" spans="45:45">
      <c r="AS22743" s="47"/>
    </row>
    <row r="22744" spans="45:45">
      <c r="AS22744" s="47"/>
    </row>
    <row r="22745" spans="45:45">
      <c r="AS22745" s="47"/>
    </row>
    <row r="22746" spans="45:45">
      <c r="AS22746" s="47"/>
    </row>
    <row r="22747" spans="45:45">
      <c r="AS22747" s="47"/>
    </row>
    <row r="22748" spans="45:45">
      <c r="AS22748" s="47"/>
    </row>
    <row r="22749" spans="45:45">
      <c r="AS22749" s="47"/>
    </row>
    <row r="22750" spans="45:45">
      <c r="AS22750" s="47"/>
    </row>
    <row r="22751" spans="45:45">
      <c r="AS22751" s="47"/>
    </row>
    <row r="22752" spans="45:45">
      <c r="AS22752" s="47"/>
    </row>
    <row r="22753" spans="45:45">
      <c r="AS22753" s="47"/>
    </row>
    <row r="22754" spans="45:45">
      <c r="AS22754" s="47"/>
    </row>
    <row r="22755" spans="45:45">
      <c r="AS22755" s="47"/>
    </row>
    <row r="22756" spans="45:45">
      <c r="AS22756" s="47"/>
    </row>
    <row r="22757" spans="45:45">
      <c r="AS22757" s="47"/>
    </row>
    <row r="22758" spans="45:45">
      <c r="AS22758" s="47"/>
    </row>
    <row r="22759" spans="45:45">
      <c r="AS22759" s="47"/>
    </row>
    <row r="22760" spans="45:45">
      <c r="AS22760" s="47"/>
    </row>
    <row r="22761" spans="45:45">
      <c r="AS22761" s="47"/>
    </row>
    <row r="22762" spans="45:45">
      <c r="AS22762" s="47"/>
    </row>
    <row r="22763" spans="45:45">
      <c r="AS22763" s="47"/>
    </row>
    <row r="22764" spans="45:45">
      <c r="AS22764" s="47"/>
    </row>
    <row r="22765" spans="45:45">
      <c r="AS22765" s="47"/>
    </row>
    <row r="22766" spans="45:45">
      <c r="AS22766" s="47"/>
    </row>
    <row r="22767" spans="45:45">
      <c r="AS22767" s="47"/>
    </row>
    <row r="22768" spans="45:45">
      <c r="AS22768" s="47"/>
    </row>
    <row r="22769" spans="45:45">
      <c r="AS22769" s="47"/>
    </row>
    <row r="22770" spans="45:45">
      <c r="AS22770" s="47"/>
    </row>
    <row r="22771" spans="45:45">
      <c r="AS22771" s="47"/>
    </row>
    <row r="22772" spans="45:45">
      <c r="AS22772" s="47"/>
    </row>
    <row r="22773" spans="45:45">
      <c r="AS22773" s="47"/>
    </row>
    <row r="22774" spans="45:45">
      <c r="AS22774" s="47"/>
    </row>
    <row r="22775" spans="45:45">
      <c r="AS22775" s="47"/>
    </row>
    <row r="22776" spans="45:45">
      <c r="AS22776" s="47"/>
    </row>
    <row r="22777" spans="45:45">
      <c r="AS22777" s="47"/>
    </row>
    <row r="22778" spans="45:45">
      <c r="AS22778" s="47"/>
    </row>
    <row r="22779" spans="45:45">
      <c r="AS22779" s="47"/>
    </row>
    <row r="22780" spans="45:45">
      <c r="AS22780" s="47"/>
    </row>
    <row r="22781" spans="45:45">
      <c r="AS22781" s="47"/>
    </row>
    <row r="22782" spans="45:45">
      <c r="AS22782" s="47"/>
    </row>
    <row r="22783" spans="45:45">
      <c r="AS22783" s="47"/>
    </row>
    <row r="22784" spans="45:45">
      <c r="AS22784" s="47"/>
    </row>
    <row r="22785" spans="45:45">
      <c r="AS22785" s="47"/>
    </row>
    <row r="22786" spans="45:45">
      <c r="AS22786" s="47"/>
    </row>
    <row r="22787" spans="45:45">
      <c r="AS22787" s="47"/>
    </row>
    <row r="22788" spans="45:45">
      <c r="AS22788" s="47"/>
    </row>
    <row r="22789" spans="45:45">
      <c r="AS22789" s="47"/>
    </row>
    <row r="22790" spans="45:45">
      <c r="AS22790" s="47"/>
    </row>
    <row r="22791" spans="45:45">
      <c r="AS22791" s="47"/>
    </row>
    <row r="22792" spans="45:45">
      <c r="AS22792" s="47"/>
    </row>
    <row r="22793" spans="45:45">
      <c r="AS22793" s="47"/>
    </row>
    <row r="22794" spans="45:45">
      <c r="AS22794" s="47"/>
    </row>
    <row r="22795" spans="45:45">
      <c r="AS22795" s="47"/>
    </row>
    <row r="22796" spans="45:45">
      <c r="AS22796" s="47"/>
    </row>
    <row r="22797" spans="45:45">
      <c r="AS22797" s="47"/>
    </row>
    <row r="22798" spans="45:45">
      <c r="AS22798" s="47"/>
    </row>
    <row r="22799" spans="45:45">
      <c r="AS22799" s="47"/>
    </row>
    <row r="22800" spans="45:45">
      <c r="AS22800" s="47"/>
    </row>
    <row r="22801" spans="45:45">
      <c r="AS22801" s="47"/>
    </row>
    <row r="22802" spans="45:45">
      <c r="AS22802" s="47"/>
    </row>
    <row r="22803" spans="45:45">
      <c r="AS22803" s="47"/>
    </row>
    <row r="22804" spans="45:45">
      <c r="AS22804" s="47"/>
    </row>
    <row r="22805" spans="45:45">
      <c r="AS22805" s="47"/>
    </row>
    <row r="22806" spans="45:45">
      <c r="AS22806" s="47"/>
    </row>
    <row r="22807" spans="45:45">
      <c r="AS22807" s="47"/>
    </row>
    <row r="22808" spans="45:45">
      <c r="AS22808" s="47"/>
    </row>
    <row r="22809" spans="45:45">
      <c r="AS22809" s="47"/>
    </row>
    <row r="22810" spans="45:45">
      <c r="AS22810" s="47"/>
    </row>
    <row r="22811" spans="45:45">
      <c r="AS22811" s="47"/>
    </row>
    <row r="22812" spans="45:45">
      <c r="AS22812" s="47"/>
    </row>
    <row r="22813" spans="45:45">
      <c r="AS22813" s="47"/>
    </row>
    <row r="22814" spans="45:45">
      <c r="AS22814" s="47"/>
    </row>
    <row r="22815" spans="45:45">
      <c r="AS22815" s="47"/>
    </row>
    <row r="22816" spans="45:45">
      <c r="AS22816" s="47"/>
    </row>
    <row r="22817" spans="45:45">
      <c r="AS22817" s="47"/>
    </row>
    <row r="22818" spans="45:45">
      <c r="AS22818" s="47"/>
    </row>
    <row r="22819" spans="45:45">
      <c r="AS22819" s="47"/>
    </row>
    <row r="22820" spans="45:45">
      <c r="AS22820" s="47"/>
    </row>
    <row r="22821" spans="45:45">
      <c r="AS22821" s="47"/>
    </row>
    <row r="22822" spans="45:45">
      <c r="AS22822" s="47"/>
    </row>
    <row r="22823" spans="45:45">
      <c r="AS22823" s="47"/>
    </row>
    <row r="22824" spans="45:45">
      <c r="AS22824" s="47"/>
    </row>
    <row r="22825" spans="45:45">
      <c r="AS22825" s="47"/>
    </row>
    <row r="22826" spans="45:45">
      <c r="AS22826" s="47"/>
    </row>
    <row r="22827" spans="45:45">
      <c r="AS22827" s="47"/>
    </row>
    <row r="22828" spans="45:45">
      <c r="AS22828" s="47"/>
    </row>
    <row r="22829" spans="45:45">
      <c r="AS22829" s="47"/>
    </row>
    <row r="22830" spans="45:45">
      <c r="AS22830" s="47"/>
    </row>
    <row r="22831" spans="45:45">
      <c r="AS22831" s="47"/>
    </row>
    <row r="22832" spans="45:45">
      <c r="AS22832" s="47"/>
    </row>
    <row r="22833" spans="45:45">
      <c r="AS22833" s="47"/>
    </row>
    <row r="22834" spans="45:45">
      <c r="AS22834" s="47"/>
    </row>
    <row r="22835" spans="45:45">
      <c r="AS22835" s="47"/>
    </row>
    <row r="22836" spans="45:45">
      <c r="AS22836" s="47"/>
    </row>
    <row r="22837" spans="45:45">
      <c r="AS22837" s="47"/>
    </row>
    <row r="22838" spans="45:45">
      <c r="AS22838" s="47"/>
    </row>
    <row r="22839" spans="45:45">
      <c r="AS22839" s="47"/>
    </row>
    <row r="22840" spans="45:45">
      <c r="AS22840" s="47"/>
    </row>
    <row r="22841" spans="45:45">
      <c r="AS22841" s="47"/>
    </row>
    <row r="22842" spans="45:45">
      <c r="AS22842" s="47"/>
    </row>
    <row r="22843" spans="45:45">
      <c r="AS22843" s="47"/>
    </row>
    <row r="22844" spans="45:45">
      <c r="AS22844" s="47"/>
    </row>
    <row r="22845" spans="45:45">
      <c r="AS22845" s="47"/>
    </row>
    <row r="22846" spans="45:45">
      <c r="AS22846" s="47"/>
    </row>
    <row r="22847" spans="45:45">
      <c r="AS22847" s="47"/>
    </row>
    <row r="22848" spans="45:45">
      <c r="AS22848" s="47"/>
    </row>
    <row r="22849" spans="45:45">
      <c r="AS22849" s="47"/>
    </row>
    <row r="22850" spans="45:45">
      <c r="AS22850" s="47"/>
    </row>
    <row r="22851" spans="45:45">
      <c r="AS22851" s="47"/>
    </row>
    <row r="22852" spans="45:45">
      <c r="AS22852" s="47"/>
    </row>
    <row r="22853" spans="45:45">
      <c r="AS22853" s="47"/>
    </row>
    <row r="22854" spans="45:45">
      <c r="AS22854" s="47"/>
    </row>
    <row r="22855" spans="45:45">
      <c r="AS22855" s="47"/>
    </row>
    <row r="22856" spans="45:45">
      <c r="AS22856" s="47"/>
    </row>
    <row r="22857" spans="45:45">
      <c r="AS22857" s="47"/>
    </row>
    <row r="22858" spans="45:45">
      <c r="AS22858" s="47"/>
    </row>
    <row r="22859" spans="45:45">
      <c r="AS22859" s="47"/>
    </row>
    <row r="22860" spans="45:45">
      <c r="AS22860" s="47"/>
    </row>
    <row r="22861" spans="45:45">
      <c r="AS22861" s="47"/>
    </row>
    <row r="22862" spans="45:45">
      <c r="AS22862" s="47"/>
    </row>
    <row r="22863" spans="45:45">
      <c r="AS22863" s="47"/>
    </row>
    <row r="22864" spans="45:45">
      <c r="AS22864" s="47"/>
    </row>
    <row r="22865" spans="45:45">
      <c r="AS22865" s="47"/>
    </row>
    <row r="22866" spans="45:45">
      <c r="AS22866" s="47"/>
    </row>
    <row r="22867" spans="45:45">
      <c r="AS22867" s="47"/>
    </row>
    <row r="22868" spans="45:45">
      <c r="AS22868" s="47"/>
    </row>
    <row r="22869" spans="45:45">
      <c r="AS22869" s="47"/>
    </row>
    <row r="22870" spans="45:45">
      <c r="AS22870" s="47"/>
    </row>
    <row r="22871" spans="45:45">
      <c r="AS22871" s="47"/>
    </row>
    <row r="22872" spans="45:45">
      <c r="AS22872" s="47"/>
    </row>
    <row r="22873" spans="45:45">
      <c r="AS22873" s="47"/>
    </row>
    <row r="22874" spans="45:45">
      <c r="AS22874" s="47"/>
    </row>
    <row r="22875" spans="45:45">
      <c r="AS22875" s="47"/>
    </row>
    <row r="22876" spans="45:45">
      <c r="AS22876" s="47"/>
    </row>
    <row r="22877" spans="45:45">
      <c r="AS22877" s="47"/>
    </row>
    <row r="22878" spans="45:45">
      <c r="AS22878" s="47"/>
    </row>
    <row r="22879" spans="45:45">
      <c r="AS22879" s="47"/>
    </row>
    <row r="22880" spans="45:45">
      <c r="AS22880" s="47"/>
    </row>
    <row r="22881" spans="45:45">
      <c r="AS22881" s="47"/>
    </row>
    <row r="22882" spans="45:45">
      <c r="AS22882" s="47"/>
    </row>
    <row r="22883" spans="45:45">
      <c r="AS22883" s="47"/>
    </row>
    <row r="22884" spans="45:45">
      <c r="AS22884" s="47"/>
    </row>
    <row r="22885" spans="45:45">
      <c r="AS22885" s="47"/>
    </row>
    <row r="22886" spans="45:45">
      <c r="AS22886" s="47"/>
    </row>
    <row r="22887" spans="45:45">
      <c r="AS22887" s="47"/>
    </row>
    <row r="22888" spans="45:45">
      <c r="AS22888" s="47"/>
    </row>
    <row r="22889" spans="45:45">
      <c r="AS22889" s="47"/>
    </row>
    <row r="22890" spans="45:45">
      <c r="AS22890" s="47"/>
    </row>
    <row r="22891" spans="45:45">
      <c r="AS22891" s="47"/>
    </row>
    <row r="22892" spans="45:45">
      <c r="AS22892" s="47"/>
    </row>
    <row r="22893" spans="45:45">
      <c r="AS22893" s="47"/>
    </row>
    <row r="22894" spans="45:45">
      <c r="AS22894" s="47"/>
    </row>
    <row r="22895" spans="45:45">
      <c r="AS22895" s="47"/>
    </row>
    <row r="22896" spans="45:45">
      <c r="AS22896" s="47"/>
    </row>
    <row r="22897" spans="45:45">
      <c r="AS22897" s="47"/>
    </row>
    <row r="22898" spans="45:45">
      <c r="AS22898" s="47"/>
    </row>
    <row r="22899" spans="45:45">
      <c r="AS22899" s="47"/>
    </row>
    <row r="22900" spans="45:45">
      <c r="AS22900" s="47"/>
    </row>
    <row r="22901" spans="45:45">
      <c r="AS22901" s="47"/>
    </row>
    <row r="22902" spans="45:45">
      <c r="AS22902" s="47"/>
    </row>
    <row r="22903" spans="45:45">
      <c r="AS22903" s="47"/>
    </row>
    <row r="22904" spans="45:45">
      <c r="AS22904" s="47"/>
    </row>
    <row r="22905" spans="45:45">
      <c r="AS22905" s="47"/>
    </row>
    <row r="22906" spans="45:45">
      <c r="AS22906" s="47"/>
    </row>
    <row r="22907" spans="45:45">
      <c r="AS22907" s="47"/>
    </row>
    <row r="22908" spans="45:45">
      <c r="AS22908" s="47"/>
    </row>
    <row r="22909" spans="45:45">
      <c r="AS22909" s="47"/>
    </row>
    <row r="22910" spans="45:45">
      <c r="AS22910" s="47"/>
    </row>
    <row r="22911" spans="45:45">
      <c r="AS22911" s="47"/>
    </row>
    <row r="22912" spans="45:45">
      <c r="AS22912" s="47"/>
    </row>
    <row r="22913" spans="45:45">
      <c r="AS22913" s="47"/>
    </row>
    <row r="22914" spans="45:45">
      <c r="AS22914" s="47"/>
    </row>
    <row r="22915" spans="45:45">
      <c r="AS22915" s="47"/>
    </row>
    <row r="22916" spans="45:45">
      <c r="AS22916" s="47"/>
    </row>
    <row r="22917" spans="45:45">
      <c r="AS22917" s="47"/>
    </row>
    <row r="22918" spans="45:45">
      <c r="AS22918" s="47"/>
    </row>
    <row r="22919" spans="45:45">
      <c r="AS22919" s="47"/>
    </row>
    <row r="22920" spans="45:45">
      <c r="AS22920" s="47"/>
    </row>
    <row r="22921" spans="45:45">
      <c r="AS22921" s="47"/>
    </row>
    <row r="22922" spans="45:45">
      <c r="AS22922" s="47"/>
    </row>
    <row r="22923" spans="45:45">
      <c r="AS22923" s="47"/>
    </row>
    <row r="22924" spans="45:45">
      <c r="AS22924" s="47"/>
    </row>
    <row r="22925" spans="45:45">
      <c r="AS22925" s="47"/>
    </row>
    <row r="22926" spans="45:45">
      <c r="AS22926" s="47"/>
    </row>
    <row r="22927" spans="45:45">
      <c r="AS22927" s="47"/>
    </row>
    <row r="22928" spans="45:45">
      <c r="AS22928" s="47"/>
    </row>
    <row r="22929" spans="45:45">
      <c r="AS22929" s="47"/>
    </row>
    <row r="22930" spans="45:45">
      <c r="AS22930" s="47"/>
    </row>
    <row r="22931" spans="45:45">
      <c r="AS22931" s="47"/>
    </row>
    <row r="22932" spans="45:45">
      <c r="AS22932" s="47"/>
    </row>
    <row r="22933" spans="45:45">
      <c r="AS22933" s="47"/>
    </row>
    <row r="22934" spans="45:45">
      <c r="AS22934" s="47"/>
    </row>
    <row r="22935" spans="45:45">
      <c r="AS22935" s="47"/>
    </row>
    <row r="22936" spans="45:45">
      <c r="AS22936" s="47"/>
    </row>
    <row r="22937" spans="45:45">
      <c r="AS22937" s="47"/>
    </row>
    <row r="22938" spans="45:45">
      <c r="AS22938" s="47"/>
    </row>
    <row r="22939" spans="45:45">
      <c r="AS22939" s="47"/>
    </row>
    <row r="22940" spans="45:45">
      <c r="AS22940" s="47"/>
    </row>
    <row r="22941" spans="45:45">
      <c r="AS22941" s="47"/>
    </row>
    <row r="22942" spans="45:45">
      <c r="AS22942" s="47"/>
    </row>
    <row r="22943" spans="45:45">
      <c r="AS22943" s="47"/>
    </row>
    <row r="22944" spans="45:45">
      <c r="AS22944" s="47"/>
    </row>
    <row r="22945" spans="45:45">
      <c r="AS22945" s="47"/>
    </row>
    <row r="22946" spans="45:45">
      <c r="AS22946" s="47"/>
    </row>
    <row r="22947" spans="45:45">
      <c r="AS22947" s="47"/>
    </row>
    <row r="22948" spans="45:45">
      <c r="AS22948" s="47"/>
    </row>
    <row r="22949" spans="45:45">
      <c r="AS22949" s="47"/>
    </row>
    <row r="22950" spans="45:45">
      <c r="AS22950" s="47"/>
    </row>
    <row r="22951" spans="45:45">
      <c r="AS22951" s="47"/>
    </row>
    <row r="22952" spans="45:45">
      <c r="AS22952" s="47"/>
    </row>
    <row r="22953" spans="45:45">
      <c r="AS22953" s="47"/>
    </row>
    <row r="22954" spans="45:45">
      <c r="AS22954" s="47"/>
    </row>
    <row r="22955" spans="45:45">
      <c r="AS22955" s="47"/>
    </row>
    <row r="22956" spans="45:45">
      <c r="AS22956" s="47"/>
    </row>
    <row r="22957" spans="45:45">
      <c r="AS22957" s="47"/>
    </row>
    <row r="22958" spans="45:45">
      <c r="AS22958" s="47"/>
    </row>
    <row r="22959" spans="45:45">
      <c r="AS22959" s="47"/>
    </row>
    <row r="22960" spans="45:45">
      <c r="AS22960" s="47"/>
    </row>
    <row r="22961" spans="45:45">
      <c r="AS22961" s="47"/>
    </row>
    <row r="22962" spans="45:45">
      <c r="AS22962" s="47"/>
    </row>
    <row r="22963" spans="45:45">
      <c r="AS22963" s="47"/>
    </row>
    <row r="22964" spans="45:45">
      <c r="AS22964" s="47"/>
    </row>
    <row r="22965" spans="45:45">
      <c r="AS22965" s="47"/>
    </row>
    <row r="22966" spans="45:45">
      <c r="AS22966" s="47"/>
    </row>
    <row r="22967" spans="45:45">
      <c r="AS22967" s="47"/>
    </row>
    <row r="22968" spans="45:45">
      <c r="AS22968" s="47"/>
    </row>
    <row r="22969" spans="45:45">
      <c r="AS22969" s="47"/>
    </row>
    <row r="22970" spans="45:45">
      <c r="AS22970" s="47"/>
    </row>
    <row r="22971" spans="45:45">
      <c r="AS22971" s="47"/>
    </row>
    <row r="22972" spans="45:45">
      <c r="AS22972" s="47"/>
    </row>
    <row r="22973" spans="45:45">
      <c r="AS22973" s="47"/>
    </row>
    <row r="22974" spans="45:45">
      <c r="AS22974" s="47"/>
    </row>
    <row r="22975" spans="45:45">
      <c r="AS22975" s="47"/>
    </row>
    <row r="22976" spans="45:45">
      <c r="AS22976" s="47"/>
    </row>
    <row r="22977" spans="45:45">
      <c r="AS22977" s="47"/>
    </row>
    <row r="22978" spans="45:45">
      <c r="AS22978" s="47"/>
    </row>
    <row r="22979" spans="45:45">
      <c r="AS22979" s="47"/>
    </row>
    <row r="22980" spans="45:45">
      <c r="AS22980" s="47"/>
    </row>
    <row r="22981" spans="45:45">
      <c r="AS22981" s="47"/>
    </row>
    <row r="22982" spans="45:45">
      <c r="AS22982" s="47"/>
    </row>
    <row r="22983" spans="45:45">
      <c r="AS22983" s="47"/>
    </row>
    <row r="22984" spans="45:45">
      <c r="AS22984" s="47"/>
    </row>
    <row r="22985" spans="45:45">
      <c r="AS22985" s="47"/>
    </row>
    <row r="22986" spans="45:45">
      <c r="AS22986" s="47"/>
    </row>
    <row r="22987" spans="45:45">
      <c r="AS22987" s="47"/>
    </row>
    <row r="22988" spans="45:45">
      <c r="AS22988" s="47"/>
    </row>
    <row r="22989" spans="45:45">
      <c r="AS22989" s="47"/>
    </row>
    <row r="22990" spans="45:45">
      <c r="AS22990" s="47"/>
    </row>
    <row r="22991" spans="45:45">
      <c r="AS22991" s="47"/>
    </row>
    <row r="22992" spans="45:45">
      <c r="AS22992" s="47"/>
    </row>
    <row r="22993" spans="45:45">
      <c r="AS22993" s="47"/>
    </row>
    <row r="22994" spans="45:45">
      <c r="AS22994" s="47"/>
    </row>
    <row r="22995" spans="45:45">
      <c r="AS22995" s="47"/>
    </row>
    <row r="22996" spans="45:45">
      <c r="AS22996" s="47"/>
    </row>
    <row r="22997" spans="45:45">
      <c r="AS22997" s="47"/>
    </row>
    <row r="22998" spans="45:45">
      <c r="AS22998" s="47"/>
    </row>
    <row r="22999" spans="45:45">
      <c r="AS22999" s="47"/>
    </row>
    <row r="23000" spans="45:45">
      <c r="AS23000" s="47"/>
    </row>
    <row r="23001" spans="45:45">
      <c r="AS23001" s="47"/>
    </row>
    <row r="23002" spans="45:45">
      <c r="AS23002" s="47"/>
    </row>
    <row r="23003" spans="45:45">
      <c r="AS23003" s="47"/>
    </row>
    <row r="23004" spans="45:45">
      <c r="AS23004" s="47"/>
    </row>
    <row r="23005" spans="45:45">
      <c r="AS23005" s="47"/>
    </row>
    <row r="23006" spans="45:45">
      <c r="AS23006" s="47"/>
    </row>
    <row r="23007" spans="45:45">
      <c r="AS23007" s="47"/>
    </row>
    <row r="23008" spans="45:45">
      <c r="AS23008" s="47"/>
    </row>
    <row r="23009" spans="45:45">
      <c r="AS23009" s="47"/>
    </row>
    <row r="23010" spans="45:45">
      <c r="AS23010" s="47"/>
    </row>
    <row r="23011" spans="45:45">
      <c r="AS23011" s="47"/>
    </row>
    <row r="23012" spans="45:45">
      <c r="AS23012" s="47"/>
    </row>
    <row r="23013" spans="45:45">
      <c r="AS23013" s="47"/>
    </row>
    <row r="23014" spans="45:45">
      <c r="AS23014" s="47"/>
    </row>
    <row r="23015" spans="45:45">
      <c r="AS23015" s="47"/>
    </row>
    <row r="23016" spans="45:45">
      <c r="AS23016" s="47"/>
    </row>
    <row r="23017" spans="45:45">
      <c r="AS23017" s="47"/>
    </row>
    <row r="23018" spans="45:45">
      <c r="AS23018" s="47"/>
    </row>
    <row r="23019" spans="45:45">
      <c r="AS23019" s="47"/>
    </row>
    <row r="23020" spans="45:45">
      <c r="AS23020" s="47"/>
    </row>
    <row r="23021" spans="45:45">
      <c r="AS23021" s="47"/>
    </row>
    <row r="23022" spans="45:45">
      <c r="AS23022" s="47"/>
    </row>
    <row r="23023" spans="45:45">
      <c r="AS23023" s="47"/>
    </row>
    <row r="23024" spans="45:45">
      <c r="AS23024" s="47"/>
    </row>
    <row r="23025" spans="45:45">
      <c r="AS23025" s="47"/>
    </row>
    <row r="23026" spans="45:45">
      <c r="AS23026" s="47"/>
    </row>
    <row r="23027" spans="45:45">
      <c r="AS23027" s="47"/>
    </row>
    <row r="23028" spans="45:45">
      <c r="AS23028" s="47"/>
    </row>
    <row r="23029" spans="45:45">
      <c r="AS23029" s="47"/>
    </row>
    <row r="23030" spans="45:45">
      <c r="AS23030" s="47"/>
    </row>
    <row r="23031" spans="45:45">
      <c r="AS23031" s="47"/>
    </row>
    <row r="23032" spans="45:45">
      <c r="AS23032" s="47"/>
    </row>
    <row r="23033" spans="45:45">
      <c r="AS23033" s="47"/>
    </row>
    <row r="23034" spans="45:45">
      <c r="AS23034" s="47"/>
    </row>
    <row r="23035" spans="45:45">
      <c r="AS23035" s="47"/>
    </row>
    <row r="23036" spans="45:45">
      <c r="AS23036" s="47"/>
    </row>
    <row r="23037" spans="45:45">
      <c r="AS23037" s="47"/>
    </row>
    <row r="23038" spans="45:45">
      <c r="AS23038" s="47"/>
    </row>
    <row r="23039" spans="45:45">
      <c r="AS23039" s="47"/>
    </row>
    <row r="23040" spans="45:45">
      <c r="AS23040" s="47"/>
    </row>
    <row r="23041" spans="45:45">
      <c r="AS23041" s="47"/>
    </row>
    <row r="23042" spans="45:45">
      <c r="AS23042" s="47"/>
    </row>
    <row r="23043" spans="45:45">
      <c r="AS23043" s="47"/>
    </row>
    <row r="23044" spans="45:45">
      <c r="AS23044" s="47"/>
    </row>
    <row r="23045" spans="45:45">
      <c r="AS23045" s="47"/>
    </row>
    <row r="23046" spans="45:45">
      <c r="AS23046" s="47"/>
    </row>
    <row r="23047" spans="45:45">
      <c r="AS23047" s="47"/>
    </row>
    <row r="23048" spans="45:45">
      <c r="AS23048" s="47"/>
    </row>
    <row r="23049" spans="45:45">
      <c r="AS23049" s="47"/>
    </row>
    <row r="23050" spans="45:45">
      <c r="AS23050" s="47"/>
    </row>
    <row r="23051" spans="45:45">
      <c r="AS23051" s="47"/>
    </row>
    <row r="23052" spans="45:45">
      <c r="AS23052" s="47"/>
    </row>
    <row r="23053" spans="45:45">
      <c r="AS23053" s="47"/>
    </row>
    <row r="23054" spans="45:45">
      <c r="AS23054" s="47"/>
    </row>
    <row r="23055" spans="45:45">
      <c r="AS23055" s="47"/>
    </row>
    <row r="23056" spans="45:45">
      <c r="AS23056" s="47"/>
    </row>
    <row r="23057" spans="45:45">
      <c r="AS23057" s="47"/>
    </row>
    <row r="23058" spans="45:45">
      <c r="AS23058" s="47"/>
    </row>
    <row r="23059" spans="45:45">
      <c r="AS23059" s="47"/>
    </row>
    <row r="23060" spans="45:45">
      <c r="AS23060" s="47"/>
    </row>
    <row r="23061" spans="45:45">
      <c r="AS23061" s="47"/>
    </row>
    <row r="23062" spans="45:45">
      <c r="AS23062" s="47"/>
    </row>
    <row r="23063" spans="45:45">
      <c r="AS23063" s="47"/>
    </row>
    <row r="23064" spans="45:45">
      <c r="AS23064" s="47"/>
    </row>
    <row r="23065" spans="45:45">
      <c r="AS23065" s="47"/>
    </row>
    <row r="23066" spans="45:45">
      <c r="AS23066" s="47"/>
    </row>
    <row r="23067" spans="45:45">
      <c r="AS23067" s="47"/>
    </row>
    <row r="23068" spans="45:45">
      <c r="AS23068" s="47"/>
    </row>
    <row r="23069" spans="45:45">
      <c r="AS23069" s="47"/>
    </row>
    <row r="23070" spans="45:45">
      <c r="AS23070" s="47"/>
    </row>
    <row r="23071" spans="45:45">
      <c r="AS23071" s="47"/>
    </row>
    <row r="23072" spans="45:45">
      <c r="AS23072" s="47"/>
    </row>
    <row r="23073" spans="45:45">
      <c r="AS23073" s="47"/>
    </row>
    <row r="23074" spans="45:45">
      <c r="AS23074" s="47"/>
    </row>
    <row r="23075" spans="45:45">
      <c r="AS23075" s="47"/>
    </row>
    <row r="23076" spans="45:45">
      <c r="AS23076" s="47"/>
    </row>
    <row r="23077" spans="45:45">
      <c r="AS23077" s="47"/>
    </row>
    <row r="23078" spans="45:45">
      <c r="AS23078" s="47"/>
    </row>
    <row r="23079" spans="45:45">
      <c r="AS23079" s="47"/>
    </row>
    <row r="23080" spans="45:45">
      <c r="AS23080" s="47"/>
    </row>
    <row r="23081" spans="45:45">
      <c r="AS23081" s="47"/>
    </row>
    <row r="23082" spans="45:45">
      <c r="AS23082" s="47"/>
    </row>
    <row r="23083" spans="45:45">
      <c r="AS23083" s="47"/>
    </row>
    <row r="23084" spans="45:45">
      <c r="AS23084" s="47"/>
    </row>
    <row r="23085" spans="45:45">
      <c r="AS23085" s="47"/>
    </row>
    <row r="23086" spans="45:45">
      <c r="AS23086" s="47"/>
    </row>
    <row r="23087" spans="45:45">
      <c r="AS23087" s="47"/>
    </row>
    <row r="23088" spans="45:45">
      <c r="AS23088" s="47"/>
    </row>
    <row r="23089" spans="45:45">
      <c r="AS23089" s="47"/>
    </row>
    <row r="23090" spans="45:45">
      <c r="AS23090" s="47"/>
    </row>
    <row r="23091" spans="45:45">
      <c r="AS23091" s="47"/>
    </row>
    <row r="23092" spans="45:45">
      <c r="AS23092" s="47"/>
    </row>
    <row r="23093" spans="45:45">
      <c r="AS23093" s="47"/>
    </row>
    <row r="23094" spans="45:45">
      <c r="AS23094" s="47"/>
    </row>
    <row r="23095" spans="45:45">
      <c r="AS23095" s="47"/>
    </row>
    <row r="23096" spans="45:45">
      <c r="AS23096" s="47"/>
    </row>
    <row r="23097" spans="45:45">
      <c r="AS23097" s="47"/>
    </row>
    <row r="23098" spans="45:45">
      <c r="AS23098" s="47"/>
    </row>
    <row r="23099" spans="45:45">
      <c r="AS23099" s="47"/>
    </row>
    <row r="23100" spans="45:45">
      <c r="AS23100" s="47"/>
    </row>
    <row r="23101" spans="45:45">
      <c r="AS23101" s="47"/>
    </row>
    <row r="23102" spans="45:45">
      <c r="AS23102" s="47"/>
    </row>
    <row r="23103" spans="45:45">
      <c r="AS23103" s="47"/>
    </row>
    <row r="23104" spans="45:45">
      <c r="AS23104" s="47"/>
    </row>
    <row r="23105" spans="45:45">
      <c r="AS23105" s="47"/>
    </row>
    <row r="23106" spans="45:45">
      <c r="AS23106" s="47"/>
    </row>
    <row r="23107" spans="45:45">
      <c r="AS23107" s="47"/>
    </row>
    <row r="23108" spans="45:45">
      <c r="AS23108" s="47"/>
    </row>
    <row r="23109" spans="45:45">
      <c r="AS23109" s="47"/>
    </row>
    <row r="23110" spans="45:45">
      <c r="AS23110" s="47"/>
    </row>
    <row r="23111" spans="45:45">
      <c r="AS23111" s="47"/>
    </row>
    <row r="23112" spans="45:45">
      <c r="AS23112" s="47"/>
    </row>
    <row r="23113" spans="45:45">
      <c r="AS23113" s="47"/>
    </row>
    <row r="23114" spans="45:45">
      <c r="AS23114" s="47"/>
    </row>
    <row r="23115" spans="45:45">
      <c r="AS23115" s="47"/>
    </row>
    <row r="23116" spans="45:45">
      <c r="AS23116" s="47"/>
    </row>
    <row r="23117" spans="45:45">
      <c r="AS23117" s="47"/>
    </row>
    <row r="23118" spans="45:45">
      <c r="AS23118" s="47"/>
    </row>
    <row r="23119" spans="45:45">
      <c r="AS23119" s="47"/>
    </row>
    <row r="23120" spans="45:45">
      <c r="AS23120" s="47"/>
    </row>
    <row r="23121" spans="45:45">
      <c r="AS23121" s="47"/>
    </row>
    <row r="23122" spans="45:45">
      <c r="AS23122" s="47"/>
    </row>
    <row r="23123" spans="45:45">
      <c r="AS23123" s="47"/>
    </row>
    <row r="23124" spans="45:45">
      <c r="AS23124" s="47"/>
    </row>
    <row r="23125" spans="45:45">
      <c r="AS23125" s="47"/>
    </row>
    <row r="23126" spans="45:45">
      <c r="AS23126" s="47"/>
    </row>
    <row r="23127" spans="45:45">
      <c r="AS23127" s="47"/>
    </row>
    <row r="23128" spans="45:45">
      <c r="AS23128" s="47"/>
    </row>
    <row r="23129" spans="45:45">
      <c r="AS23129" s="47"/>
    </row>
    <row r="23130" spans="45:45">
      <c r="AS23130" s="47"/>
    </row>
    <row r="23131" spans="45:45">
      <c r="AS23131" s="47"/>
    </row>
    <row r="23132" spans="45:45">
      <c r="AS23132" s="47"/>
    </row>
    <row r="23133" spans="45:45">
      <c r="AS23133" s="47"/>
    </row>
    <row r="23134" spans="45:45">
      <c r="AS23134" s="47"/>
    </row>
    <row r="23135" spans="45:45">
      <c r="AS23135" s="47"/>
    </row>
    <row r="23136" spans="45:45">
      <c r="AS23136" s="47"/>
    </row>
    <row r="23137" spans="45:45">
      <c r="AS23137" s="47"/>
    </row>
    <row r="23138" spans="45:45">
      <c r="AS23138" s="47"/>
    </row>
    <row r="23139" spans="45:45">
      <c r="AS23139" s="47"/>
    </row>
    <row r="23140" spans="45:45">
      <c r="AS23140" s="47"/>
    </row>
    <row r="23141" spans="45:45">
      <c r="AS23141" s="47"/>
    </row>
    <row r="23142" spans="45:45">
      <c r="AS23142" s="47"/>
    </row>
    <row r="23143" spans="45:45">
      <c r="AS23143" s="47"/>
    </row>
    <row r="23144" spans="45:45">
      <c r="AS23144" s="47"/>
    </row>
    <row r="23145" spans="45:45">
      <c r="AS23145" s="47"/>
    </row>
    <row r="23146" spans="45:45">
      <c r="AS23146" s="47"/>
    </row>
    <row r="23147" spans="45:45">
      <c r="AS23147" s="47"/>
    </row>
    <row r="23148" spans="45:45">
      <c r="AS23148" s="47"/>
    </row>
    <row r="23149" spans="45:45">
      <c r="AS23149" s="47"/>
    </row>
    <row r="23150" spans="45:45">
      <c r="AS23150" s="47"/>
    </row>
    <row r="23151" spans="45:45">
      <c r="AS23151" s="47"/>
    </row>
    <row r="23152" spans="45:45">
      <c r="AS23152" s="47"/>
    </row>
    <row r="23153" spans="45:45">
      <c r="AS23153" s="47"/>
    </row>
    <row r="23154" spans="45:45">
      <c r="AS23154" s="47"/>
    </row>
    <row r="23155" spans="45:45">
      <c r="AS23155" s="47"/>
    </row>
    <row r="23156" spans="45:45">
      <c r="AS23156" s="47"/>
    </row>
    <row r="23157" spans="45:45">
      <c r="AS23157" s="47"/>
    </row>
    <row r="23158" spans="45:45">
      <c r="AS23158" s="47"/>
    </row>
    <row r="23159" spans="45:45">
      <c r="AS23159" s="47"/>
    </row>
    <row r="23160" spans="45:45">
      <c r="AS23160" s="47"/>
    </row>
    <row r="23161" spans="45:45">
      <c r="AS23161" s="47"/>
    </row>
    <row r="23162" spans="45:45">
      <c r="AS23162" s="47"/>
    </row>
    <row r="23163" spans="45:45">
      <c r="AS23163" s="47"/>
    </row>
    <row r="23164" spans="45:45">
      <c r="AS23164" s="47"/>
    </row>
    <row r="23165" spans="45:45">
      <c r="AS23165" s="47"/>
    </row>
    <row r="23166" spans="45:45">
      <c r="AS23166" s="47"/>
    </row>
    <row r="23167" spans="45:45">
      <c r="AS23167" s="47"/>
    </row>
    <row r="23168" spans="45:45">
      <c r="AS23168" s="47"/>
    </row>
    <row r="23169" spans="45:45">
      <c r="AS23169" s="47"/>
    </row>
    <row r="23170" spans="45:45">
      <c r="AS23170" s="47"/>
    </row>
    <row r="23171" spans="45:45">
      <c r="AS23171" s="47"/>
    </row>
    <row r="23172" spans="45:45">
      <c r="AS23172" s="47"/>
    </row>
    <row r="23173" spans="45:45">
      <c r="AS23173" s="47"/>
    </row>
    <row r="23174" spans="45:45">
      <c r="AS23174" s="47"/>
    </row>
    <row r="23175" spans="45:45">
      <c r="AS23175" s="47"/>
    </row>
    <row r="23176" spans="45:45">
      <c r="AS23176" s="47"/>
    </row>
    <row r="23177" spans="45:45">
      <c r="AS23177" s="47"/>
    </row>
    <row r="23178" spans="45:45">
      <c r="AS23178" s="47"/>
    </row>
    <row r="23179" spans="45:45">
      <c r="AS23179" s="47"/>
    </row>
    <row r="23180" spans="45:45">
      <c r="AS23180" s="47"/>
    </row>
    <row r="23181" spans="45:45">
      <c r="AS23181" s="47"/>
    </row>
    <row r="23182" spans="45:45">
      <c r="AS23182" s="47"/>
    </row>
    <row r="23183" spans="45:45">
      <c r="AS23183" s="47"/>
    </row>
    <row r="23184" spans="45:45">
      <c r="AS23184" s="47"/>
    </row>
    <row r="23185" spans="45:45">
      <c r="AS23185" s="47"/>
    </row>
    <row r="23186" spans="45:45">
      <c r="AS23186" s="47"/>
    </row>
    <row r="23187" spans="45:45">
      <c r="AS23187" s="47"/>
    </row>
    <row r="23188" spans="45:45">
      <c r="AS23188" s="47"/>
    </row>
    <row r="23189" spans="45:45">
      <c r="AS23189" s="47"/>
    </row>
    <row r="23190" spans="45:45">
      <c r="AS23190" s="47"/>
    </row>
    <row r="23191" spans="45:45">
      <c r="AS23191" s="47"/>
    </row>
    <row r="23192" spans="45:45">
      <c r="AS23192" s="47"/>
    </row>
    <row r="23193" spans="45:45">
      <c r="AS23193" s="47"/>
    </row>
    <row r="23194" spans="45:45">
      <c r="AS23194" s="47"/>
    </row>
    <row r="23195" spans="45:45">
      <c r="AS23195" s="47"/>
    </row>
    <row r="23196" spans="45:45">
      <c r="AS23196" s="47"/>
    </row>
    <row r="23197" spans="45:45">
      <c r="AS23197" s="47"/>
    </row>
    <row r="23198" spans="45:45">
      <c r="AS23198" s="47"/>
    </row>
    <row r="23199" spans="45:45">
      <c r="AS23199" s="47"/>
    </row>
    <row r="23200" spans="45:45">
      <c r="AS23200" s="47"/>
    </row>
    <row r="23201" spans="45:45">
      <c r="AS23201" s="47"/>
    </row>
    <row r="23202" spans="45:45">
      <c r="AS23202" s="47"/>
    </row>
    <row r="23203" spans="45:45">
      <c r="AS23203" s="47"/>
    </row>
    <row r="23204" spans="45:45">
      <c r="AS23204" s="47"/>
    </row>
    <row r="23205" spans="45:45">
      <c r="AS23205" s="47"/>
    </row>
    <row r="23206" spans="45:45">
      <c r="AS23206" s="47"/>
    </row>
    <row r="23207" spans="45:45">
      <c r="AS23207" s="47"/>
    </row>
    <row r="23208" spans="45:45">
      <c r="AS23208" s="47"/>
    </row>
    <row r="23209" spans="45:45">
      <c r="AS23209" s="47"/>
    </row>
    <row r="23210" spans="45:45">
      <c r="AS23210" s="47"/>
    </row>
    <row r="23211" spans="45:45">
      <c r="AS23211" s="47"/>
    </row>
    <row r="23212" spans="45:45">
      <c r="AS23212" s="47"/>
    </row>
    <row r="23213" spans="45:45">
      <c r="AS23213" s="47"/>
    </row>
    <row r="23214" spans="45:45">
      <c r="AS23214" s="47"/>
    </row>
    <row r="23215" spans="45:45">
      <c r="AS23215" s="47"/>
    </row>
    <row r="23216" spans="45:45">
      <c r="AS23216" s="47"/>
    </row>
    <row r="23217" spans="45:45">
      <c r="AS23217" s="47"/>
    </row>
    <row r="23218" spans="45:45">
      <c r="AS23218" s="47"/>
    </row>
    <row r="23219" spans="45:45">
      <c r="AS23219" s="47"/>
    </row>
    <row r="23220" spans="45:45">
      <c r="AS23220" s="47"/>
    </row>
    <row r="23221" spans="45:45">
      <c r="AS23221" s="47"/>
    </row>
    <row r="23222" spans="45:45">
      <c r="AS23222" s="47"/>
    </row>
    <row r="23223" spans="45:45">
      <c r="AS23223" s="47"/>
    </row>
    <row r="23224" spans="45:45">
      <c r="AS23224" s="47"/>
    </row>
    <row r="23225" spans="45:45">
      <c r="AS23225" s="47"/>
    </row>
    <row r="23226" spans="45:45">
      <c r="AS23226" s="47"/>
    </row>
    <row r="23227" spans="45:45">
      <c r="AS23227" s="47"/>
    </row>
    <row r="23228" spans="45:45">
      <c r="AS23228" s="47"/>
    </row>
    <row r="23229" spans="45:45">
      <c r="AS23229" s="47"/>
    </row>
    <row r="23230" spans="45:45">
      <c r="AS23230" s="47"/>
    </row>
    <row r="23231" spans="45:45">
      <c r="AS23231" s="47"/>
    </row>
    <row r="23232" spans="45:45">
      <c r="AS23232" s="47"/>
    </row>
    <row r="23233" spans="45:45">
      <c r="AS23233" s="47"/>
    </row>
    <row r="23234" spans="45:45">
      <c r="AS23234" s="47"/>
    </row>
    <row r="23235" spans="45:45">
      <c r="AS23235" s="47"/>
    </row>
    <row r="23236" spans="45:45">
      <c r="AS23236" s="47"/>
    </row>
    <row r="23237" spans="45:45">
      <c r="AS23237" s="47"/>
    </row>
    <row r="23238" spans="45:45">
      <c r="AS23238" s="47"/>
    </row>
    <row r="23239" spans="45:45">
      <c r="AS23239" s="47"/>
    </row>
    <row r="23240" spans="45:45">
      <c r="AS23240" s="47"/>
    </row>
    <row r="23241" spans="45:45">
      <c r="AS23241" s="47"/>
    </row>
    <row r="23242" spans="45:45">
      <c r="AS23242" s="47"/>
    </row>
    <row r="23243" spans="45:45">
      <c r="AS23243" s="47"/>
    </row>
    <row r="23244" spans="45:45">
      <c r="AS23244" s="47"/>
    </row>
    <row r="23245" spans="45:45">
      <c r="AS23245" s="47"/>
    </row>
    <row r="23246" spans="45:45">
      <c r="AS23246" s="47"/>
    </row>
    <row r="23247" spans="45:45">
      <c r="AS23247" s="47"/>
    </row>
    <row r="23248" spans="45:45">
      <c r="AS23248" s="47"/>
    </row>
    <row r="23249" spans="45:45">
      <c r="AS23249" s="47"/>
    </row>
    <row r="23250" spans="45:45">
      <c r="AS23250" s="47"/>
    </row>
    <row r="23251" spans="45:45">
      <c r="AS23251" s="47"/>
    </row>
    <row r="23252" spans="45:45">
      <c r="AS23252" s="47"/>
    </row>
    <row r="23253" spans="45:45">
      <c r="AS23253" s="47"/>
    </row>
    <row r="23254" spans="45:45">
      <c r="AS23254" s="47"/>
    </row>
    <row r="23255" spans="45:45">
      <c r="AS23255" s="47"/>
    </row>
    <row r="23256" spans="45:45">
      <c r="AS23256" s="47"/>
    </row>
    <row r="23257" spans="45:45">
      <c r="AS23257" s="47"/>
    </row>
    <row r="23258" spans="45:45">
      <c r="AS23258" s="47"/>
    </row>
    <row r="23259" spans="45:45">
      <c r="AS23259" s="47"/>
    </row>
    <row r="23260" spans="45:45">
      <c r="AS23260" s="47"/>
    </row>
    <row r="23261" spans="45:45">
      <c r="AS23261" s="47"/>
    </row>
    <row r="23262" spans="45:45">
      <c r="AS23262" s="47"/>
    </row>
    <row r="23263" spans="45:45">
      <c r="AS23263" s="47"/>
    </row>
    <row r="23264" spans="45:45">
      <c r="AS23264" s="47"/>
    </row>
    <row r="23265" spans="45:45">
      <c r="AS23265" s="47"/>
    </row>
    <row r="23266" spans="45:45">
      <c r="AS23266" s="47"/>
    </row>
    <row r="23267" spans="45:45">
      <c r="AS23267" s="47"/>
    </row>
    <row r="23268" spans="45:45">
      <c r="AS23268" s="47"/>
    </row>
    <row r="23269" spans="45:45">
      <c r="AS23269" s="47"/>
    </row>
    <row r="23270" spans="45:45">
      <c r="AS23270" s="47"/>
    </row>
    <row r="23271" spans="45:45">
      <c r="AS23271" s="47"/>
    </row>
    <row r="23272" spans="45:45">
      <c r="AS23272" s="47"/>
    </row>
    <row r="23273" spans="45:45">
      <c r="AS23273" s="47"/>
    </row>
    <row r="23274" spans="45:45">
      <c r="AS23274" s="47"/>
    </row>
    <row r="23275" spans="45:45">
      <c r="AS23275" s="47"/>
    </row>
    <row r="23276" spans="45:45">
      <c r="AS23276" s="47"/>
    </row>
    <row r="23277" spans="45:45">
      <c r="AS23277" s="47"/>
    </row>
    <row r="23278" spans="45:45">
      <c r="AS23278" s="47"/>
    </row>
    <row r="23279" spans="45:45">
      <c r="AS23279" s="47"/>
    </row>
    <row r="23280" spans="45:45">
      <c r="AS23280" s="47"/>
    </row>
    <row r="23281" spans="45:45">
      <c r="AS23281" s="47"/>
    </row>
    <row r="23282" spans="45:45">
      <c r="AS23282" s="47"/>
    </row>
    <row r="23283" spans="45:45">
      <c r="AS23283" s="47"/>
    </row>
    <row r="23284" spans="45:45">
      <c r="AS23284" s="47"/>
    </row>
    <row r="23285" spans="45:45">
      <c r="AS23285" s="47"/>
    </row>
    <row r="23286" spans="45:45">
      <c r="AS23286" s="47"/>
    </row>
    <row r="23287" spans="45:45">
      <c r="AS23287" s="47"/>
    </row>
    <row r="23288" spans="45:45">
      <c r="AS23288" s="47"/>
    </row>
    <row r="23289" spans="45:45">
      <c r="AS23289" s="47"/>
    </row>
    <row r="23290" spans="45:45">
      <c r="AS23290" s="47"/>
    </row>
    <row r="23291" spans="45:45">
      <c r="AS23291" s="47"/>
    </row>
    <row r="23292" spans="45:45">
      <c r="AS23292" s="47"/>
    </row>
    <row r="23293" spans="45:45">
      <c r="AS23293" s="47"/>
    </row>
    <row r="23294" spans="45:45">
      <c r="AS23294" s="47"/>
    </row>
    <row r="23295" spans="45:45">
      <c r="AS23295" s="47"/>
    </row>
    <row r="23296" spans="45:45">
      <c r="AS23296" s="47"/>
    </row>
    <row r="23297" spans="45:45">
      <c r="AS23297" s="47"/>
    </row>
    <row r="23298" spans="45:45">
      <c r="AS23298" s="47"/>
    </row>
    <row r="23299" spans="45:45">
      <c r="AS23299" s="47"/>
    </row>
    <row r="23300" spans="45:45">
      <c r="AS23300" s="47"/>
    </row>
    <row r="23301" spans="45:45">
      <c r="AS23301" s="47"/>
    </row>
    <row r="23302" spans="45:45">
      <c r="AS23302" s="47"/>
    </row>
    <row r="23303" spans="45:45">
      <c r="AS23303" s="47"/>
    </row>
    <row r="23304" spans="45:45">
      <c r="AS23304" s="47"/>
    </row>
    <row r="23305" spans="45:45">
      <c r="AS23305" s="47"/>
    </row>
    <row r="23306" spans="45:45">
      <c r="AS23306" s="47"/>
    </row>
    <row r="23307" spans="45:45">
      <c r="AS23307" s="47"/>
    </row>
    <row r="23308" spans="45:45">
      <c r="AS23308" s="47"/>
    </row>
    <row r="23309" spans="45:45">
      <c r="AS23309" s="47"/>
    </row>
    <row r="23310" spans="45:45">
      <c r="AS23310" s="47"/>
    </row>
    <row r="23311" spans="45:45">
      <c r="AS23311" s="47"/>
    </row>
    <row r="23312" spans="45:45">
      <c r="AS23312" s="47"/>
    </row>
    <row r="23313" spans="45:45">
      <c r="AS23313" s="47"/>
    </row>
    <row r="23314" spans="45:45">
      <c r="AS23314" s="47"/>
    </row>
    <row r="23315" spans="45:45">
      <c r="AS23315" s="47"/>
    </row>
    <row r="23316" spans="45:45">
      <c r="AS23316" s="47"/>
    </row>
    <row r="23317" spans="45:45">
      <c r="AS23317" s="47"/>
    </row>
    <row r="23318" spans="45:45">
      <c r="AS23318" s="47"/>
    </row>
    <row r="23319" spans="45:45">
      <c r="AS23319" s="47"/>
    </row>
    <row r="23320" spans="45:45">
      <c r="AS23320" s="47"/>
    </row>
    <row r="23321" spans="45:45">
      <c r="AS23321" s="47"/>
    </row>
    <row r="23322" spans="45:45">
      <c r="AS23322" s="47"/>
    </row>
    <row r="23323" spans="45:45">
      <c r="AS23323" s="47"/>
    </row>
    <row r="23324" spans="45:45">
      <c r="AS23324" s="47"/>
    </row>
    <row r="23325" spans="45:45">
      <c r="AS23325" s="47"/>
    </row>
    <row r="23326" spans="45:45">
      <c r="AS23326" s="47"/>
    </row>
    <row r="23327" spans="45:45">
      <c r="AS23327" s="47"/>
    </row>
    <row r="23328" spans="45:45">
      <c r="AS23328" s="47"/>
    </row>
    <row r="23329" spans="45:45">
      <c r="AS23329" s="47"/>
    </row>
    <row r="23330" spans="45:45">
      <c r="AS23330" s="47"/>
    </row>
    <row r="23331" spans="45:45">
      <c r="AS23331" s="47"/>
    </row>
    <row r="23332" spans="45:45">
      <c r="AS23332" s="47"/>
    </row>
    <row r="23333" spans="45:45">
      <c r="AS23333" s="47"/>
    </row>
    <row r="23334" spans="45:45">
      <c r="AS23334" s="47"/>
    </row>
    <row r="23335" spans="45:45">
      <c r="AS23335" s="47"/>
    </row>
    <row r="23336" spans="45:45">
      <c r="AS23336" s="47"/>
    </row>
    <row r="23337" spans="45:45">
      <c r="AS23337" s="47"/>
    </row>
    <row r="23338" spans="45:45">
      <c r="AS23338" s="47"/>
    </row>
    <row r="23339" spans="45:45">
      <c r="AS23339" s="47"/>
    </row>
    <row r="23340" spans="45:45">
      <c r="AS23340" s="47"/>
    </row>
    <row r="23341" spans="45:45">
      <c r="AS23341" s="47"/>
    </row>
    <row r="23342" spans="45:45">
      <c r="AS23342" s="47"/>
    </row>
    <row r="23343" spans="45:45">
      <c r="AS23343" s="47"/>
    </row>
    <row r="23344" spans="45:45">
      <c r="AS23344" s="47"/>
    </row>
    <row r="23345" spans="45:45">
      <c r="AS23345" s="47"/>
    </row>
    <row r="23346" spans="45:45">
      <c r="AS23346" s="47"/>
    </row>
    <row r="23347" spans="45:45">
      <c r="AS23347" s="47"/>
    </row>
    <row r="23348" spans="45:45">
      <c r="AS23348" s="47"/>
    </row>
    <row r="23349" spans="45:45">
      <c r="AS23349" s="47"/>
    </row>
    <row r="23350" spans="45:45">
      <c r="AS23350" s="47"/>
    </row>
    <row r="23351" spans="45:45">
      <c r="AS23351" s="47"/>
    </row>
    <row r="23352" spans="45:45">
      <c r="AS23352" s="47"/>
    </row>
    <row r="23353" spans="45:45">
      <c r="AS23353" s="47"/>
    </row>
    <row r="23354" spans="45:45">
      <c r="AS23354" s="47"/>
    </row>
    <row r="23355" spans="45:45">
      <c r="AS23355" s="47"/>
    </row>
    <row r="23356" spans="45:45">
      <c r="AS23356" s="47"/>
    </row>
    <row r="23357" spans="45:45">
      <c r="AS23357" s="47"/>
    </row>
    <row r="23358" spans="45:45">
      <c r="AS23358" s="47"/>
    </row>
    <row r="23359" spans="45:45">
      <c r="AS23359" s="47"/>
    </row>
    <row r="23360" spans="45:45">
      <c r="AS23360" s="47"/>
    </row>
    <row r="23361" spans="45:45">
      <c r="AS23361" s="47"/>
    </row>
    <row r="23362" spans="45:45">
      <c r="AS23362" s="47"/>
    </row>
    <row r="23363" spans="45:45">
      <c r="AS23363" s="47"/>
    </row>
    <row r="23364" spans="45:45">
      <c r="AS23364" s="47"/>
    </row>
    <row r="23365" spans="45:45">
      <c r="AS23365" s="47"/>
    </row>
    <row r="23366" spans="45:45">
      <c r="AS23366" s="47"/>
    </row>
    <row r="23367" spans="45:45">
      <c r="AS23367" s="47"/>
    </row>
    <row r="23368" spans="45:45">
      <c r="AS23368" s="47"/>
    </row>
    <row r="23369" spans="45:45">
      <c r="AS23369" s="47"/>
    </row>
    <row r="23370" spans="45:45">
      <c r="AS23370" s="47"/>
    </row>
    <row r="23371" spans="45:45">
      <c r="AS23371" s="47"/>
    </row>
    <row r="23372" spans="45:45">
      <c r="AS23372" s="47"/>
    </row>
    <row r="23373" spans="45:45">
      <c r="AS23373" s="47"/>
    </row>
    <row r="23374" spans="45:45">
      <c r="AS23374" s="47"/>
    </row>
    <row r="23375" spans="45:45">
      <c r="AS23375" s="47"/>
    </row>
    <row r="23376" spans="45:45">
      <c r="AS23376" s="47"/>
    </row>
    <row r="23377" spans="45:45">
      <c r="AS23377" s="47"/>
    </row>
    <row r="23378" spans="45:45">
      <c r="AS23378" s="47"/>
    </row>
    <row r="23379" spans="45:45">
      <c r="AS23379" s="47"/>
    </row>
    <row r="23380" spans="45:45">
      <c r="AS23380" s="47"/>
    </row>
    <row r="23381" spans="45:45">
      <c r="AS23381" s="47"/>
    </row>
    <row r="23382" spans="45:45">
      <c r="AS23382" s="47"/>
    </row>
    <row r="23383" spans="45:45">
      <c r="AS23383" s="47"/>
    </row>
    <row r="23384" spans="45:45">
      <c r="AS23384" s="47"/>
    </row>
    <row r="23385" spans="45:45">
      <c r="AS23385" s="47"/>
    </row>
    <row r="23386" spans="45:45">
      <c r="AS23386" s="47"/>
    </row>
    <row r="23387" spans="45:45">
      <c r="AS23387" s="47"/>
    </row>
    <row r="23388" spans="45:45">
      <c r="AS23388" s="47"/>
    </row>
    <row r="23389" spans="45:45">
      <c r="AS23389" s="47"/>
    </row>
    <row r="23390" spans="45:45">
      <c r="AS23390" s="47"/>
    </row>
    <row r="23391" spans="45:45">
      <c r="AS23391" s="47"/>
    </row>
    <row r="23392" spans="45:45">
      <c r="AS23392" s="47"/>
    </row>
    <row r="23393" spans="45:45">
      <c r="AS23393" s="47"/>
    </row>
    <row r="23394" spans="45:45">
      <c r="AS23394" s="47"/>
    </row>
    <row r="23395" spans="45:45">
      <c r="AS23395" s="47"/>
    </row>
    <row r="23396" spans="45:45">
      <c r="AS23396" s="47"/>
    </row>
    <row r="23397" spans="45:45">
      <c r="AS23397" s="47"/>
    </row>
    <row r="23398" spans="45:45">
      <c r="AS23398" s="47"/>
    </row>
    <row r="23399" spans="45:45">
      <c r="AS23399" s="47"/>
    </row>
    <row r="23400" spans="45:45">
      <c r="AS23400" s="47"/>
    </row>
    <row r="23401" spans="45:45">
      <c r="AS23401" s="47"/>
    </row>
    <row r="23402" spans="45:45">
      <c r="AS23402" s="47"/>
    </row>
    <row r="23403" spans="45:45">
      <c r="AS23403" s="47"/>
    </row>
    <row r="23404" spans="45:45">
      <c r="AS23404" s="47"/>
    </row>
    <row r="23405" spans="45:45">
      <c r="AS23405" s="47"/>
    </row>
    <row r="23406" spans="45:45">
      <c r="AS23406" s="47"/>
    </row>
    <row r="23407" spans="45:45">
      <c r="AS23407" s="47"/>
    </row>
    <row r="23408" spans="45:45">
      <c r="AS23408" s="47"/>
    </row>
    <row r="23409" spans="45:45">
      <c r="AS23409" s="47"/>
    </row>
    <row r="23410" spans="45:45">
      <c r="AS23410" s="47"/>
    </row>
    <row r="23411" spans="45:45">
      <c r="AS23411" s="47"/>
    </row>
    <row r="23412" spans="45:45">
      <c r="AS23412" s="47"/>
    </row>
    <row r="23413" spans="45:45">
      <c r="AS23413" s="47"/>
    </row>
    <row r="23414" spans="45:45">
      <c r="AS23414" s="47"/>
    </row>
    <row r="23415" spans="45:45">
      <c r="AS23415" s="47"/>
    </row>
    <row r="23416" spans="45:45">
      <c r="AS23416" s="47"/>
    </row>
    <row r="23417" spans="45:45">
      <c r="AS23417" s="47"/>
    </row>
    <row r="23418" spans="45:45">
      <c r="AS23418" s="47"/>
    </row>
    <row r="23419" spans="45:45">
      <c r="AS23419" s="47"/>
    </row>
    <row r="23420" spans="45:45">
      <c r="AS23420" s="47"/>
    </row>
    <row r="23421" spans="45:45">
      <c r="AS23421" s="47"/>
    </row>
    <row r="23422" spans="45:45">
      <c r="AS23422" s="47"/>
    </row>
    <row r="23423" spans="45:45">
      <c r="AS23423" s="47"/>
    </row>
    <row r="23424" spans="45:45">
      <c r="AS23424" s="47"/>
    </row>
    <row r="23425" spans="45:45">
      <c r="AS23425" s="47"/>
    </row>
    <row r="23426" spans="45:45">
      <c r="AS23426" s="47"/>
    </row>
    <row r="23427" spans="45:45">
      <c r="AS23427" s="47"/>
    </row>
    <row r="23428" spans="45:45">
      <c r="AS23428" s="47"/>
    </row>
    <row r="23429" spans="45:45">
      <c r="AS23429" s="47"/>
    </row>
    <row r="23430" spans="45:45">
      <c r="AS23430" s="47"/>
    </row>
    <row r="23431" spans="45:45">
      <c r="AS23431" s="47"/>
    </row>
    <row r="23432" spans="45:45">
      <c r="AS23432" s="47"/>
    </row>
    <row r="23433" spans="45:45">
      <c r="AS23433" s="47"/>
    </row>
    <row r="23434" spans="45:45">
      <c r="AS23434" s="47"/>
    </row>
    <row r="23435" spans="45:45">
      <c r="AS23435" s="47"/>
    </row>
    <row r="23436" spans="45:45">
      <c r="AS23436" s="47"/>
    </row>
    <row r="23437" spans="45:45">
      <c r="AS23437" s="47"/>
    </row>
    <row r="23438" spans="45:45">
      <c r="AS23438" s="47"/>
    </row>
    <row r="23439" spans="45:45">
      <c r="AS23439" s="47"/>
    </row>
    <row r="23440" spans="45:45">
      <c r="AS23440" s="47"/>
    </row>
    <row r="23441" spans="45:45">
      <c r="AS23441" s="47"/>
    </row>
    <row r="23442" spans="45:45">
      <c r="AS23442" s="47"/>
    </row>
    <row r="23443" spans="45:45">
      <c r="AS23443" s="47"/>
    </row>
    <row r="23444" spans="45:45">
      <c r="AS23444" s="47"/>
    </row>
    <row r="23445" spans="45:45">
      <c r="AS23445" s="47"/>
    </row>
    <row r="23446" spans="45:45">
      <c r="AS23446" s="47"/>
    </row>
    <row r="23447" spans="45:45">
      <c r="AS23447" s="47"/>
    </row>
    <row r="23448" spans="45:45">
      <c r="AS23448" s="47"/>
    </row>
    <row r="23449" spans="45:45">
      <c r="AS23449" s="47"/>
    </row>
    <row r="23450" spans="45:45">
      <c r="AS23450" s="47"/>
    </row>
    <row r="23451" spans="45:45">
      <c r="AS23451" s="47"/>
    </row>
    <row r="23452" spans="45:45">
      <c r="AS23452" s="47"/>
    </row>
    <row r="23453" spans="45:45">
      <c r="AS23453" s="47"/>
    </row>
    <row r="23454" spans="45:45">
      <c r="AS23454" s="47"/>
    </row>
    <row r="23455" spans="45:45">
      <c r="AS23455" s="47"/>
    </row>
    <row r="23456" spans="45:45">
      <c r="AS23456" s="47"/>
    </row>
    <row r="23457" spans="45:45">
      <c r="AS23457" s="47"/>
    </row>
    <row r="23458" spans="45:45">
      <c r="AS23458" s="47"/>
    </row>
    <row r="23459" spans="45:45">
      <c r="AS23459" s="47"/>
    </row>
    <row r="23460" spans="45:45">
      <c r="AS23460" s="47"/>
    </row>
    <row r="23461" spans="45:45">
      <c r="AS23461" s="47"/>
    </row>
    <row r="23462" spans="45:45">
      <c r="AS23462" s="47"/>
    </row>
    <row r="23463" spans="45:45">
      <c r="AS23463" s="47"/>
    </row>
    <row r="23464" spans="45:45">
      <c r="AS23464" s="47"/>
    </row>
    <row r="23465" spans="45:45">
      <c r="AS23465" s="47"/>
    </row>
    <row r="23466" spans="45:45">
      <c r="AS23466" s="47"/>
    </row>
    <row r="23467" spans="45:45">
      <c r="AS23467" s="47"/>
    </row>
    <row r="23468" spans="45:45">
      <c r="AS23468" s="47"/>
    </row>
    <row r="23469" spans="45:45">
      <c r="AS23469" s="47"/>
    </row>
    <row r="23470" spans="45:45">
      <c r="AS23470" s="47"/>
    </row>
    <row r="23471" spans="45:45">
      <c r="AS23471" s="47"/>
    </row>
    <row r="23472" spans="45:45">
      <c r="AS23472" s="47"/>
    </row>
    <row r="23473" spans="45:45">
      <c r="AS23473" s="47"/>
    </row>
    <row r="23474" spans="45:45">
      <c r="AS23474" s="47"/>
    </row>
    <row r="23475" spans="45:45">
      <c r="AS23475" s="47"/>
    </row>
    <row r="23476" spans="45:45">
      <c r="AS23476" s="47"/>
    </row>
    <row r="23477" spans="45:45">
      <c r="AS23477" s="47"/>
    </row>
    <row r="23478" spans="45:45">
      <c r="AS23478" s="47"/>
    </row>
    <row r="23479" spans="45:45">
      <c r="AS23479" s="47"/>
    </row>
    <row r="23480" spans="45:45">
      <c r="AS23480" s="47"/>
    </row>
    <row r="23481" spans="45:45">
      <c r="AS23481" s="47"/>
    </row>
    <row r="23482" spans="45:45">
      <c r="AS23482" s="47"/>
    </row>
    <row r="23483" spans="45:45">
      <c r="AS23483" s="47"/>
    </row>
    <row r="23484" spans="45:45">
      <c r="AS23484" s="47"/>
    </row>
    <row r="23485" spans="45:45">
      <c r="AS23485" s="47"/>
    </row>
    <row r="23486" spans="45:45">
      <c r="AS23486" s="47"/>
    </row>
    <row r="23487" spans="45:45">
      <c r="AS23487" s="47"/>
    </row>
    <row r="23488" spans="45:45">
      <c r="AS23488" s="47"/>
    </row>
    <row r="23489" spans="45:45">
      <c r="AS23489" s="47"/>
    </row>
    <row r="23490" spans="45:45">
      <c r="AS23490" s="47"/>
    </row>
    <row r="23491" spans="45:45">
      <c r="AS23491" s="47"/>
    </row>
    <row r="23492" spans="45:45">
      <c r="AS23492" s="47"/>
    </row>
    <row r="23493" spans="45:45">
      <c r="AS23493" s="47"/>
    </row>
    <row r="23494" spans="45:45">
      <c r="AS23494" s="47"/>
    </row>
    <row r="23495" spans="45:45">
      <c r="AS23495" s="47"/>
    </row>
    <row r="23496" spans="45:45">
      <c r="AS23496" s="47"/>
    </row>
    <row r="23497" spans="45:45">
      <c r="AS23497" s="47"/>
    </row>
    <row r="23498" spans="45:45">
      <c r="AS23498" s="47"/>
    </row>
    <row r="23499" spans="45:45">
      <c r="AS23499" s="47"/>
    </row>
    <row r="23500" spans="45:45">
      <c r="AS23500" s="47"/>
    </row>
    <row r="23501" spans="45:45">
      <c r="AS23501" s="47"/>
    </row>
    <row r="23502" spans="45:45">
      <c r="AS23502" s="47"/>
    </row>
    <row r="23503" spans="45:45">
      <c r="AS23503" s="47"/>
    </row>
    <row r="23504" spans="45:45">
      <c r="AS23504" s="47"/>
    </row>
    <row r="23505" spans="45:45">
      <c r="AS23505" s="47"/>
    </row>
    <row r="23506" spans="45:45">
      <c r="AS23506" s="47"/>
    </row>
    <row r="23507" spans="45:45">
      <c r="AS23507" s="47"/>
    </row>
    <row r="23508" spans="45:45">
      <c r="AS23508" s="47"/>
    </row>
    <row r="23509" spans="45:45">
      <c r="AS23509" s="47"/>
    </row>
    <row r="23510" spans="45:45">
      <c r="AS23510" s="47"/>
    </row>
    <row r="23511" spans="45:45">
      <c r="AS23511" s="47"/>
    </row>
    <row r="23512" spans="45:45">
      <c r="AS23512" s="47"/>
    </row>
    <row r="23513" spans="45:45">
      <c r="AS23513" s="47"/>
    </row>
    <row r="23514" spans="45:45">
      <c r="AS23514" s="47"/>
    </row>
    <row r="23515" spans="45:45">
      <c r="AS23515" s="47"/>
    </row>
    <row r="23516" spans="45:45">
      <c r="AS23516" s="47"/>
    </row>
    <row r="23517" spans="45:45">
      <c r="AS23517" s="47"/>
    </row>
    <row r="23518" spans="45:45">
      <c r="AS23518" s="47"/>
    </row>
    <row r="23519" spans="45:45">
      <c r="AS23519" s="47"/>
    </row>
    <row r="23520" spans="45:45">
      <c r="AS23520" s="47"/>
    </row>
    <row r="23521" spans="45:45">
      <c r="AS23521" s="47"/>
    </row>
    <row r="23522" spans="45:45">
      <c r="AS23522" s="47"/>
    </row>
    <row r="23523" spans="45:45">
      <c r="AS23523" s="47"/>
    </row>
    <row r="23524" spans="45:45">
      <c r="AS23524" s="47"/>
    </row>
    <row r="23525" spans="45:45">
      <c r="AS23525" s="47"/>
    </row>
    <row r="23526" spans="45:45">
      <c r="AS23526" s="47"/>
    </row>
    <row r="23527" spans="45:45">
      <c r="AS23527" s="47"/>
    </row>
    <row r="23528" spans="45:45">
      <c r="AS23528" s="47"/>
    </row>
    <row r="23529" spans="45:45">
      <c r="AS23529" s="47"/>
    </row>
    <row r="23530" spans="45:45">
      <c r="AS23530" s="47"/>
    </row>
    <row r="23531" spans="45:45">
      <c r="AS23531" s="47"/>
    </row>
    <row r="23532" spans="45:45">
      <c r="AS23532" s="47"/>
    </row>
    <row r="23533" spans="45:45">
      <c r="AS23533" s="47"/>
    </row>
    <row r="23534" spans="45:45">
      <c r="AS23534" s="47"/>
    </row>
    <row r="23535" spans="45:45">
      <c r="AS23535" s="47"/>
    </row>
    <row r="23536" spans="45:45">
      <c r="AS23536" s="47"/>
    </row>
    <row r="23537" spans="45:45">
      <c r="AS23537" s="47"/>
    </row>
    <row r="23538" spans="45:45">
      <c r="AS23538" s="47"/>
    </row>
    <row r="23539" spans="45:45">
      <c r="AS23539" s="47"/>
    </row>
    <row r="23540" spans="45:45">
      <c r="AS23540" s="47"/>
    </row>
    <row r="23541" spans="45:45">
      <c r="AS23541" s="47"/>
    </row>
    <row r="23542" spans="45:45">
      <c r="AS23542" s="47"/>
    </row>
    <row r="23543" spans="45:45">
      <c r="AS23543" s="47"/>
    </row>
    <row r="23544" spans="45:45">
      <c r="AS23544" s="47"/>
    </row>
    <row r="23545" spans="45:45">
      <c r="AS23545" s="47"/>
    </row>
    <row r="23546" spans="45:45">
      <c r="AS23546" s="47"/>
    </row>
    <row r="23547" spans="45:45">
      <c r="AS23547" s="47"/>
    </row>
    <row r="23548" spans="45:45">
      <c r="AS23548" s="47"/>
    </row>
    <row r="23549" spans="45:45">
      <c r="AS23549" s="47"/>
    </row>
    <row r="23550" spans="45:45">
      <c r="AS23550" s="47"/>
    </row>
    <row r="23551" spans="45:45">
      <c r="AS23551" s="47"/>
    </row>
    <row r="23552" spans="45:45">
      <c r="AS23552" s="47"/>
    </row>
    <row r="23553" spans="45:45">
      <c r="AS23553" s="47"/>
    </row>
    <row r="23554" spans="45:45">
      <c r="AS23554" s="47"/>
    </row>
    <row r="23555" spans="45:45">
      <c r="AS23555" s="47"/>
    </row>
    <row r="23556" spans="45:45">
      <c r="AS23556" s="47"/>
    </row>
    <row r="23557" spans="45:45">
      <c r="AS23557" s="47"/>
    </row>
    <row r="23558" spans="45:45">
      <c r="AS23558" s="47"/>
    </row>
    <row r="23559" spans="45:45">
      <c r="AS23559" s="47"/>
    </row>
    <row r="23560" spans="45:45">
      <c r="AS23560" s="47"/>
    </row>
    <row r="23561" spans="45:45">
      <c r="AS23561" s="47"/>
    </row>
    <row r="23562" spans="45:45">
      <c r="AS23562" s="47"/>
    </row>
    <row r="23563" spans="45:45">
      <c r="AS23563" s="47"/>
    </row>
    <row r="23564" spans="45:45">
      <c r="AS23564" s="47"/>
    </row>
    <row r="23565" spans="45:45">
      <c r="AS23565" s="47"/>
    </row>
    <row r="23566" spans="45:45">
      <c r="AS23566" s="47"/>
    </row>
    <row r="23567" spans="45:45">
      <c r="AS23567" s="47"/>
    </row>
    <row r="23568" spans="45:45">
      <c r="AS23568" s="47"/>
    </row>
    <row r="23569" spans="45:45">
      <c r="AS23569" s="47"/>
    </row>
    <row r="23570" spans="45:45">
      <c r="AS23570" s="47"/>
    </row>
    <row r="23571" spans="45:45">
      <c r="AS23571" s="47"/>
    </row>
    <row r="23572" spans="45:45">
      <c r="AS23572" s="47"/>
    </row>
    <row r="23573" spans="45:45">
      <c r="AS23573" s="47"/>
    </row>
    <row r="23574" spans="45:45">
      <c r="AS23574" s="47"/>
    </row>
    <row r="23575" spans="45:45">
      <c r="AS23575" s="47"/>
    </row>
    <row r="23576" spans="45:45">
      <c r="AS23576" s="47"/>
    </row>
    <row r="23577" spans="45:45">
      <c r="AS23577" s="47"/>
    </row>
    <row r="23578" spans="45:45">
      <c r="AS23578" s="47"/>
    </row>
    <row r="23579" spans="45:45">
      <c r="AS23579" s="47"/>
    </row>
    <row r="23580" spans="45:45">
      <c r="AS23580" s="47"/>
    </row>
    <row r="23581" spans="45:45">
      <c r="AS23581" s="47"/>
    </row>
    <row r="23582" spans="45:45">
      <c r="AS23582" s="47"/>
    </row>
    <row r="23583" spans="45:45">
      <c r="AS23583" s="47"/>
    </row>
    <row r="23584" spans="45:45">
      <c r="AS23584" s="47"/>
    </row>
    <row r="23585" spans="45:45">
      <c r="AS23585" s="47"/>
    </row>
    <row r="23586" spans="45:45">
      <c r="AS23586" s="47"/>
    </row>
    <row r="23587" spans="45:45">
      <c r="AS23587" s="47"/>
    </row>
    <row r="23588" spans="45:45">
      <c r="AS23588" s="47"/>
    </row>
    <row r="23589" spans="45:45">
      <c r="AS23589" s="47"/>
    </row>
    <row r="23590" spans="45:45">
      <c r="AS23590" s="47"/>
    </row>
    <row r="23591" spans="45:45">
      <c r="AS23591" s="47"/>
    </row>
    <row r="23592" spans="45:45">
      <c r="AS23592" s="47"/>
    </row>
    <row r="23593" spans="45:45">
      <c r="AS23593" s="47"/>
    </row>
    <row r="23594" spans="45:45">
      <c r="AS23594" s="47"/>
    </row>
    <row r="23595" spans="45:45">
      <c r="AS23595" s="47"/>
    </row>
    <row r="23596" spans="45:45">
      <c r="AS23596" s="47"/>
    </row>
    <row r="23597" spans="45:45">
      <c r="AS23597" s="47"/>
    </row>
    <row r="23598" spans="45:45">
      <c r="AS23598" s="47"/>
    </row>
    <row r="23599" spans="45:45">
      <c r="AS23599" s="47"/>
    </row>
    <row r="23600" spans="45:45">
      <c r="AS23600" s="47"/>
    </row>
    <row r="23601" spans="45:45">
      <c r="AS23601" s="47"/>
    </row>
    <row r="23602" spans="45:45">
      <c r="AS23602" s="47"/>
    </row>
    <row r="23603" spans="45:45">
      <c r="AS23603" s="47"/>
    </row>
    <row r="23604" spans="45:45">
      <c r="AS23604" s="47"/>
    </row>
    <row r="23605" spans="45:45">
      <c r="AS23605" s="47"/>
    </row>
    <row r="23606" spans="45:45">
      <c r="AS23606" s="47"/>
    </row>
    <row r="23607" spans="45:45">
      <c r="AS23607" s="47"/>
    </row>
    <row r="23608" spans="45:45">
      <c r="AS23608" s="47"/>
    </row>
    <row r="23609" spans="45:45">
      <c r="AS23609" s="47"/>
    </row>
    <row r="23610" spans="45:45">
      <c r="AS23610" s="47"/>
    </row>
    <row r="23611" spans="45:45">
      <c r="AS23611" s="47"/>
    </row>
    <row r="23612" spans="45:45">
      <c r="AS23612" s="47"/>
    </row>
    <row r="23613" spans="45:45">
      <c r="AS23613" s="47"/>
    </row>
    <row r="23614" spans="45:45">
      <c r="AS23614" s="47"/>
    </row>
    <row r="23615" spans="45:45">
      <c r="AS23615" s="47"/>
    </row>
    <row r="23616" spans="45:45">
      <c r="AS23616" s="47"/>
    </row>
    <row r="23617" spans="45:45">
      <c r="AS23617" s="47"/>
    </row>
    <row r="23618" spans="45:45">
      <c r="AS23618" s="47"/>
    </row>
    <row r="23619" spans="45:45">
      <c r="AS23619" s="47"/>
    </row>
    <row r="23620" spans="45:45">
      <c r="AS23620" s="47"/>
    </row>
    <row r="23621" spans="45:45">
      <c r="AS23621" s="47"/>
    </row>
    <row r="23622" spans="45:45">
      <c r="AS23622" s="47"/>
    </row>
    <row r="23623" spans="45:45">
      <c r="AS23623" s="47"/>
    </row>
    <row r="23624" spans="45:45">
      <c r="AS23624" s="47"/>
    </row>
    <row r="23625" spans="45:45">
      <c r="AS23625" s="47"/>
    </row>
    <row r="23626" spans="45:45">
      <c r="AS23626" s="47"/>
    </row>
    <row r="23627" spans="45:45">
      <c r="AS23627" s="47"/>
    </row>
    <row r="23628" spans="45:45">
      <c r="AS23628" s="47"/>
    </row>
    <row r="23629" spans="45:45">
      <c r="AS23629" s="47"/>
    </row>
    <row r="23630" spans="45:45">
      <c r="AS23630" s="47"/>
    </row>
    <row r="23631" spans="45:45">
      <c r="AS23631" s="47"/>
    </row>
    <row r="23632" spans="45:45">
      <c r="AS23632" s="47"/>
    </row>
    <row r="23633" spans="45:45">
      <c r="AS23633" s="47"/>
    </row>
    <row r="23634" spans="45:45">
      <c r="AS23634" s="47"/>
    </row>
    <row r="23635" spans="45:45">
      <c r="AS23635" s="47"/>
    </row>
    <row r="23636" spans="45:45">
      <c r="AS23636" s="47"/>
    </row>
    <row r="23637" spans="45:45">
      <c r="AS23637" s="47"/>
    </row>
    <row r="23638" spans="45:45">
      <c r="AS23638" s="47"/>
    </row>
    <row r="23639" spans="45:45">
      <c r="AS23639" s="47"/>
    </row>
    <row r="23640" spans="45:45">
      <c r="AS23640" s="47"/>
    </row>
    <row r="23641" spans="45:45">
      <c r="AS23641" s="47"/>
    </row>
    <row r="23642" spans="45:45">
      <c r="AS23642" s="47"/>
    </row>
    <row r="23643" spans="45:45">
      <c r="AS23643" s="47"/>
    </row>
    <row r="23644" spans="45:45">
      <c r="AS23644" s="47"/>
    </row>
    <row r="23645" spans="45:45">
      <c r="AS23645" s="47"/>
    </row>
    <row r="23646" spans="45:45">
      <c r="AS23646" s="47"/>
    </row>
    <row r="23647" spans="45:45">
      <c r="AS23647" s="47"/>
    </row>
    <row r="23648" spans="45:45">
      <c r="AS23648" s="47"/>
    </row>
    <row r="23649" spans="45:45">
      <c r="AS23649" s="47"/>
    </row>
    <row r="23650" spans="45:45">
      <c r="AS23650" s="47"/>
    </row>
    <row r="23651" spans="45:45">
      <c r="AS23651" s="47"/>
    </row>
    <row r="23652" spans="45:45">
      <c r="AS23652" s="47"/>
    </row>
    <row r="23653" spans="45:45">
      <c r="AS23653" s="47"/>
    </row>
    <row r="23654" spans="45:45">
      <c r="AS23654" s="47"/>
    </row>
    <row r="23655" spans="45:45">
      <c r="AS23655" s="47"/>
    </row>
    <row r="23656" spans="45:45">
      <c r="AS23656" s="47"/>
    </row>
    <row r="23657" spans="45:45">
      <c r="AS23657" s="47"/>
    </row>
    <row r="23658" spans="45:45">
      <c r="AS23658" s="47"/>
    </row>
    <row r="23659" spans="45:45">
      <c r="AS23659" s="47"/>
    </row>
    <row r="23660" spans="45:45">
      <c r="AS23660" s="47"/>
    </row>
    <row r="23661" spans="45:45">
      <c r="AS23661" s="47"/>
    </row>
    <row r="23662" spans="45:45">
      <c r="AS23662" s="47"/>
    </row>
    <row r="23663" spans="45:45">
      <c r="AS23663" s="47"/>
    </row>
    <row r="23664" spans="45:45">
      <c r="AS23664" s="47"/>
    </row>
    <row r="23665" spans="45:45">
      <c r="AS23665" s="47"/>
    </row>
    <row r="23666" spans="45:45">
      <c r="AS23666" s="47"/>
    </row>
    <row r="23667" spans="45:45">
      <c r="AS23667" s="47"/>
    </row>
    <row r="23668" spans="45:45">
      <c r="AS23668" s="47"/>
    </row>
    <row r="23669" spans="45:45">
      <c r="AS23669" s="47"/>
    </row>
    <row r="23670" spans="45:45">
      <c r="AS23670" s="47"/>
    </row>
    <row r="23671" spans="45:45">
      <c r="AS23671" s="47"/>
    </row>
    <row r="23672" spans="45:45">
      <c r="AS23672" s="47"/>
    </row>
    <row r="23673" spans="45:45">
      <c r="AS23673" s="47"/>
    </row>
    <row r="23674" spans="45:45">
      <c r="AS23674" s="47"/>
    </row>
    <row r="23675" spans="45:45">
      <c r="AS23675" s="47"/>
    </row>
    <row r="23676" spans="45:45">
      <c r="AS23676" s="47"/>
    </row>
    <row r="23677" spans="45:45">
      <c r="AS23677" s="47"/>
    </row>
    <row r="23678" spans="45:45">
      <c r="AS23678" s="47"/>
    </row>
    <row r="23679" spans="45:45">
      <c r="AS23679" s="47"/>
    </row>
    <row r="23680" spans="45:45">
      <c r="AS23680" s="47"/>
    </row>
    <row r="23681" spans="45:45">
      <c r="AS23681" s="47"/>
    </row>
    <row r="23682" spans="45:45">
      <c r="AS23682" s="47"/>
    </row>
    <row r="23683" spans="45:45">
      <c r="AS23683" s="47"/>
    </row>
    <row r="23684" spans="45:45">
      <c r="AS23684" s="47"/>
    </row>
    <row r="23685" spans="45:45">
      <c r="AS23685" s="47"/>
    </row>
    <row r="23686" spans="45:45">
      <c r="AS23686" s="47"/>
    </row>
    <row r="23687" spans="45:45">
      <c r="AS23687" s="47"/>
    </row>
    <row r="23688" spans="45:45">
      <c r="AS23688" s="47"/>
    </row>
    <row r="23689" spans="45:45">
      <c r="AS23689" s="47"/>
    </row>
    <row r="23690" spans="45:45">
      <c r="AS23690" s="47"/>
    </row>
    <row r="23691" spans="45:45">
      <c r="AS23691" s="47"/>
    </row>
    <row r="23692" spans="45:45">
      <c r="AS23692" s="47"/>
    </row>
    <row r="23693" spans="45:45">
      <c r="AS23693" s="47"/>
    </row>
    <row r="23694" spans="45:45">
      <c r="AS23694" s="47"/>
    </row>
    <row r="23695" spans="45:45">
      <c r="AS23695" s="47"/>
    </row>
    <row r="23696" spans="45:45">
      <c r="AS23696" s="47"/>
    </row>
    <row r="23697" spans="45:45">
      <c r="AS23697" s="47"/>
    </row>
    <row r="23698" spans="45:45">
      <c r="AS23698" s="47"/>
    </row>
    <row r="23699" spans="45:45">
      <c r="AS23699" s="47"/>
    </row>
    <row r="23700" spans="45:45">
      <c r="AS23700" s="47"/>
    </row>
    <row r="23701" spans="45:45">
      <c r="AS23701" s="47"/>
    </row>
    <row r="23702" spans="45:45">
      <c r="AS23702" s="47"/>
    </row>
    <row r="23703" spans="45:45">
      <c r="AS23703" s="47"/>
    </row>
    <row r="23704" spans="45:45">
      <c r="AS23704" s="47"/>
    </row>
    <row r="23705" spans="45:45">
      <c r="AS23705" s="47"/>
    </row>
    <row r="23706" spans="45:45">
      <c r="AS23706" s="47"/>
    </row>
    <row r="23707" spans="45:45">
      <c r="AS23707" s="47"/>
    </row>
    <row r="23708" spans="45:45">
      <c r="AS23708" s="47"/>
    </row>
    <row r="23709" spans="45:45">
      <c r="AS23709" s="47"/>
    </row>
    <row r="23710" spans="45:45">
      <c r="AS23710" s="47"/>
    </row>
    <row r="23711" spans="45:45">
      <c r="AS23711" s="47"/>
    </row>
    <row r="23712" spans="45:45">
      <c r="AS23712" s="47"/>
    </row>
    <row r="23713" spans="45:45">
      <c r="AS23713" s="47"/>
    </row>
    <row r="23714" spans="45:45">
      <c r="AS23714" s="47"/>
    </row>
    <row r="23715" spans="45:45">
      <c r="AS23715" s="47"/>
    </row>
    <row r="23716" spans="45:45">
      <c r="AS23716" s="47"/>
    </row>
    <row r="23717" spans="45:45">
      <c r="AS23717" s="47"/>
    </row>
    <row r="23718" spans="45:45">
      <c r="AS23718" s="47"/>
    </row>
    <row r="23719" spans="45:45">
      <c r="AS23719" s="47"/>
    </row>
    <row r="23720" spans="45:45">
      <c r="AS23720" s="47"/>
    </row>
    <row r="23721" spans="45:45">
      <c r="AS23721" s="47"/>
    </row>
    <row r="23722" spans="45:45">
      <c r="AS23722" s="47"/>
    </row>
    <row r="23723" spans="45:45">
      <c r="AS23723" s="47"/>
    </row>
    <row r="23724" spans="45:45">
      <c r="AS23724" s="47"/>
    </row>
    <row r="23725" spans="45:45">
      <c r="AS23725" s="47"/>
    </row>
    <row r="23726" spans="45:45">
      <c r="AS23726" s="47"/>
    </row>
    <row r="23727" spans="45:45">
      <c r="AS23727" s="47"/>
    </row>
    <row r="23728" spans="45:45">
      <c r="AS23728" s="47"/>
    </row>
    <row r="23729" spans="45:45">
      <c r="AS23729" s="47"/>
    </row>
    <row r="23730" spans="45:45">
      <c r="AS23730" s="47"/>
    </row>
    <row r="23731" spans="45:45">
      <c r="AS23731" s="47"/>
    </row>
    <row r="23732" spans="45:45">
      <c r="AS23732" s="47"/>
    </row>
    <row r="23733" spans="45:45">
      <c r="AS23733" s="47"/>
    </row>
    <row r="23734" spans="45:45">
      <c r="AS23734" s="47"/>
    </row>
    <row r="23735" spans="45:45">
      <c r="AS23735" s="47"/>
    </row>
    <row r="23736" spans="45:45">
      <c r="AS23736" s="47"/>
    </row>
    <row r="23737" spans="45:45">
      <c r="AS23737" s="47"/>
    </row>
    <row r="23738" spans="45:45">
      <c r="AS23738" s="47"/>
    </row>
    <row r="23739" spans="45:45">
      <c r="AS23739" s="47"/>
    </row>
    <row r="23740" spans="45:45">
      <c r="AS23740" s="47"/>
    </row>
    <row r="23741" spans="45:45">
      <c r="AS23741" s="47"/>
    </row>
    <row r="23742" spans="45:45">
      <c r="AS23742" s="47"/>
    </row>
    <row r="23743" spans="45:45">
      <c r="AS23743" s="47"/>
    </row>
    <row r="23744" spans="45:45">
      <c r="AS23744" s="47"/>
    </row>
    <row r="23745" spans="45:45">
      <c r="AS23745" s="47"/>
    </row>
    <row r="23746" spans="45:45">
      <c r="AS23746" s="47"/>
    </row>
    <row r="23747" spans="45:45">
      <c r="AS23747" s="47"/>
    </row>
    <row r="23748" spans="45:45">
      <c r="AS23748" s="47"/>
    </row>
    <row r="23749" spans="45:45">
      <c r="AS23749" s="47"/>
    </row>
    <row r="23750" spans="45:45">
      <c r="AS23750" s="47"/>
    </row>
    <row r="23751" spans="45:45">
      <c r="AS23751" s="47"/>
    </row>
    <row r="23752" spans="45:45">
      <c r="AS23752" s="47"/>
    </row>
    <row r="23753" spans="45:45">
      <c r="AS23753" s="47"/>
    </row>
    <row r="23754" spans="45:45">
      <c r="AS23754" s="47"/>
    </row>
    <row r="23755" spans="45:45">
      <c r="AS23755" s="47"/>
    </row>
    <row r="23756" spans="45:45">
      <c r="AS23756" s="47"/>
    </row>
    <row r="23757" spans="45:45">
      <c r="AS23757" s="47"/>
    </row>
    <row r="23758" spans="45:45">
      <c r="AS23758" s="47"/>
    </row>
    <row r="23759" spans="45:45">
      <c r="AS23759" s="47"/>
    </row>
    <row r="23760" spans="45:45">
      <c r="AS23760" s="47"/>
    </row>
    <row r="23761" spans="45:45">
      <c r="AS23761" s="47"/>
    </row>
    <row r="23762" spans="45:45">
      <c r="AS23762" s="47"/>
    </row>
    <row r="23763" spans="45:45">
      <c r="AS23763" s="47"/>
    </row>
    <row r="23764" spans="45:45">
      <c r="AS23764" s="47"/>
    </row>
    <row r="23765" spans="45:45">
      <c r="AS23765" s="47"/>
    </row>
    <row r="23766" spans="45:45">
      <c r="AS23766" s="47"/>
    </row>
    <row r="23767" spans="45:45">
      <c r="AS23767" s="47"/>
    </row>
    <row r="23768" spans="45:45">
      <c r="AS23768" s="47"/>
    </row>
    <row r="23769" spans="45:45">
      <c r="AS23769" s="47"/>
    </row>
    <row r="23770" spans="45:45">
      <c r="AS23770" s="47"/>
    </row>
    <row r="23771" spans="45:45">
      <c r="AS23771" s="47"/>
    </row>
    <row r="23772" spans="45:45">
      <c r="AS23772" s="47"/>
    </row>
    <row r="23773" spans="45:45">
      <c r="AS23773" s="47"/>
    </row>
    <row r="23774" spans="45:45">
      <c r="AS23774" s="47"/>
    </row>
    <row r="23775" spans="45:45">
      <c r="AS23775" s="47"/>
    </row>
    <row r="23776" spans="45:45">
      <c r="AS23776" s="47"/>
    </row>
    <row r="23777" spans="45:45">
      <c r="AS23777" s="47"/>
    </row>
    <row r="23778" spans="45:45">
      <c r="AS23778" s="47"/>
    </row>
    <row r="23779" spans="45:45">
      <c r="AS23779" s="47"/>
    </row>
    <row r="23780" spans="45:45">
      <c r="AS23780" s="47"/>
    </row>
    <row r="23781" spans="45:45">
      <c r="AS23781" s="47"/>
    </row>
    <row r="23782" spans="45:45">
      <c r="AS23782" s="47"/>
    </row>
    <row r="23783" spans="45:45">
      <c r="AS23783" s="47"/>
    </row>
    <row r="23784" spans="45:45">
      <c r="AS23784" s="47"/>
    </row>
    <row r="23785" spans="45:45">
      <c r="AS23785" s="47"/>
    </row>
    <row r="23786" spans="45:45">
      <c r="AS23786" s="47"/>
    </row>
    <row r="23787" spans="45:45">
      <c r="AS23787" s="47"/>
    </row>
    <row r="23788" spans="45:45">
      <c r="AS23788" s="47"/>
    </row>
    <row r="23789" spans="45:45">
      <c r="AS23789" s="47"/>
    </row>
    <row r="23790" spans="45:45">
      <c r="AS23790" s="47"/>
    </row>
    <row r="23791" spans="45:45">
      <c r="AS23791" s="47"/>
    </row>
    <row r="23792" spans="45:45">
      <c r="AS23792" s="47"/>
    </row>
    <row r="23793" spans="45:45">
      <c r="AS23793" s="47"/>
    </row>
    <row r="23794" spans="45:45">
      <c r="AS23794" s="47"/>
    </row>
    <row r="23795" spans="45:45">
      <c r="AS23795" s="47"/>
    </row>
    <row r="23796" spans="45:45">
      <c r="AS23796" s="47"/>
    </row>
    <row r="23797" spans="45:45">
      <c r="AS23797" s="47"/>
    </row>
    <row r="23798" spans="45:45">
      <c r="AS23798" s="47"/>
    </row>
    <row r="23799" spans="45:45">
      <c r="AS23799" s="47"/>
    </row>
    <row r="23800" spans="45:45">
      <c r="AS23800" s="47"/>
    </row>
    <row r="23801" spans="45:45">
      <c r="AS23801" s="47"/>
    </row>
    <row r="23802" spans="45:45">
      <c r="AS23802" s="47"/>
    </row>
    <row r="23803" spans="45:45">
      <c r="AS23803" s="47"/>
    </row>
    <row r="23804" spans="45:45">
      <c r="AS23804" s="47"/>
    </row>
    <row r="23805" spans="45:45">
      <c r="AS23805" s="47"/>
    </row>
    <row r="23806" spans="45:45">
      <c r="AS23806" s="47"/>
    </row>
    <row r="23807" spans="45:45">
      <c r="AS23807" s="47"/>
    </row>
    <row r="23808" spans="45:45">
      <c r="AS23808" s="47"/>
    </row>
    <row r="23809" spans="45:45">
      <c r="AS23809" s="47"/>
    </row>
    <row r="23810" spans="45:45">
      <c r="AS23810" s="47"/>
    </row>
    <row r="23811" spans="45:45">
      <c r="AS23811" s="47"/>
    </row>
    <row r="23812" spans="45:45">
      <c r="AS23812" s="47"/>
    </row>
    <row r="23813" spans="45:45">
      <c r="AS23813" s="47"/>
    </row>
    <row r="23814" spans="45:45">
      <c r="AS23814" s="47"/>
    </row>
    <row r="23815" spans="45:45">
      <c r="AS23815" s="47"/>
    </row>
    <row r="23816" spans="45:45">
      <c r="AS23816" s="47"/>
    </row>
    <row r="23817" spans="45:45">
      <c r="AS23817" s="47"/>
    </row>
    <row r="23818" spans="45:45">
      <c r="AS23818" s="47"/>
    </row>
    <row r="23819" spans="45:45">
      <c r="AS23819" s="47"/>
    </row>
    <row r="23820" spans="45:45">
      <c r="AS23820" s="47"/>
    </row>
    <row r="23821" spans="45:45">
      <c r="AS23821" s="47"/>
    </row>
    <row r="23822" spans="45:45">
      <c r="AS23822" s="47"/>
    </row>
    <row r="23823" spans="45:45">
      <c r="AS23823" s="47"/>
    </row>
    <row r="23824" spans="45:45">
      <c r="AS23824" s="47"/>
    </row>
    <row r="23825" spans="45:45">
      <c r="AS23825" s="47"/>
    </row>
    <row r="23826" spans="45:45">
      <c r="AS23826" s="47"/>
    </row>
    <row r="23827" spans="45:45">
      <c r="AS23827" s="47"/>
    </row>
    <row r="23828" spans="45:45">
      <c r="AS23828" s="47"/>
    </row>
    <row r="23829" spans="45:45">
      <c r="AS23829" s="47"/>
    </row>
    <row r="23830" spans="45:45">
      <c r="AS23830" s="47"/>
    </row>
    <row r="23831" spans="45:45">
      <c r="AS23831" s="47"/>
    </row>
    <row r="23832" spans="45:45">
      <c r="AS23832" s="47"/>
    </row>
    <row r="23833" spans="45:45">
      <c r="AS23833" s="47"/>
    </row>
    <row r="23834" spans="45:45">
      <c r="AS23834" s="47"/>
    </row>
    <row r="23835" spans="45:45">
      <c r="AS23835" s="47"/>
    </row>
    <row r="23836" spans="45:45">
      <c r="AS23836" s="47"/>
    </row>
    <row r="23837" spans="45:45">
      <c r="AS23837" s="47"/>
    </row>
    <row r="23838" spans="45:45">
      <c r="AS23838" s="47"/>
    </row>
    <row r="23839" spans="45:45">
      <c r="AS23839" s="47"/>
    </row>
    <row r="23840" spans="45:45">
      <c r="AS23840" s="47"/>
    </row>
    <row r="23841" spans="45:45">
      <c r="AS23841" s="47"/>
    </row>
    <row r="23842" spans="45:45">
      <c r="AS23842" s="47"/>
    </row>
    <row r="23843" spans="45:45">
      <c r="AS23843" s="47"/>
    </row>
    <row r="23844" spans="45:45">
      <c r="AS23844" s="47"/>
    </row>
    <row r="23845" spans="45:45">
      <c r="AS23845" s="47"/>
    </row>
    <row r="23846" spans="45:45">
      <c r="AS23846" s="47"/>
    </row>
    <row r="23847" spans="45:45">
      <c r="AS23847" s="47"/>
    </row>
    <row r="23848" spans="45:45">
      <c r="AS23848" s="47"/>
    </row>
    <row r="23849" spans="45:45">
      <c r="AS23849" s="47"/>
    </row>
    <row r="23850" spans="45:45">
      <c r="AS23850" s="47"/>
    </row>
    <row r="23851" spans="45:45">
      <c r="AS23851" s="47"/>
    </row>
    <row r="23852" spans="45:45">
      <c r="AS23852" s="47"/>
    </row>
    <row r="23853" spans="45:45">
      <c r="AS23853" s="47"/>
    </row>
    <row r="23854" spans="45:45">
      <c r="AS23854" s="47"/>
    </row>
    <row r="23855" spans="45:45">
      <c r="AS23855" s="47"/>
    </row>
    <row r="23856" spans="45:45">
      <c r="AS23856" s="47"/>
    </row>
    <row r="23857" spans="45:45">
      <c r="AS23857" s="47"/>
    </row>
    <row r="23858" spans="45:45">
      <c r="AS23858" s="47"/>
    </row>
    <row r="23859" spans="45:45">
      <c r="AS23859" s="47"/>
    </row>
    <row r="23860" spans="45:45">
      <c r="AS23860" s="47"/>
    </row>
    <row r="23861" spans="45:45">
      <c r="AS23861" s="47"/>
    </row>
    <row r="23862" spans="45:45">
      <c r="AS23862" s="47"/>
    </row>
    <row r="23863" spans="45:45">
      <c r="AS23863" s="47"/>
    </row>
    <row r="23864" spans="45:45">
      <c r="AS23864" s="47"/>
    </row>
    <row r="23865" spans="45:45">
      <c r="AS23865" s="47"/>
    </row>
    <row r="23866" spans="45:45">
      <c r="AS23866" s="47"/>
    </row>
    <row r="23867" spans="45:45">
      <c r="AS23867" s="47"/>
    </row>
    <row r="23868" spans="45:45">
      <c r="AS23868" s="47"/>
    </row>
    <row r="23869" spans="45:45">
      <c r="AS23869" s="47"/>
    </row>
    <row r="23870" spans="45:45">
      <c r="AS23870" s="47"/>
    </row>
    <row r="23871" spans="45:45">
      <c r="AS23871" s="47"/>
    </row>
    <row r="23872" spans="45:45">
      <c r="AS23872" s="47"/>
    </row>
    <row r="23873" spans="45:45">
      <c r="AS23873" s="47"/>
    </row>
    <row r="23874" spans="45:45">
      <c r="AS23874" s="47"/>
    </row>
    <row r="23875" spans="45:45">
      <c r="AS23875" s="47"/>
    </row>
    <row r="23876" spans="45:45">
      <c r="AS23876" s="47"/>
    </row>
    <row r="23877" spans="45:45">
      <c r="AS23877" s="47"/>
    </row>
    <row r="23878" spans="45:45">
      <c r="AS23878" s="47"/>
    </row>
    <row r="23879" spans="45:45">
      <c r="AS23879" s="47"/>
    </row>
    <row r="23880" spans="45:45">
      <c r="AS23880" s="47"/>
    </row>
    <row r="23881" spans="45:45">
      <c r="AS23881" s="47"/>
    </row>
    <row r="23882" spans="45:45">
      <c r="AS23882" s="47"/>
    </row>
    <row r="23883" spans="45:45">
      <c r="AS23883" s="47"/>
    </row>
    <row r="23884" spans="45:45">
      <c r="AS23884" s="47"/>
    </row>
    <row r="23885" spans="45:45">
      <c r="AS23885" s="47"/>
    </row>
    <row r="23886" spans="45:45">
      <c r="AS23886" s="47"/>
    </row>
    <row r="23887" spans="45:45">
      <c r="AS23887" s="47"/>
    </row>
    <row r="23888" spans="45:45">
      <c r="AS23888" s="47"/>
    </row>
    <row r="23889" spans="45:45">
      <c r="AS23889" s="47"/>
    </row>
    <row r="23890" spans="45:45">
      <c r="AS23890" s="47"/>
    </row>
    <row r="23891" spans="45:45">
      <c r="AS23891" s="47"/>
    </row>
    <row r="23892" spans="45:45">
      <c r="AS23892" s="47"/>
    </row>
    <row r="23893" spans="45:45">
      <c r="AS23893" s="47"/>
    </row>
    <row r="23894" spans="45:45">
      <c r="AS23894" s="47"/>
    </row>
    <row r="23895" spans="45:45">
      <c r="AS23895" s="47"/>
    </row>
    <row r="23896" spans="45:45">
      <c r="AS23896" s="47"/>
    </row>
    <row r="23897" spans="45:45">
      <c r="AS23897" s="47"/>
    </row>
    <row r="23898" spans="45:45">
      <c r="AS23898" s="47"/>
    </row>
    <row r="23899" spans="45:45">
      <c r="AS23899" s="47"/>
    </row>
    <row r="23900" spans="45:45">
      <c r="AS23900" s="47"/>
    </row>
    <row r="23901" spans="45:45">
      <c r="AS23901" s="47"/>
    </row>
    <row r="23902" spans="45:45">
      <c r="AS23902" s="47"/>
    </row>
    <row r="23903" spans="45:45">
      <c r="AS23903" s="47"/>
    </row>
    <row r="23904" spans="45:45">
      <c r="AS23904" s="47"/>
    </row>
    <row r="23905" spans="45:45">
      <c r="AS23905" s="47"/>
    </row>
    <row r="23906" spans="45:45">
      <c r="AS23906" s="47"/>
    </row>
    <row r="23907" spans="45:45">
      <c r="AS23907" s="47"/>
    </row>
    <row r="23908" spans="45:45">
      <c r="AS23908" s="47"/>
    </row>
    <row r="23909" spans="45:45">
      <c r="AS23909" s="47"/>
    </row>
    <row r="23910" spans="45:45">
      <c r="AS23910" s="47"/>
    </row>
    <row r="23911" spans="45:45">
      <c r="AS23911" s="47"/>
    </row>
    <row r="23912" spans="45:45">
      <c r="AS23912" s="47"/>
    </row>
    <row r="23913" spans="45:45">
      <c r="AS23913" s="47"/>
    </row>
    <row r="23914" spans="45:45">
      <c r="AS23914" s="47"/>
    </row>
    <row r="23915" spans="45:45">
      <c r="AS23915" s="47"/>
    </row>
    <row r="23916" spans="45:45">
      <c r="AS23916" s="47"/>
    </row>
    <row r="23917" spans="45:45">
      <c r="AS23917" s="47"/>
    </row>
    <row r="23918" spans="45:45">
      <c r="AS23918" s="47"/>
    </row>
    <row r="23919" spans="45:45">
      <c r="AS23919" s="47"/>
    </row>
    <row r="23920" spans="45:45">
      <c r="AS23920" s="47"/>
    </row>
    <row r="23921" spans="45:45">
      <c r="AS23921" s="47"/>
    </row>
    <row r="23922" spans="45:45">
      <c r="AS23922" s="47"/>
    </row>
    <row r="23923" spans="45:45">
      <c r="AS23923" s="47"/>
    </row>
    <row r="23924" spans="45:45">
      <c r="AS23924" s="47"/>
    </row>
    <row r="23925" spans="45:45">
      <c r="AS23925" s="47"/>
    </row>
    <row r="23926" spans="45:45">
      <c r="AS23926" s="47"/>
    </row>
    <row r="23927" spans="45:45">
      <c r="AS23927" s="47"/>
    </row>
    <row r="23928" spans="45:45">
      <c r="AS23928" s="47"/>
    </row>
    <row r="23929" spans="45:45">
      <c r="AS23929" s="47"/>
    </row>
    <row r="23930" spans="45:45">
      <c r="AS23930" s="47"/>
    </row>
    <row r="23931" spans="45:45">
      <c r="AS23931" s="47"/>
    </row>
    <row r="23932" spans="45:45">
      <c r="AS23932" s="47"/>
    </row>
    <row r="23933" spans="45:45">
      <c r="AS23933" s="47"/>
    </row>
    <row r="23934" spans="45:45">
      <c r="AS23934" s="47"/>
    </row>
    <row r="23935" spans="45:45">
      <c r="AS23935" s="47"/>
    </row>
    <row r="23936" spans="45:45">
      <c r="AS23936" s="47"/>
    </row>
    <row r="23937" spans="45:45">
      <c r="AS23937" s="47"/>
    </row>
    <row r="23938" spans="45:45">
      <c r="AS23938" s="47"/>
    </row>
    <row r="23939" spans="45:45">
      <c r="AS23939" s="47"/>
    </row>
    <row r="23940" spans="45:45">
      <c r="AS23940" s="47"/>
    </row>
    <row r="23941" spans="45:45">
      <c r="AS23941" s="47"/>
    </row>
    <row r="23942" spans="45:45">
      <c r="AS23942" s="47"/>
    </row>
    <row r="23943" spans="45:45">
      <c r="AS23943" s="47"/>
    </row>
    <row r="23944" spans="45:45">
      <c r="AS23944" s="47"/>
    </row>
    <row r="23945" spans="45:45">
      <c r="AS23945" s="47"/>
    </row>
    <row r="23946" spans="45:45">
      <c r="AS23946" s="47"/>
    </row>
    <row r="23947" spans="45:45">
      <c r="AS23947" s="47"/>
    </row>
    <row r="23948" spans="45:45">
      <c r="AS23948" s="47"/>
    </row>
    <row r="23949" spans="45:45">
      <c r="AS23949" s="47"/>
    </row>
    <row r="23950" spans="45:45">
      <c r="AS23950" s="47"/>
    </row>
    <row r="23951" spans="45:45">
      <c r="AS23951" s="47"/>
    </row>
    <row r="23952" spans="45:45">
      <c r="AS23952" s="47"/>
    </row>
    <row r="23953" spans="45:45">
      <c r="AS23953" s="47"/>
    </row>
    <row r="23954" spans="45:45">
      <c r="AS23954" s="47"/>
    </row>
    <row r="23955" spans="45:45">
      <c r="AS23955" s="47"/>
    </row>
    <row r="23956" spans="45:45">
      <c r="AS23956" s="47"/>
    </row>
    <row r="23957" spans="45:45">
      <c r="AS23957" s="47"/>
    </row>
    <row r="23958" spans="45:45">
      <c r="AS23958" s="47"/>
    </row>
    <row r="23959" spans="45:45">
      <c r="AS23959" s="47"/>
    </row>
    <row r="23960" spans="45:45">
      <c r="AS23960" s="47"/>
    </row>
    <row r="23961" spans="45:45">
      <c r="AS23961" s="47"/>
    </row>
    <row r="23962" spans="45:45">
      <c r="AS23962" s="47"/>
    </row>
    <row r="23963" spans="45:45">
      <c r="AS23963" s="47"/>
    </row>
    <row r="23964" spans="45:45">
      <c r="AS23964" s="47"/>
    </row>
    <row r="23965" spans="45:45">
      <c r="AS23965" s="47"/>
    </row>
    <row r="23966" spans="45:45">
      <c r="AS23966" s="47"/>
    </row>
    <row r="23967" spans="45:45">
      <c r="AS23967" s="47"/>
    </row>
    <row r="23968" spans="45:45">
      <c r="AS23968" s="47"/>
    </row>
    <row r="23969" spans="45:45">
      <c r="AS23969" s="47"/>
    </row>
    <row r="23970" spans="45:45">
      <c r="AS23970" s="47"/>
    </row>
    <row r="23971" spans="45:45">
      <c r="AS23971" s="47"/>
    </row>
    <row r="23972" spans="45:45">
      <c r="AS23972" s="47"/>
    </row>
    <row r="23973" spans="45:45">
      <c r="AS23973" s="47"/>
    </row>
    <row r="23974" spans="45:45">
      <c r="AS23974" s="47"/>
    </row>
    <row r="23975" spans="45:45">
      <c r="AS23975" s="47"/>
    </row>
    <row r="23976" spans="45:45">
      <c r="AS23976" s="47"/>
    </row>
    <row r="23977" spans="45:45">
      <c r="AS23977" s="47"/>
    </row>
    <row r="23978" spans="45:45">
      <c r="AS23978" s="47"/>
    </row>
    <row r="23979" spans="45:45">
      <c r="AS23979" s="47"/>
    </row>
    <row r="23980" spans="45:45">
      <c r="AS23980" s="47"/>
    </row>
    <row r="23981" spans="45:45">
      <c r="AS23981" s="47"/>
    </row>
    <row r="23982" spans="45:45">
      <c r="AS23982" s="47"/>
    </row>
    <row r="23983" spans="45:45">
      <c r="AS23983" s="47"/>
    </row>
    <row r="23984" spans="45:45">
      <c r="AS23984" s="47"/>
    </row>
    <row r="23985" spans="45:45">
      <c r="AS23985" s="47"/>
    </row>
    <row r="23986" spans="45:45">
      <c r="AS23986" s="47"/>
    </row>
    <row r="23987" spans="45:45">
      <c r="AS23987" s="47"/>
    </row>
    <row r="23988" spans="45:45">
      <c r="AS23988" s="47"/>
    </row>
    <row r="23989" spans="45:45">
      <c r="AS23989" s="47"/>
    </row>
    <row r="23990" spans="45:45">
      <c r="AS23990" s="47"/>
    </row>
    <row r="23991" spans="45:45">
      <c r="AS23991" s="47"/>
    </row>
    <row r="23992" spans="45:45">
      <c r="AS23992" s="47"/>
    </row>
    <row r="23993" spans="45:45">
      <c r="AS23993" s="47"/>
    </row>
    <row r="23994" spans="45:45">
      <c r="AS23994" s="47"/>
    </row>
    <row r="23995" spans="45:45">
      <c r="AS23995" s="47"/>
    </row>
    <row r="23996" spans="45:45">
      <c r="AS23996" s="47"/>
    </row>
    <row r="23997" spans="45:45">
      <c r="AS23997" s="47"/>
    </row>
    <row r="23998" spans="45:45">
      <c r="AS23998" s="47"/>
    </row>
    <row r="23999" spans="45:45">
      <c r="AS23999" s="47"/>
    </row>
    <row r="24000" spans="45:45">
      <c r="AS24000" s="47"/>
    </row>
    <row r="24001" spans="45:45">
      <c r="AS24001" s="47"/>
    </row>
    <row r="24002" spans="45:45">
      <c r="AS24002" s="47"/>
    </row>
    <row r="24003" spans="45:45">
      <c r="AS24003" s="47"/>
    </row>
    <row r="24004" spans="45:45">
      <c r="AS24004" s="47"/>
    </row>
    <row r="24005" spans="45:45">
      <c r="AS24005" s="47"/>
    </row>
    <row r="24006" spans="45:45">
      <c r="AS24006" s="47"/>
    </row>
    <row r="24007" spans="45:45">
      <c r="AS24007" s="47"/>
    </row>
    <row r="24008" spans="45:45">
      <c r="AS24008" s="47"/>
    </row>
    <row r="24009" spans="45:45">
      <c r="AS24009" s="47"/>
    </row>
    <row r="24010" spans="45:45">
      <c r="AS24010" s="47"/>
    </row>
    <row r="24011" spans="45:45">
      <c r="AS24011" s="47"/>
    </row>
    <row r="24012" spans="45:45">
      <c r="AS24012" s="47"/>
    </row>
    <row r="24013" spans="45:45">
      <c r="AS24013" s="47"/>
    </row>
    <row r="24014" spans="45:45">
      <c r="AS24014" s="47"/>
    </row>
    <row r="24015" spans="45:45">
      <c r="AS24015" s="47"/>
    </row>
    <row r="24016" spans="45:45">
      <c r="AS24016" s="47"/>
    </row>
    <row r="24017" spans="45:45">
      <c r="AS24017" s="47"/>
    </row>
    <row r="24018" spans="45:45">
      <c r="AS24018" s="47"/>
    </row>
    <row r="24019" spans="45:45">
      <c r="AS24019" s="47"/>
    </row>
    <row r="24020" spans="45:45">
      <c r="AS24020" s="47"/>
    </row>
    <row r="24021" spans="45:45">
      <c r="AS24021" s="47"/>
    </row>
    <row r="24022" spans="45:45">
      <c r="AS24022" s="47"/>
    </row>
    <row r="24023" spans="45:45">
      <c r="AS24023" s="47"/>
    </row>
    <row r="24024" spans="45:45">
      <c r="AS24024" s="47"/>
    </row>
    <row r="24025" spans="45:45">
      <c r="AS24025" s="47"/>
    </row>
    <row r="24026" spans="45:45">
      <c r="AS24026" s="47"/>
    </row>
    <row r="24027" spans="45:45">
      <c r="AS24027" s="47"/>
    </row>
    <row r="24028" spans="45:45">
      <c r="AS24028" s="47"/>
    </row>
    <row r="24029" spans="45:45">
      <c r="AS24029" s="47"/>
    </row>
    <row r="24030" spans="45:45">
      <c r="AS24030" s="47"/>
    </row>
    <row r="24031" spans="45:45">
      <c r="AS24031" s="47"/>
    </row>
    <row r="24032" spans="45:45">
      <c r="AS24032" s="47"/>
    </row>
    <row r="24033" spans="45:45">
      <c r="AS24033" s="47"/>
    </row>
    <row r="24034" spans="45:45">
      <c r="AS24034" s="47"/>
    </row>
    <row r="24035" spans="45:45">
      <c r="AS24035" s="47"/>
    </row>
    <row r="24036" spans="45:45">
      <c r="AS24036" s="47"/>
    </row>
    <row r="24037" spans="45:45">
      <c r="AS24037" s="47"/>
    </row>
    <row r="24038" spans="45:45">
      <c r="AS24038" s="47"/>
    </row>
    <row r="24039" spans="45:45">
      <c r="AS24039" s="47"/>
    </row>
    <row r="24040" spans="45:45">
      <c r="AS24040" s="47"/>
    </row>
    <row r="24041" spans="45:45">
      <c r="AS24041" s="47"/>
    </row>
    <row r="24042" spans="45:45">
      <c r="AS24042" s="47"/>
    </row>
    <row r="24043" spans="45:45">
      <c r="AS24043" s="47"/>
    </row>
    <row r="24044" spans="45:45">
      <c r="AS24044" s="47"/>
    </row>
    <row r="24045" spans="45:45">
      <c r="AS24045" s="47"/>
    </row>
    <row r="24046" spans="45:45">
      <c r="AS24046" s="47"/>
    </row>
    <row r="24047" spans="45:45">
      <c r="AS24047" s="47"/>
    </row>
    <row r="24048" spans="45:45">
      <c r="AS24048" s="47"/>
    </row>
    <row r="24049" spans="45:45">
      <c r="AS24049" s="47"/>
    </row>
    <row r="24050" spans="45:45">
      <c r="AS24050" s="47"/>
    </row>
    <row r="24051" spans="45:45">
      <c r="AS24051" s="47"/>
    </row>
    <row r="24052" spans="45:45">
      <c r="AS24052" s="47"/>
    </row>
    <row r="24053" spans="45:45">
      <c r="AS24053" s="47"/>
    </row>
    <row r="24054" spans="45:45">
      <c r="AS24054" s="47"/>
    </row>
    <row r="24055" spans="45:45">
      <c r="AS24055" s="47"/>
    </row>
    <row r="24056" spans="45:45">
      <c r="AS24056" s="47"/>
    </row>
    <row r="24057" spans="45:45">
      <c r="AS24057" s="47"/>
    </row>
    <row r="24058" spans="45:45">
      <c r="AS24058" s="47"/>
    </row>
    <row r="24059" spans="45:45">
      <c r="AS24059" s="47"/>
    </row>
    <row r="24060" spans="45:45">
      <c r="AS24060" s="47"/>
    </row>
    <row r="24061" spans="45:45">
      <c r="AS24061" s="47"/>
    </row>
    <row r="24062" spans="45:45">
      <c r="AS24062" s="47"/>
    </row>
    <row r="24063" spans="45:45">
      <c r="AS24063" s="47"/>
    </row>
    <row r="24064" spans="45:45">
      <c r="AS24064" s="47"/>
    </row>
    <row r="24065" spans="45:45">
      <c r="AS24065" s="47"/>
    </row>
    <row r="24066" spans="45:45">
      <c r="AS24066" s="47"/>
    </row>
    <row r="24067" spans="45:45">
      <c r="AS24067" s="47"/>
    </row>
    <row r="24068" spans="45:45">
      <c r="AS24068" s="47"/>
    </row>
    <row r="24069" spans="45:45">
      <c r="AS24069" s="47"/>
    </row>
    <row r="24070" spans="45:45">
      <c r="AS24070" s="47"/>
    </row>
    <row r="24071" spans="45:45">
      <c r="AS24071" s="47"/>
    </row>
    <row r="24072" spans="45:45">
      <c r="AS24072" s="47"/>
    </row>
    <row r="24073" spans="45:45">
      <c r="AS24073" s="47"/>
    </row>
    <row r="24074" spans="45:45">
      <c r="AS24074" s="47"/>
    </row>
    <row r="24075" spans="45:45">
      <c r="AS24075" s="47"/>
    </row>
    <row r="24076" spans="45:45">
      <c r="AS24076" s="47"/>
    </row>
    <row r="24077" spans="45:45">
      <c r="AS24077" s="47"/>
    </row>
    <row r="24078" spans="45:45">
      <c r="AS24078" s="47"/>
    </row>
    <row r="24079" spans="45:45">
      <c r="AS24079" s="47"/>
    </row>
    <row r="24080" spans="45:45">
      <c r="AS24080" s="47"/>
    </row>
    <row r="24081" spans="45:45">
      <c r="AS24081" s="47"/>
    </row>
    <row r="24082" spans="45:45">
      <c r="AS24082" s="47"/>
    </row>
    <row r="24083" spans="45:45">
      <c r="AS24083" s="47"/>
    </row>
    <row r="24084" spans="45:45">
      <c r="AS24084" s="47"/>
    </row>
    <row r="24085" spans="45:45">
      <c r="AS24085" s="47"/>
    </row>
    <row r="24086" spans="45:45">
      <c r="AS24086" s="47"/>
    </row>
    <row r="24087" spans="45:45">
      <c r="AS24087" s="47"/>
    </row>
    <row r="24088" spans="45:45">
      <c r="AS24088" s="47"/>
    </row>
    <row r="24089" spans="45:45">
      <c r="AS24089" s="47"/>
    </row>
    <row r="24090" spans="45:45">
      <c r="AS24090" s="47"/>
    </row>
    <row r="24091" spans="45:45">
      <c r="AS24091" s="47"/>
    </row>
    <row r="24092" spans="45:45">
      <c r="AS24092" s="47"/>
    </row>
    <row r="24093" spans="45:45">
      <c r="AS24093" s="47"/>
    </row>
    <row r="24094" spans="45:45">
      <c r="AS24094" s="47"/>
    </row>
    <row r="24095" spans="45:45">
      <c r="AS24095" s="47"/>
    </row>
    <row r="24096" spans="45:45">
      <c r="AS24096" s="47"/>
    </row>
    <row r="24097" spans="45:45">
      <c r="AS24097" s="47"/>
    </row>
    <row r="24098" spans="45:45">
      <c r="AS24098" s="47"/>
    </row>
    <row r="24099" spans="45:45">
      <c r="AS24099" s="47"/>
    </row>
    <row r="24100" spans="45:45">
      <c r="AS24100" s="47"/>
    </row>
    <row r="24101" spans="45:45">
      <c r="AS24101" s="47"/>
    </row>
    <row r="24102" spans="45:45">
      <c r="AS24102" s="47"/>
    </row>
    <row r="24103" spans="45:45">
      <c r="AS24103" s="47"/>
    </row>
    <row r="24104" spans="45:45">
      <c r="AS24104" s="47"/>
    </row>
    <row r="24105" spans="45:45">
      <c r="AS24105" s="47"/>
    </row>
    <row r="24106" spans="45:45">
      <c r="AS24106" s="47"/>
    </row>
    <row r="24107" spans="45:45">
      <c r="AS24107" s="47"/>
    </row>
    <row r="24108" spans="45:45">
      <c r="AS24108" s="47"/>
    </row>
    <row r="24109" spans="45:45">
      <c r="AS24109" s="47"/>
    </row>
    <row r="24110" spans="45:45">
      <c r="AS24110" s="47"/>
    </row>
    <row r="24111" spans="45:45">
      <c r="AS24111" s="47"/>
    </row>
    <row r="24112" spans="45:45">
      <c r="AS24112" s="47"/>
    </row>
    <row r="24113" spans="45:45">
      <c r="AS24113" s="47"/>
    </row>
    <row r="24114" spans="45:45">
      <c r="AS24114" s="47"/>
    </row>
    <row r="24115" spans="45:45">
      <c r="AS24115" s="47"/>
    </row>
    <row r="24116" spans="45:45">
      <c r="AS24116" s="47"/>
    </row>
    <row r="24117" spans="45:45">
      <c r="AS24117" s="47"/>
    </row>
    <row r="24118" spans="45:45">
      <c r="AS24118" s="47"/>
    </row>
    <row r="24119" spans="45:45">
      <c r="AS24119" s="47"/>
    </row>
    <row r="24120" spans="45:45">
      <c r="AS24120" s="47"/>
    </row>
    <row r="24121" spans="45:45">
      <c r="AS24121" s="47"/>
    </row>
    <row r="24122" spans="45:45">
      <c r="AS24122" s="47"/>
    </row>
    <row r="24123" spans="45:45">
      <c r="AS24123" s="47"/>
    </row>
    <row r="24124" spans="45:45">
      <c r="AS24124" s="47"/>
    </row>
    <row r="24125" spans="45:45">
      <c r="AS24125" s="47"/>
    </row>
    <row r="24126" spans="45:45">
      <c r="AS24126" s="47"/>
    </row>
    <row r="24127" spans="45:45">
      <c r="AS24127" s="47"/>
    </row>
    <row r="24128" spans="45:45">
      <c r="AS24128" s="47"/>
    </row>
    <row r="24129" spans="45:45">
      <c r="AS24129" s="47"/>
    </row>
    <row r="24130" spans="45:45">
      <c r="AS24130" s="47"/>
    </row>
    <row r="24131" spans="45:45">
      <c r="AS24131" s="47"/>
    </row>
    <row r="24132" spans="45:45">
      <c r="AS24132" s="47"/>
    </row>
    <row r="24133" spans="45:45">
      <c r="AS24133" s="47"/>
    </row>
    <row r="24134" spans="45:45">
      <c r="AS24134" s="47"/>
    </row>
    <row r="24135" spans="45:45">
      <c r="AS24135" s="47"/>
    </row>
    <row r="24136" spans="45:45">
      <c r="AS24136" s="47"/>
    </row>
    <row r="24137" spans="45:45">
      <c r="AS24137" s="47"/>
    </row>
    <row r="24138" spans="45:45">
      <c r="AS24138" s="47"/>
    </row>
    <row r="24139" spans="45:45">
      <c r="AS24139" s="47"/>
    </row>
    <row r="24140" spans="45:45">
      <c r="AS24140" s="47"/>
    </row>
    <row r="24141" spans="45:45">
      <c r="AS24141" s="47"/>
    </row>
    <row r="24142" spans="45:45">
      <c r="AS24142" s="47"/>
    </row>
    <row r="24143" spans="45:45">
      <c r="AS24143" s="47"/>
    </row>
    <row r="24144" spans="45:45">
      <c r="AS24144" s="47"/>
    </row>
    <row r="24145" spans="45:45">
      <c r="AS24145" s="47"/>
    </row>
    <row r="24146" spans="45:45">
      <c r="AS24146" s="47"/>
    </row>
    <row r="24147" spans="45:45">
      <c r="AS24147" s="47"/>
    </row>
    <row r="24148" spans="45:45">
      <c r="AS24148" s="47"/>
    </row>
    <row r="24149" spans="45:45">
      <c r="AS24149" s="47"/>
    </row>
    <row r="24150" spans="45:45">
      <c r="AS24150" s="47"/>
    </row>
    <row r="24151" spans="45:45">
      <c r="AS24151" s="47"/>
    </row>
    <row r="24152" spans="45:45">
      <c r="AS24152" s="47"/>
    </row>
    <row r="24153" spans="45:45">
      <c r="AS24153" s="47"/>
    </row>
    <row r="24154" spans="45:45">
      <c r="AS24154" s="47"/>
    </row>
    <row r="24155" spans="45:45">
      <c r="AS24155" s="47"/>
    </row>
    <row r="24156" spans="45:45">
      <c r="AS24156" s="47"/>
    </row>
    <row r="24157" spans="45:45">
      <c r="AS24157" s="47"/>
    </row>
    <row r="24158" spans="45:45">
      <c r="AS24158" s="47"/>
    </row>
    <row r="24159" spans="45:45">
      <c r="AS24159" s="47"/>
    </row>
    <row r="24160" spans="45:45">
      <c r="AS24160" s="47"/>
    </row>
    <row r="24161" spans="45:45">
      <c r="AS24161" s="47"/>
    </row>
    <row r="24162" spans="45:45">
      <c r="AS24162" s="47"/>
    </row>
    <row r="24163" spans="45:45">
      <c r="AS24163" s="47"/>
    </row>
    <row r="24164" spans="45:45">
      <c r="AS24164" s="47"/>
    </row>
    <row r="24165" spans="45:45">
      <c r="AS24165" s="47"/>
    </row>
    <row r="24166" spans="45:45">
      <c r="AS24166" s="47"/>
    </row>
    <row r="24167" spans="45:45">
      <c r="AS24167" s="47"/>
    </row>
    <row r="24168" spans="45:45">
      <c r="AS24168" s="47"/>
    </row>
    <row r="24169" spans="45:45">
      <c r="AS24169" s="47"/>
    </row>
    <row r="24170" spans="45:45">
      <c r="AS24170" s="47"/>
    </row>
    <row r="24171" spans="45:45">
      <c r="AS24171" s="47"/>
    </row>
    <row r="24172" spans="45:45">
      <c r="AS24172" s="47"/>
    </row>
    <row r="24173" spans="45:45">
      <c r="AS24173" s="47"/>
    </row>
    <row r="24174" spans="45:45">
      <c r="AS24174" s="47"/>
    </row>
    <row r="24175" spans="45:45">
      <c r="AS24175" s="47"/>
    </row>
    <row r="24176" spans="45:45">
      <c r="AS24176" s="47"/>
    </row>
    <row r="24177" spans="45:45">
      <c r="AS24177" s="47"/>
    </row>
    <row r="24178" spans="45:45">
      <c r="AS24178" s="47"/>
    </row>
    <row r="24179" spans="45:45">
      <c r="AS24179" s="47"/>
    </row>
    <row r="24180" spans="45:45">
      <c r="AS24180" s="47"/>
    </row>
    <row r="24181" spans="45:45">
      <c r="AS24181" s="47"/>
    </row>
    <row r="24182" spans="45:45">
      <c r="AS24182" s="47"/>
    </row>
    <row r="24183" spans="45:45">
      <c r="AS24183" s="47"/>
    </row>
    <row r="24184" spans="45:45">
      <c r="AS24184" s="47"/>
    </row>
    <row r="24185" spans="45:45">
      <c r="AS24185" s="47"/>
    </row>
    <row r="24186" spans="45:45">
      <c r="AS24186" s="47"/>
    </row>
    <row r="24187" spans="45:45">
      <c r="AS24187" s="47"/>
    </row>
    <row r="24188" spans="45:45">
      <c r="AS24188" s="47"/>
    </row>
    <row r="24189" spans="45:45">
      <c r="AS24189" s="47"/>
    </row>
    <row r="24190" spans="45:45">
      <c r="AS24190" s="47"/>
    </row>
    <row r="24191" spans="45:45">
      <c r="AS24191" s="47"/>
    </row>
    <row r="24192" spans="45:45">
      <c r="AS24192" s="47"/>
    </row>
    <row r="24193" spans="45:45">
      <c r="AS24193" s="47"/>
    </row>
    <row r="24194" spans="45:45">
      <c r="AS24194" s="47"/>
    </row>
    <row r="24195" spans="45:45">
      <c r="AS24195" s="47"/>
    </row>
    <row r="24196" spans="45:45">
      <c r="AS24196" s="47"/>
    </row>
    <row r="24197" spans="45:45">
      <c r="AS24197" s="47"/>
    </row>
    <row r="24198" spans="45:45">
      <c r="AS24198" s="47"/>
    </row>
    <row r="24199" spans="45:45">
      <c r="AS24199" s="47"/>
    </row>
    <row r="24200" spans="45:45">
      <c r="AS24200" s="47"/>
    </row>
    <row r="24201" spans="45:45">
      <c r="AS24201" s="47"/>
    </row>
    <row r="24202" spans="45:45">
      <c r="AS24202" s="47"/>
    </row>
    <row r="24203" spans="45:45">
      <c r="AS24203" s="47"/>
    </row>
    <row r="24204" spans="45:45">
      <c r="AS24204" s="47"/>
    </row>
    <row r="24205" spans="45:45">
      <c r="AS24205" s="47"/>
    </row>
    <row r="24206" spans="45:45">
      <c r="AS24206" s="47"/>
    </row>
    <row r="24207" spans="45:45">
      <c r="AS24207" s="47"/>
    </row>
    <row r="24208" spans="45:45">
      <c r="AS24208" s="47"/>
    </row>
    <row r="24209" spans="45:45">
      <c r="AS24209" s="47"/>
    </row>
    <row r="24210" spans="45:45">
      <c r="AS24210" s="47"/>
    </row>
    <row r="24211" spans="45:45">
      <c r="AS24211" s="47"/>
    </row>
    <row r="24212" spans="45:45">
      <c r="AS24212" s="47"/>
    </row>
    <row r="24213" spans="45:45">
      <c r="AS24213" s="47"/>
    </row>
    <row r="24214" spans="45:45">
      <c r="AS24214" s="47"/>
    </row>
    <row r="24215" spans="45:45">
      <c r="AS24215" s="47"/>
    </row>
    <row r="24216" spans="45:45">
      <c r="AS24216" s="47"/>
    </row>
    <row r="24217" spans="45:45">
      <c r="AS24217" s="47"/>
    </row>
    <row r="24218" spans="45:45">
      <c r="AS24218" s="47"/>
    </row>
    <row r="24219" spans="45:45">
      <c r="AS24219" s="47"/>
    </row>
    <row r="24220" spans="45:45">
      <c r="AS24220" s="47"/>
    </row>
    <row r="24221" spans="45:45">
      <c r="AS24221" s="47"/>
    </row>
    <row r="24222" spans="45:45">
      <c r="AS24222" s="47"/>
    </row>
    <row r="24223" spans="45:45">
      <c r="AS24223" s="47"/>
    </row>
    <row r="24224" spans="45:45">
      <c r="AS24224" s="47"/>
    </row>
    <row r="24225" spans="45:45">
      <c r="AS24225" s="47"/>
    </row>
    <row r="24226" spans="45:45">
      <c r="AS24226" s="47"/>
    </row>
    <row r="24227" spans="45:45">
      <c r="AS24227" s="47"/>
    </row>
    <row r="24228" spans="45:45">
      <c r="AS24228" s="47"/>
    </row>
    <row r="24229" spans="45:45">
      <c r="AS24229" s="47"/>
    </row>
    <row r="24230" spans="45:45">
      <c r="AS24230" s="47"/>
    </row>
    <row r="24231" spans="45:45">
      <c r="AS24231" s="47"/>
    </row>
    <row r="24232" spans="45:45">
      <c r="AS24232" s="47"/>
    </row>
    <row r="24233" spans="45:45">
      <c r="AS24233" s="47"/>
    </row>
    <row r="24234" spans="45:45">
      <c r="AS24234" s="47"/>
    </row>
    <row r="24235" spans="45:45">
      <c r="AS24235" s="47"/>
    </row>
    <row r="24236" spans="45:45">
      <c r="AS24236" s="47"/>
    </row>
    <row r="24237" spans="45:45">
      <c r="AS24237" s="47"/>
    </row>
    <row r="24238" spans="45:45">
      <c r="AS24238" s="47"/>
    </row>
    <row r="24239" spans="45:45">
      <c r="AS24239" s="47"/>
    </row>
    <row r="24240" spans="45:45">
      <c r="AS24240" s="47"/>
    </row>
    <row r="24241" spans="45:45">
      <c r="AS24241" s="47"/>
    </row>
    <row r="24242" spans="45:45">
      <c r="AS24242" s="47"/>
    </row>
    <row r="24243" spans="45:45">
      <c r="AS24243" s="47"/>
    </row>
    <row r="24244" spans="45:45">
      <c r="AS24244" s="47"/>
    </row>
    <row r="24245" spans="45:45">
      <c r="AS24245" s="47"/>
    </row>
    <row r="24246" spans="45:45">
      <c r="AS24246" s="47"/>
    </row>
    <row r="24247" spans="45:45">
      <c r="AS24247" s="47"/>
    </row>
    <row r="24248" spans="45:45">
      <c r="AS24248" s="47"/>
    </row>
    <row r="24249" spans="45:45">
      <c r="AS24249" s="47"/>
    </row>
    <row r="24250" spans="45:45">
      <c r="AS24250" s="47"/>
    </row>
    <row r="24251" spans="45:45">
      <c r="AS24251" s="47"/>
    </row>
    <row r="24252" spans="45:45">
      <c r="AS24252" s="47"/>
    </row>
    <row r="24253" spans="45:45">
      <c r="AS24253" s="47"/>
    </row>
    <row r="24254" spans="45:45">
      <c r="AS24254" s="47"/>
    </row>
    <row r="24255" spans="45:45">
      <c r="AS24255" s="47"/>
    </row>
    <row r="24256" spans="45:45">
      <c r="AS24256" s="47"/>
    </row>
    <row r="24257" spans="45:45">
      <c r="AS24257" s="47"/>
    </row>
    <row r="24258" spans="45:45">
      <c r="AS24258" s="47"/>
    </row>
    <row r="24259" spans="45:45">
      <c r="AS24259" s="47"/>
    </row>
    <row r="24260" spans="45:45">
      <c r="AS24260" s="47"/>
    </row>
    <row r="24261" spans="45:45">
      <c r="AS24261" s="47"/>
    </row>
    <row r="24262" spans="45:45">
      <c r="AS24262" s="47"/>
    </row>
    <row r="24263" spans="45:45">
      <c r="AS24263" s="47"/>
    </row>
    <row r="24264" spans="45:45">
      <c r="AS24264" s="47"/>
    </row>
    <row r="24265" spans="45:45">
      <c r="AS24265" s="47"/>
    </row>
    <row r="24266" spans="45:45">
      <c r="AS24266" s="47"/>
    </row>
    <row r="24267" spans="45:45">
      <c r="AS24267" s="47"/>
    </row>
    <row r="24268" spans="45:45">
      <c r="AS24268" s="47"/>
    </row>
    <row r="24269" spans="45:45">
      <c r="AS24269" s="47"/>
    </row>
    <row r="24270" spans="45:45">
      <c r="AS24270" s="47"/>
    </row>
    <row r="24271" spans="45:45">
      <c r="AS24271" s="47"/>
    </row>
    <row r="24272" spans="45:45">
      <c r="AS24272" s="47"/>
    </row>
    <row r="24273" spans="45:45">
      <c r="AS24273" s="47"/>
    </row>
    <row r="24274" spans="45:45">
      <c r="AS24274" s="47"/>
    </row>
    <row r="24275" spans="45:45">
      <c r="AS24275" s="47"/>
    </row>
    <row r="24276" spans="45:45">
      <c r="AS24276" s="47"/>
    </row>
    <row r="24277" spans="45:45">
      <c r="AS24277" s="47"/>
    </row>
    <row r="24278" spans="45:45">
      <c r="AS24278" s="47"/>
    </row>
    <row r="24279" spans="45:45">
      <c r="AS24279" s="47"/>
    </row>
    <row r="24280" spans="45:45">
      <c r="AS24280" s="47"/>
    </row>
    <row r="24281" spans="45:45">
      <c r="AS24281" s="47"/>
    </row>
    <row r="24282" spans="45:45">
      <c r="AS24282" s="47"/>
    </row>
    <row r="24283" spans="45:45">
      <c r="AS24283" s="47"/>
    </row>
    <row r="24284" spans="45:45">
      <c r="AS24284" s="47"/>
    </row>
    <row r="24285" spans="45:45">
      <c r="AS24285" s="47"/>
    </row>
    <row r="24286" spans="45:45">
      <c r="AS24286" s="47"/>
    </row>
    <row r="24287" spans="45:45">
      <c r="AS24287" s="47"/>
    </row>
    <row r="24288" spans="45:45">
      <c r="AS24288" s="47"/>
    </row>
    <row r="24289" spans="45:45">
      <c r="AS24289" s="47"/>
    </row>
    <row r="24290" spans="45:45">
      <c r="AS24290" s="47"/>
    </row>
    <row r="24291" spans="45:45">
      <c r="AS24291" s="47"/>
    </row>
    <row r="24292" spans="45:45">
      <c r="AS24292" s="47"/>
    </row>
    <row r="24293" spans="45:45">
      <c r="AS24293" s="47"/>
    </row>
    <row r="24294" spans="45:45">
      <c r="AS24294" s="47"/>
    </row>
    <row r="24295" spans="45:45">
      <c r="AS24295" s="47"/>
    </row>
    <row r="24296" spans="45:45">
      <c r="AS24296" s="47"/>
    </row>
    <row r="24297" spans="45:45">
      <c r="AS24297" s="47"/>
    </row>
    <row r="24298" spans="45:45">
      <c r="AS24298" s="47"/>
    </row>
    <row r="24299" spans="45:45">
      <c r="AS24299" s="47"/>
    </row>
    <row r="24300" spans="45:45">
      <c r="AS24300" s="47"/>
    </row>
    <row r="24301" spans="45:45">
      <c r="AS24301" s="47"/>
    </row>
    <row r="24302" spans="45:45">
      <c r="AS24302" s="47"/>
    </row>
    <row r="24303" spans="45:45">
      <c r="AS24303" s="47"/>
    </row>
    <row r="24304" spans="45:45">
      <c r="AS24304" s="47"/>
    </row>
    <row r="24305" spans="45:45">
      <c r="AS24305" s="47"/>
    </row>
    <row r="24306" spans="45:45">
      <c r="AS24306" s="47"/>
    </row>
    <row r="24307" spans="45:45">
      <c r="AS24307" s="47"/>
    </row>
    <row r="24308" spans="45:45">
      <c r="AS24308" s="47"/>
    </row>
    <row r="24309" spans="45:45">
      <c r="AS24309" s="47"/>
    </row>
    <row r="24310" spans="45:45">
      <c r="AS24310" s="47"/>
    </row>
    <row r="24311" spans="45:45">
      <c r="AS24311" s="47"/>
    </row>
    <row r="24312" spans="45:45">
      <c r="AS24312" s="47"/>
    </row>
    <row r="24313" spans="45:45">
      <c r="AS24313" s="47"/>
    </row>
    <row r="24314" spans="45:45">
      <c r="AS24314" s="47"/>
    </row>
    <row r="24315" spans="45:45">
      <c r="AS24315" s="47"/>
    </row>
    <row r="24316" spans="45:45">
      <c r="AS24316" s="47"/>
    </row>
    <row r="24317" spans="45:45">
      <c r="AS24317" s="47"/>
    </row>
    <row r="24318" spans="45:45">
      <c r="AS24318" s="47"/>
    </row>
    <row r="24319" spans="45:45">
      <c r="AS24319" s="47"/>
    </row>
    <row r="24320" spans="45:45">
      <c r="AS24320" s="47"/>
    </row>
    <row r="24321" spans="45:45">
      <c r="AS24321" s="47"/>
    </row>
    <row r="24322" spans="45:45">
      <c r="AS24322" s="47"/>
    </row>
    <row r="24323" spans="45:45">
      <c r="AS24323" s="47"/>
    </row>
    <row r="24324" spans="45:45">
      <c r="AS24324" s="47"/>
    </row>
    <row r="24325" spans="45:45">
      <c r="AS24325" s="47"/>
    </row>
    <row r="24326" spans="45:45">
      <c r="AS24326" s="47"/>
    </row>
    <row r="24327" spans="45:45">
      <c r="AS24327" s="47"/>
    </row>
    <row r="24328" spans="45:45">
      <c r="AS24328" s="47"/>
    </row>
    <row r="24329" spans="45:45">
      <c r="AS24329" s="47"/>
    </row>
    <row r="24330" spans="45:45">
      <c r="AS24330" s="47"/>
    </row>
    <row r="24331" spans="45:45">
      <c r="AS24331" s="47"/>
    </row>
    <row r="24332" spans="45:45">
      <c r="AS24332" s="47"/>
    </row>
    <row r="24333" spans="45:45">
      <c r="AS24333" s="47"/>
    </row>
    <row r="24334" spans="45:45">
      <c r="AS24334" s="47"/>
    </row>
    <row r="24335" spans="45:45">
      <c r="AS24335" s="47"/>
    </row>
    <row r="24336" spans="45:45">
      <c r="AS24336" s="47"/>
    </row>
    <row r="24337" spans="45:45">
      <c r="AS24337" s="47"/>
    </row>
    <row r="24338" spans="45:45">
      <c r="AS24338" s="47"/>
    </row>
    <row r="24339" spans="45:45">
      <c r="AS24339" s="47"/>
    </row>
    <row r="24340" spans="45:45">
      <c r="AS24340" s="47"/>
    </row>
    <row r="24341" spans="45:45">
      <c r="AS24341" s="47"/>
    </row>
    <row r="24342" spans="45:45">
      <c r="AS24342" s="47"/>
    </row>
    <row r="24343" spans="45:45">
      <c r="AS24343" s="47"/>
    </row>
    <row r="24344" spans="45:45">
      <c r="AS24344" s="47"/>
    </row>
    <row r="24345" spans="45:45">
      <c r="AS24345" s="47"/>
    </row>
    <row r="24346" spans="45:45">
      <c r="AS24346" s="47"/>
    </row>
    <row r="24347" spans="45:45">
      <c r="AS24347" s="47"/>
    </row>
    <row r="24348" spans="45:45">
      <c r="AS24348" s="47"/>
    </row>
    <row r="24349" spans="45:45">
      <c r="AS24349" s="47"/>
    </row>
    <row r="24350" spans="45:45">
      <c r="AS24350" s="47"/>
    </row>
    <row r="24351" spans="45:45">
      <c r="AS24351" s="47"/>
    </row>
    <row r="24352" spans="45:45">
      <c r="AS24352" s="47"/>
    </row>
    <row r="24353" spans="45:45">
      <c r="AS24353" s="47"/>
    </row>
    <row r="24354" spans="45:45">
      <c r="AS24354" s="47"/>
    </row>
    <row r="24355" spans="45:45">
      <c r="AS24355" s="47"/>
    </row>
    <row r="24356" spans="45:45">
      <c r="AS24356" s="47"/>
    </row>
    <row r="24357" spans="45:45">
      <c r="AS24357" s="47"/>
    </row>
    <row r="24358" spans="45:45">
      <c r="AS24358" s="47"/>
    </row>
    <row r="24359" spans="45:45">
      <c r="AS24359" s="47"/>
    </row>
    <row r="24360" spans="45:45">
      <c r="AS24360" s="47"/>
    </row>
    <row r="24361" spans="45:45">
      <c r="AS24361" s="47"/>
    </row>
    <row r="24362" spans="45:45">
      <c r="AS24362" s="47"/>
    </row>
    <row r="24363" spans="45:45">
      <c r="AS24363" s="47"/>
    </row>
    <row r="24364" spans="45:45">
      <c r="AS24364" s="47"/>
    </row>
    <row r="24365" spans="45:45">
      <c r="AS24365" s="47"/>
    </row>
    <row r="24366" spans="45:45">
      <c r="AS24366" s="47"/>
    </row>
    <row r="24367" spans="45:45">
      <c r="AS24367" s="47"/>
    </row>
    <row r="24368" spans="45:45">
      <c r="AS24368" s="47"/>
    </row>
    <row r="24369" spans="45:45">
      <c r="AS24369" s="47"/>
    </row>
    <row r="24370" spans="45:45">
      <c r="AS24370" s="47"/>
    </row>
    <row r="24371" spans="45:45">
      <c r="AS24371" s="47"/>
    </row>
    <row r="24372" spans="45:45">
      <c r="AS24372" s="47"/>
    </row>
    <row r="24373" spans="45:45">
      <c r="AS24373" s="47"/>
    </row>
    <row r="24374" spans="45:45">
      <c r="AS24374" s="47"/>
    </row>
    <row r="24375" spans="45:45">
      <c r="AS24375" s="47"/>
    </row>
    <row r="24376" spans="45:45">
      <c r="AS24376" s="47"/>
    </row>
    <row r="24377" spans="45:45">
      <c r="AS24377" s="47"/>
    </row>
    <row r="24378" spans="45:45">
      <c r="AS24378" s="47"/>
    </row>
    <row r="24379" spans="45:45">
      <c r="AS24379" s="47"/>
    </row>
    <row r="24380" spans="45:45">
      <c r="AS24380" s="47"/>
    </row>
    <row r="24381" spans="45:45">
      <c r="AS24381" s="47"/>
    </row>
    <row r="24382" spans="45:45">
      <c r="AS24382" s="47"/>
    </row>
    <row r="24383" spans="45:45">
      <c r="AS24383" s="47"/>
    </row>
    <row r="24384" spans="45:45">
      <c r="AS24384" s="47"/>
    </row>
    <row r="24385" spans="45:45">
      <c r="AS24385" s="47"/>
    </row>
    <row r="24386" spans="45:45">
      <c r="AS24386" s="47"/>
    </row>
    <row r="24387" spans="45:45">
      <c r="AS24387" s="47"/>
    </row>
    <row r="24388" spans="45:45">
      <c r="AS24388" s="47"/>
    </row>
    <row r="24389" spans="45:45">
      <c r="AS24389" s="47"/>
    </row>
    <row r="24390" spans="45:45">
      <c r="AS24390" s="47"/>
    </row>
    <row r="24391" spans="45:45">
      <c r="AS24391" s="47"/>
    </row>
    <row r="24392" spans="45:45">
      <c r="AS24392" s="47"/>
    </row>
    <row r="24393" spans="45:45">
      <c r="AS24393" s="47"/>
    </row>
    <row r="24394" spans="45:45">
      <c r="AS24394" s="47"/>
    </row>
    <row r="24395" spans="45:45">
      <c r="AS24395" s="47"/>
    </row>
    <row r="24396" spans="45:45">
      <c r="AS24396" s="47"/>
    </row>
    <row r="24397" spans="45:45">
      <c r="AS24397" s="47"/>
    </row>
    <row r="24398" spans="45:45">
      <c r="AS24398" s="47"/>
    </row>
    <row r="24399" spans="45:45">
      <c r="AS24399" s="47"/>
    </row>
    <row r="24400" spans="45:45">
      <c r="AS24400" s="47"/>
    </row>
    <row r="24401" spans="45:45">
      <c r="AS24401" s="47"/>
    </row>
    <row r="24402" spans="45:45">
      <c r="AS24402" s="47"/>
    </row>
    <row r="24403" spans="45:45">
      <c r="AS24403" s="47"/>
    </row>
    <row r="24404" spans="45:45">
      <c r="AS24404" s="47"/>
    </row>
    <row r="24405" spans="45:45">
      <c r="AS24405" s="47"/>
    </row>
    <row r="24406" spans="45:45">
      <c r="AS24406" s="47"/>
    </row>
    <row r="24407" spans="45:45">
      <c r="AS24407" s="47"/>
    </row>
    <row r="24408" spans="45:45">
      <c r="AS24408" s="47"/>
    </row>
    <row r="24409" spans="45:45">
      <c r="AS24409" s="47"/>
    </row>
    <row r="24410" spans="45:45">
      <c r="AS24410" s="47"/>
    </row>
    <row r="24411" spans="45:45">
      <c r="AS24411" s="47"/>
    </row>
    <row r="24412" spans="45:45">
      <c r="AS24412" s="47"/>
    </row>
    <row r="24413" spans="45:45">
      <c r="AS24413" s="47"/>
    </row>
    <row r="24414" spans="45:45">
      <c r="AS24414" s="47"/>
    </row>
    <row r="24415" spans="45:45">
      <c r="AS24415" s="47"/>
    </row>
    <row r="24416" spans="45:45">
      <c r="AS24416" s="47"/>
    </row>
    <row r="24417" spans="45:45">
      <c r="AS24417" s="47"/>
    </row>
    <row r="24418" spans="45:45">
      <c r="AS24418" s="47"/>
    </row>
    <row r="24419" spans="45:45">
      <c r="AS24419" s="47"/>
    </row>
    <row r="24420" spans="45:45">
      <c r="AS24420" s="47"/>
    </row>
    <row r="24421" spans="45:45">
      <c r="AS24421" s="47"/>
    </row>
    <row r="24422" spans="45:45">
      <c r="AS24422" s="47"/>
    </row>
    <row r="24423" spans="45:45">
      <c r="AS24423" s="47"/>
    </row>
    <row r="24424" spans="45:45">
      <c r="AS24424" s="47"/>
    </row>
    <row r="24425" spans="45:45">
      <c r="AS24425" s="47"/>
    </row>
    <row r="24426" spans="45:45">
      <c r="AS24426" s="47"/>
    </row>
    <row r="24427" spans="45:45">
      <c r="AS24427" s="47"/>
    </row>
    <row r="24428" spans="45:45">
      <c r="AS24428" s="47"/>
    </row>
    <row r="24429" spans="45:45">
      <c r="AS24429" s="47"/>
    </row>
    <row r="24430" spans="45:45">
      <c r="AS24430" s="47"/>
    </row>
    <row r="24431" spans="45:45">
      <c r="AS24431" s="47"/>
    </row>
    <row r="24432" spans="45:45">
      <c r="AS24432" s="47"/>
    </row>
    <row r="24433" spans="45:45">
      <c r="AS24433" s="47"/>
    </row>
    <row r="24434" spans="45:45">
      <c r="AS24434" s="47"/>
    </row>
    <row r="24435" spans="45:45">
      <c r="AS24435" s="47"/>
    </row>
    <row r="24436" spans="45:45">
      <c r="AS24436" s="47"/>
    </row>
    <row r="24437" spans="45:45">
      <c r="AS24437" s="47"/>
    </row>
    <row r="24438" spans="45:45">
      <c r="AS24438" s="47"/>
    </row>
    <row r="24439" spans="45:45">
      <c r="AS24439" s="47"/>
    </row>
    <row r="24440" spans="45:45">
      <c r="AS24440" s="47"/>
    </row>
    <row r="24441" spans="45:45">
      <c r="AS24441" s="47"/>
    </row>
    <row r="24442" spans="45:45">
      <c r="AS24442" s="47"/>
    </row>
    <row r="24443" spans="45:45">
      <c r="AS24443" s="47"/>
    </row>
    <row r="24444" spans="45:45">
      <c r="AS24444" s="47"/>
    </row>
    <row r="24445" spans="45:45">
      <c r="AS24445" s="47"/>
    </row>
    <row r="24446" spans="45:45">
      <c r="AS24446" s="47"/>
    </row>
    <row r="24447" spans="45:45">
      <c r="AS24447" s="47"/>
    </row>
    <row r="24448" spans="45:45">
      <c r="AS24448" s="47"/>
    </row>
    <row r="24449" spans="45:45">
      <c r="AS24449" s="47"/>
    </row>
    <row r="24450" spans="45:45">
      <c r="AS24450" s="47"/>
    </row>
    <row r="24451" spans="45:45">
      <c r="AS24451" s="47"/>
    </row>
    <row r="24452" spans="45:45">
      <c r="AS24452" s="47"/>
    </row>
    <row r="24453" spans="45:45">
      <c r="AS24453" s="47"/>
    </row>
    <row r="24454" spans="45:45">
      <c r="AS24454" s="47"/>
    </row>
    <row r="24455" spans="45:45">
      <c r="AS24455" s="47"/>
    </row>
    <row r="24456" spans="45:45">
      <c r="AS24456" s="47"/>
    </row>
    <row r="24457" spans="45:45">
      <c r="AS24457" s="47"/>
    </row>
    <row r="24458" spans="45:45">
      <c r="AS24458" s="47"/>
    </row>
    <row r="24459" spans="45:45">
      <c r="AS24459" s="47"/>
    </row>
    <row r="24460" spans="45:45">
      <c r="AS24460" s="47"/>
    </row>
    <row r="24461" spans="45:45">
      <c r="AS24461" s="47"/>
    </row>
    <row r="24462" spans="45:45">
      <c r="AS24462" s="47"/>
    </row>
    <row r="24463" spans="45:45">
      <c r="AS24463" s="47"/>
    </row>
    <row r="24464" spans="45:45">
      <c r="AS24464" s="47"/>
    </row>
    <row r="24465" spans="45:45">
      <c r="AS24465" s="47"/>
    </row>
    <row r="24466" spans="45:45">
      <c r="AS24466" s="47"/>
    </row>
    <row r="24467" spans="45:45">
      <c r="AS24467" s="47"/>
    </row>
    <row r="24468" spans="45:45">
      <c r="AS24468" s="47"/>
    </row>
    <row r="24469" spans="45:45">
      <c r="AS24469" s="47"/>
    </row>
    <row r="24470" spans="45:45">
      <c r="AS24470" s="47"/>
    </row>
    <row r="24471" spans="45:45">
      <c r="AS24471" s="47"/>
    </row>
    <row r="24472" spans="45:45">
      <c r="AS24472" s="47"/>
    </row>
    <row r="24473" spans="45:45">
      <c r="AS24473" s="47"/>
    </row>
    <row r="24474" spans="45:45">
      <c r="AS24474" s="47"/>
    </row>
    <row r="24475" spans="45:45">
      <c r="AS24475" s="47"/>
    </row>
    <row r="24476" spans="45:45">
      <c r="AS24476" s="47"/>
    </row>
    <row r="24477" spans="45:45">
      <c r="AS24477" s="47"/>
    </row>
    <row r="24478" spans="45:45">
      <c r="AS24478" s="47"/>
    </row>
    <row r="24479" spans="45:45">
      <c r="AS24479" s="47"/>
    </row>
    <row r="24480" spans="45:45">
      <c r="AS24480" s="47"/>
    </row>
    <row r="24481" spans="45:45">
      <c r="AS24481" s="47"/>
    </row>
    <row r="24482" spans="45:45">
      <c r="AS24482" s="47"/>
    </row>
    <row r="24483" spans="45:45">
      <c r="AS24483" s="47"/>
    </row>
    <row r="24484" spans="45:45">
      <c r="AS24484" s="47"/>
    </row>
    <row r="24485" spans="45:45">
      <c r="AS24485" s="47"/>
    </row>
    <row r="24486" spans="45:45">
      <c r="AS24486" s="47"/>
    </row>
    <row r="24487" spans="45:45">
      <c r="AS24487" s="47"/>
    </row>
    <row r="24488" spans="45:45">
      <c r="AS24488" s="47"/>
    </row>
    <row r="24489" spans="45:45">
      <c r="AS24489" s="47"/>
    </row>
    <row r="24490" spans="45:45">
      <c r="AS24490" s="47"/>
    </row>
    <row r="24491" spans="45:45">
      <c r="AS24491" s="47"/>
    </row>
    <row r="24492" spans="45:45">
      <c r="AS24492" s="47"/>
    </row>
    <row r="24493" spans="45:45">
      <c r="AS24493" s="47"/>
    </row>
    <row r="24494" spans="45:45">
      <c r="AS24494" s="47"/>
    </row>
    <row r="24495" spans="45:45">
      <c r="AS24495" s="47"/>
    </row>
    <row r="24496" spans="45:45">
      <c r="AS24496" s="47"/>
    </row>
    <row r="24497" spans="45:45">
      <c r="AS24497" s="47"/>
    </row>
    <row r="24498" spans="45:45">
      <c r="AS24498" s="47"/>
    </row>
    <row r="24499" spans="45:45">
      <c r="AS24499" s="47"/>
    </row>
    <row r="24500" spans="45:45">
      <c r="AS24500" s="47"/>
    </row>
    <row r="24501" spans="45:45">
      <c r="AS24501" s="47"/>
    </row>
    <row r="24502" spans="45:45">
      <c r="AS24502" s="47"/>
    </row>
    <row r="24503" spans="45:45">
      <c r="AS24503" s="47"/>
    </row>
    <row r="24504" spans="45:45">
      <c r="AS24504" s="47"/>
    </row>
    <row r="24505" spans="45:45">
      <c r="AS24505" s="47"/>
    </row>
    <row r="24506" spans="45:45">
      <c r="AS24506" s="47"/>
    </row>
    <row r="24507" spans="45:45">
      <c r="AS24507" s="47"/>
    </row>
    <row r="24508" spans="45:45">
      <c r="AS24508" s="47"/>
    </row>
    <row r="24509" spans="45:45">
      <c r="AS24509" s="47"/>
    </row>
    <row r="24510" spans="45:45">
      <c r="AS24510" s="47"/>
    </row>
    <row r="24511" spans="45:45">
      <c r="AS24511" s="47"/>
    </row>
    <row r="24512" spans="45:45">
      <c r="AS24512" s="47"/>
    </row>
    <row r="24513" spans="45:45">
      <c r="AS24513" s="47"/>
    </row>
    <row r="24514" spans="45:45">
      <c r="AS24514" s="47"/>
    </row>
    <row r="24515" spans="45:45">
      <c r="AS24515" s="47"/>
    </row>
    <row r="24516" spans="45:45">
      <c r="AS24516" s="47"/>
    </row>
    <row r="24517" spans="45:45">
      <c r="AS24517" s="47"/>
    </row>
    <row r="24518" spans="45:45">
      <c r="AS24518" s="47"/>
    </row>
    <row r="24519" spans="45:45">
      <c r="AS24519" s="47"/>
    </row>
    <row r="24520" spans="45:45">
      <c r="AS24520" s="47"/>
    </row>
    <row r="24521" spans="45:45">
      <c r="AS24521" s="47"/>
    </row>
    <row r="24522" spans="45:45">
      <c r="AS24522" s="47"/>
    </row>
    <row r="24523" spans="45:45">
      <c r="AS24523" s="47"/>
    </row>
    <row r="24524" spans="45:45">
      <c r="AS24524" s="47"/>
    </row>
    <row r="24525" spans="45:45">
      <c r="AS24525" s="47"/>
    </row>
    <row r="24526" spans="45:45">
      <c r="AS24526" s="47"/>
    </row>
    <row r="24527" spans="45:45">
      <c r="AS24527" s="47"/>
    </row>
    <row r="24528" spans="45:45">
      <c r="AS24528" s="47"/>
    </row>
    <row r="24529" spans="45:45">
      <c r="AS24529" s="47"/>
    </row>
    <row r="24530" spans="45:45">
      <c r="AS24530" s="47"/>
    </row>
    <row r="24531" spans="45:45">
      <c r="AS24531" s="47"/>
    </row>
    <row r="24532" spans="45:45">
      <c r="AS24532" s="47"/>
    </row>
    <row r="24533" spans="45:45">
      <c r="AS24533" s="47"/>
    </row>
    <row r="24534" spans="45:45">
      <c r="AS24534" s="47"/>
    </row>
    <row r="24535" spans="45:45">
      <c r="AS24535" s="47"/>
    </row>
    <row r="24536" spans="45:45">
      <c r="AS24536" s="47"/>
    </row>
    <row r="24537" spans="45:45">
      <c r="AS24537" s="47"/>
    </row>
    <row r="24538" spans="45:45">
      <c r="AS24538" s="47"/>
    </row>
    <row r="24539" spans="45:45">
      <c r="AS24539" s="47"/>
    </row>
    <row r="24540" spans="45:45">
      <c r="AS24540" s="47"/>
    </row>
    <row r="24541" spans="45:45">
      <c r="AS24541" s="47"/>
    </row>
    <row r="24542" spans="45:45">
      <c r="AS24542" s="47"/>
    </row>
    <row r="24543" spans="45:45">
      <c r="AS24543" s="47"/>
    </row>
    <row r="24544" spans="45:45">
      <c r="AS24544" s="47"/>
    </row>
    <row r="24545" spans="45:45">
      <c r="AS24545" s="47"/>
    </row>
    <row r="24546" spans="45:45">
      <c r="AS24546" s="47"/>
    </row>
    <row r="24547" spans="45:45">
      <c r="AS24547" s="47"/>
    </row>
    <row r="24548" spans="45:45">
      <c r="AS24548" s="47"/>
    </row>
    <row r="24549" spans="45:45">
      <c r="AS24549" s="47"/>
    </row>
    <row r="24550" spans="45:45">
      <c r="AS24550" s="47"/>
    </row>
    <row r="24551" spans="45:45">
      <c r="AS24551" s="47"/>
    </row>
    <row r="24552" spans="45:45">
      <c r="AS24552" s="47"/>
    </row>
    <row r="24553" spans="45:45">
      <c r="AS24553" s="47"/>
    </row>
    <row r="24554" spans="45:45">
      <c r="AS24554" s="47"/>
    </row>
    <row r="24555" spans="45:45">
      <c r="AS24555" s="47"/>
    </row>
    <row r="24556" spans="45:45">
      <c r="AS24556" s="47"/>
    </row>
    <row r="24557" spans="45:45">
      <c r="AS24557" s="47"/>
    </row>
    <row r="24558" spans="45:45">
      <c r="AS24558" s="47"/>
    </row>
    <row r="24559" spans="45:45">
      <c r="AS24559" s="47"/>
    </row>
    <row r="24560" spans="45:45">
      <c r="AS24560" s="47"/>
    </row>
    <row r="24561" spans="45:45">
      <c r="AS24561" s="47"/>
    </row>
    <row r="24562" spans="45:45">
      <c r="AS24562" s="47"/>
    </row>
    <row r="24563" spans="45:45">
      <c r="AS24563" s="47"/>
    </row>
    <row r="24564" spans="45:45">
      <c r="AS24564" s="47"/>
    </row>
    <row r="24565" spans="45:45">
      <c r="AS24565" s="47"/>
    </row>
    <row r="24566" spans="45:45">
      <c r="AS24566" s="47"/>
    </row>
    <row r="24567" spans="45:45">
      <c r="AS24567" s="47"/>
    </row>
    <row r="24568" spans="45:45">
      <c r="AS24568" s="47"/>
    </row>
    <row r="24569" spans="45:45">
      <c r="AS24569" s="47"/>
    </row>
    <row r="24570" spans="45:45">
      <c r="AS24570" s="47"/>
    </row>
    <row r="24571" spans="45:45">
      <c r="AS24571" s="47"/>
    </row>
    <row r="24572" spans="45:45">
      <c r="AS24572" s="47"/>
    </row>
    <row r="24573" spans="45:45">
      <c r="AS24573" s="47"/>
    </row>
    <row r="24574" spans="45:45">
      <c r="AS24574" s="47"/>
    </row>
    <row r="24575" spans="45:45">
      <c r="AS24575" s="47"/>
    </row>
    <row r="24576" spans="45:45">
      <c r="AS24576" s="47"/>
    </row>
    <row r="24577" spans="45:45">
      <c r="AS24577" s="47"/>
    </row>
    <row r="24578" spans="45:45">
      <c r="AS24578" s="47"/>
    </row>
    <row r="24579" spans="45:45">
      <c r="AS24579" s="47"/>
    </row>
    <row r="24580" spans="45:45">
      <c r="AS24580" s="47"/>
    </row>
    <row r="24581" spans="45:45">
      <c r="AS24581" s="47"/>
    </row>
    <row r="24582" spans="45:45">
      <c r="AS24582" s="47"/>
    </row>
    <row r="24583" spans="45:45">
      <c r="AS24583" s="47"/>
    </row>
    <row r="24584" spans="45:45">
      <c r="AS24584" s="47"/>
    </row>
    <row r="24585" spans="45:45">
      <c r="AS24585" s="47"/>
    </row>
    <row r="24586" spans="45:45">
      <c r="AS24586" s="47"/>
    </row>
    <row r="24587" spans="45:45">
      <c r="AS24587" s="47"/>
    </row>
    <row r="24588" spans="45:45">
      <c r="AS24588" s="47"/>
    </row>
    <row r="24589" spans="45:45">
      <c r="AS24589" s="47"/>
    </row>
    <row r="24590" spans="45:45">
      <c r="AS24590" s="47"/>
    </row>
    <row r="24591" spans="45:45">
      <c r="AS24591" s="47"/>
    </row>
    <row r="24592" spans="45:45">
      <c r="AS24592" s="47"/>
    </row>
    <row r="24593" spans="45:45">
      <c r="AS24593" s="47"/>
    </row>
    <row r="24594" spans="45:45">
      <c r="AS24594" s="47"/>
    </row>
    <row r="24595" spans="45:45">
      <c r="AS24595" s="47"/>
    </row>
    <row r="24596" spans="45:45">
      <c r="AS24596" s="47"/>
    </row>
    <row r="24597" spans="45:45">
      <c r="AS24597" s="47"/>
    </row>
    <row r="24598" spans="45:45">
      <c r="AS24598" s="47"/>
    </row>
    <row r="24599" spans="45:45">
      <c r="AS24599" s="47"/>
    </row>
    <row r="24600" spans="45:45">
      <c r="AS24600" s="47"/>
    </row>
    <row r="24601" spans="45:45">
      <c r="AS24601" s="47"/>
    </row>
    <row r="24602" spans="45:45">
      <c r="AS24602" s="47"/>
    </row>
    <row r="24603" spans="45:45">
      <c r="AS24603" s="47"/>
    </row>
    <row r="24604" spans="45:45">
      <c r="AS24604" s="47"/>
    </row>
    <row r="24605" spans="45:45">
      <c r="AS24605" s="47"/>
    </row>
    <row r="24606" spans="45:45">
      <c r="AS24606" s="47"/>
    </row>
    <row r="24607" spans="45:45">
      <c r="AS24607" s="47"/>
    </row>
    <row r="24608" spans="45:45">
      <c r="AS24608" s="47"/>
    </row>
    <row r="24609" spans="45:45">
      <c r="AS24609" s="47"/>
    </row>
    <row r="24610" spans="45:45">
      <c r="AS24610" s="47"/>
    </row>
    <row r="24611" spans="45:45">
      <c r="AS24611" s="47"/>
    </row>
    <row r="24612" spans="45:45">
      <c r="AS24612" s="47"/>
    </row>
    <row r="24613" spans="45:45">
      <c r="AS24613" s="47"/>
    </row>
    <row r="24614" spans="45:45">
      <c r="AS24614" s="47"/>
    </row>
    <row r="24615" spans="45:45">
      <c r="AS24615" s="47"/>
    </row>
    <row r="24616" spans="45:45">
      <c r="AS24616" s="47"/>
    </row>
    <row r="24617" spans="45:45">
      <c r="AS24617" s="47"/>
    </row>
    <row r="24618" spans="45:45">
      <c r="AS24618" s="47"/>
    </row>
    <row r="24619" spans="45:45">
      <c r="AS24619" s="47"/>
    </row>
    <row r="24620" spans="45:45">
      <c r="AS24620" s="47"/>
    </row>
    <row r="24621" spans="45:45">
      <c r="AS24621" s="47"/>
    </row>
    <row r="24622" spans="45:45">
      <c r="AS24622" s="47"/>
    </row>
    <row r="24623" spans="45:45">
      <c r="AS24623" s="47"/>
    </row>
    <row r="24624" spans="45:45">
      <c r="AS24624" s="47"/>
    </row>
    <row r="24625" spans="45:45">
      <c r="AS24625" s="47"/>
    </row>
    <row r="24626" spans="45:45">
      <c r="AS24626" s="47"/>
    </row>
    <row r="24627" spans="45:45">
      <c r="AS24627" s="47"/>
    </row>
    <row r="24628" spans="45:45">
      <c r="AS24628" s="47"/>
    </row>
    <row r="24629" spans="45:45">
      <c r="AS24629" s="47"/>
    </row>
    <row r="24630" spans="45:45">
      <c r="AS24630" s="47"/>
    </row>
    <row r="24631" spans="45:45">
      <c r="AS24631" s="47"/>
    </row>
    <row r="24632" spans="45:45">
      <c r="AS24632" s="47"/>
    </row>
    <row r="24633" spans="45:45">
      <c r="AS24633" s="47"/>
    </row>
    <row r="24634" spans="45:45">
      <c r="AS24634" s="47"/>
    </row>
    <row r="24635" spans="45:45">
      <c r="AS24635" s="47"/>
    </row>
    <row r="24636" spans="45:45">
      <c r="AS24636" s="47"/>
    </row>
    <row r="24637" spans="45:45">
      <c r="AS24637" s="47"/>
    </row>
    <row r="24638" spans="45:45">
      <c r="AS24638" s="47"/>
    </row>
    <row r="24639" spans="45:45">
      <c r="AS24639" s="47"/>
    </row>
    <row r="24640" spans="45:45">
      <c r="AS24640" s="47"/>
    </row>
    <row r="24641" spans="45:45">
      <c r="AS24641" s="47"/>
    </row>
    <row r="24642" spans="45:45">
      <c r="AS24642" s="47"/>
    </row>
    <row r="24643" spans="45:45">
      <c r="AS24643" s="47"/>
    </row>
    <row r="24644" spans="45:45">
      <c r="AS24644" s="47"/>
    </row>
    <row r="24645" spans="45:45">
      <c r="AS24645" s="47"/>
    </row>
    <row r="24646" spans="45:45">
      <c r="AS24646" s="47"/>
    </row>
    <row r="24647" spans="45:45">
      <c r="AS24647" s="47"/>
    </row>
    <row r="24648" spans="45:45">
      <c r="AS24648" s="47"/>
    </row>
    <row r="24649" spans="45:45">
      <c r="AS24649" s="47"/>
    </row>
    <row r="24650" spans="45:45">
      <c r="AS24650" s="47"/>
    </row>
    <row r="24651" spans="45:45">
      <c r="AS24651" s="47"/>
    </row>
    <row r="24652" spans="45:45">
      <c r="AS24652" s="47"/>
    </row>
    <row r="24653" spans="45:45">
      <c r="AS24653" s="47"/>
    </row>
    <row r="24654" spans="45:45">
      <c r="AS24654" s="47"/>
    </row>
    <row r="24655" spans="45:45">
      <c r="AS24655" s="47"/>
    </row>
    <row r="24656" spans="45:45">
      <c r="AS24656" s="47"/>
    </row>
    <row r="24657" spans="45:45">
      <c r="AS24657" s="47"/>
    </row>
    <row r="24658" spans="45:45">
      <c r="AS24658" s="47"/>
    </row>
    <row r="24659" spans="45:45">
      <c r="AS24659" s="47"/>
    </row>
    <row r="24660" spans="45:45">
      <c r="AS24660" s="47"/>
    </row>
    <row r="24661" spans="45:45">
      <c r="AS24661" s="47"/>
    </row>
    <row r="24662" spans="45:45">
      <c r="AS24662" s="47"/>
    </row>
    <row r="24663" spans="45:45">
      <c r="AS24663" s="47"/>
    </row>
    <row r="24664" spans="45:45">
      <c r="AS24664" s="47"/>
    </row>
    <row r="24665" spans="45:45">
      <c r="AS24665" s="47"/>
    </row>
    <row r="24666" spans="45:45">
      <c r="AS24666" s="47"/>
    </row>
    <row r="24667" spans="45:45">
      <c r="AS24667" s="47"/>
    </row>
    <row r="24668" spans="45:45">
      <c r="AS24668" s="47"/>
    </row>
    <row r="24669" spans="45:45">
      <c r="AS24669" s="47"/>
    </row>
    <row r="24670" spans="45:45">
      <c r="AS24670" s="47"/>
    </row>
    <row r="24671" spans="45:45">
      <c r="AS24671" s="47"/>
    </row>
    <row r="24672" spans="45:45">
      <c r="AS24672" s="47"/>
    </row>
    <row r="24673" spans="45:45">
      <c r="AS24673" s="47"/>
    </row>
    <row r="24674" spans="45:45">
      <c r="AS24674" s="47"/>
    </row>
    <row r="24675" spans="45:45">
      <c r="AS24675" s="47"/>
    </row>
    <row r="24676" spans="45:45">
      <c r="AS24676" s="47"/>
    </row>
    <row r="24677" spans="45:45">
      <c r="AS24677" s="47"/>
    </row>
    <row r="24678" spans="45:45">
      <c r="AS24678" s="47"/>
    </row>
    <row r="24679" spans="45:45">
      <c r="AS24679" s="47"/>
    </row>
    <row r="24680" spans="45:45">
      <c r="AS24680" s="47"/>
    </row>
    <row r="24681" spans="45:45">
      <c r="AS24681" s="47"/>
    </row>
    <row r="24682" spans="45:45">
      <c r="AS24682" s="47"/>
    </row>
    <row r="24683" spans="45:45">
      <c r="AS24683" s="47"/>
    </row>
    <row r="24684" spans="45:45">
      <c r="AS24684" s="47"/>
    </row>
    <row r="24685" spans="45:45">
      <c r="AS24685" s="47"/>
    </row>
    <row r="24686" spans="45:45">
      <c r="AS24686" s="47"/>
    </row>
    <row r="24687" spans="45:45">
      <c r="AS24687" s="47"/>
    </row>
    <row r="24688" spans="45:45">
      <c r="AS24688" s="47"/>
    </row>
    <row r="24689" spans="45:45">
      <c r="AS24689" s="47"/>
    </row>
    <row r="24690" spans="45:45">
      <c r="AS24690" s="47"/>
    </row>
    <row r="24691" spans="45:45">
      <c r="AS24691" s="47"/>
    </row>
    <row r="24692" spans="45:45">
      <c r="AS24692" s="47"/>
    </row>
    <row r="24693" spans="45:45">
      <c r="AS24693" s="47"/>
    </row>
    <row r="24694" spans="45:45">
      <c r="AS24694" s="47"/>
    </row>
    <row r="24695" spans="45:45">
      <c r="AS24695" s="47"/>
    </row>
    <row r="24696" spans="45:45">
      <c r="AS24696" s="47"/>
    </row>
    <row r="24697" spans="45:45">
      <c r="AS24697" s="47"/>
    </row>
    <row r="24698" spans="45:45">
      <c r="AS24698" s="47"/>
    </row>
    <row r="24699" spans="45:45">
      <c r="AS24699" s="47"/>
    </row>
    <row r="24700" spans="45:45">
      <c r="AS24700" s="47"/>
    </row>
    <row r="24701" spans="45:45">
      <c r="AS24701" s="47"/>
    </row>
    <row r="24702" spans="45:45">
      <c r="AS24702" s="47"/>
    </row>
    <row r="24703" spans="45:45">
      <c r="AS24703" s="47"/>
    </row>
    <row r="24704" spans="45:45">
      <c r="AS24704" s="47"/>
    </row>
    <row r="24705" spans="45:45">
      <c r="AS24705" s="47"/>
    </row>
    <row r="24706" spans="45:45">
      <c r="AS24706" s="47"/>
    </row>
    <row r="24707" spans="45:45">
      <c r="AS24707" s="47"/>
    </row>
    <row r="24708" spans="45:45">
      <c r="AS24708" s="47"/>
    </row>
    <row r="24709" spans="45:45">
      <c r="AS24709" s="47"/>
    </row>
    <row r="24710" spans="45:45">
      <c r="AS24710" s="47"/>
    </row>
    <row r="24711" spans="45:45">
      <c r="AS24711" s="47"/>
    </row>
    <row r="24712" spans="45:45">
      <c r="AS24712" s="47"/>
    </row>
    <row r="24713" spans="45:45">
      <c r="AS24713" s="47"/>
    </row>
    <row r="24714" spans="45:45">
      <c r="AS24714" s="47"/>
    </row>
    <row r="24715" spans="45:45">
      <c r="AS24715" s="47"/>
    </row>
    <row r="24716" spans="45:45">
      <c r="AS24716" s="47"/>
    </row>
    <row r="24717" spans="45:45">
      <c r="AS24717" s="47"/>
    </row>
    <row r="24718" spans="45:45">
      <c r="AS24718" s="47"/>
    </row>
    <row r="24719" spans="45:45">
      <c r="AS24719" s="47"/>
    </row>
    <row r="24720" spans="45:45">
      <c r="AS24720" s="47"/>
    </row>
    <row r="24721" spans="45:45">
      <c r="AS24721" s="47"/>
    </row>
    <row r="24722" spans="45:45">
      <c r="AS24722" s="47"/>
    </row>
    <row r="24723" spans="45:45">
      <c r="AS24723" s="47"/>
    </row>
    <row r="24724" spans="45:45">
      <c r="AS24724" s="47"/>
    </row>
    <row r="24725" spans="45:45">
      <c r="AS24725" s="47"/>
    </row>
    <row r="24726" spans="45:45">
      <c r="AS24726" s="47"/>
    </row>
    <row r="24727" spans="45:45">
      <c r="AS24727" s="47"/>
    </row>
    <row r="24728" spans="45:45">
      <c r="AS24728" s="47"/>
    </row>
    <row r="24729" spans="45:45">
      <c r="AS24729" s="47"/>
    </row>
    <row r="24730" spans="45:45">
      <c r="AS24730" s="47"/>
    </row>
    <row r="24731" spans="45:45">
      <c r="AS24731" s="47"/>
    </row>
    <row r="24732" spans="45:45">
      <c r="AS24732" s="47"/>
    </row>
    <row r="24733" spans="45:45">
      <c r="AS24733" s="47"/>
    </row>
    <row r="24734" spans="45:45">
      <c r="AS24734" s="47"/>
    </row>
    <row r="24735" spans="45:45">
      <c r="AS24735" s="47"/>
    </row>
    <row r="24736" spans="45:45">
      <c r="AS24736" s="47"/>
    </row>
    <row r="24737" spans="45:45">
      <c r="AS24737" s="47"/>
    </row>
    <row r="24738" spans="45:45">
      <c r="AS24738" s="47"/>
    </row>
    <row r="24739" spans="45:45">
      <c r="AS24739" s="47"/>
    </row>
    <row r="24740" spans="45:45">
      <c r="AS24740" s="47"/>
    </row>
    <row r="24741" spans="45:45">
      <c r="AS24741" s="47"/>
    </row>
    <row r="24742" spans="45:45">
      <c r="AS24742" s="47"/>
    </row>
    <row r="24743" spans="45:45">
      <c r="AS24743" s="47"/>
    </row>
    <row r="24744" spans="45:45">
      <c r="AS24744" s="47"/>
    </row>
    <row r="24745" spans="45:45">
      <c r="AS24745" s="47"/>
    </row>
    <row r="24746" spans="45:45">
      <c r="AS24746" s="47"/>
    </row>
    <row r="24747" spans="45:45">
      <c r="AS24747" s="47"/>
    </row>
    <row r="24748" spans="45:45">
      <c r="AS24748" s="47"/>
    </row>
    <row r="24749" spans="45:45">
      <c r="AS24749" s="47"/>
    </row>
    <row r="24750" spans="45:45">
      <c r="AS24750" s="47"/>
    </row>
    <row r="24751" spans="45:45">
      <c r="AS24751" s="47"/>
    </row>
    <row r="24752" spans="45:45">
      <c r="AS24752" s="47"/>
    </row>
    <row r="24753" spans="45:45">
      <c r="AS24753" s="47"/>
    </row>
    <row r="24754" spans="45:45">
      <c r="AS24754" s="47"/>
    </row>
    <row r="24755" spans="45:45">
      <c r="AS24755" s="47"/>
    </row>
    <row r="24756" spans="45:45">
      <c r="AS24756" s="47"/>
    </row>
    <row r="24757" spans="45:45">
      <c r="AS24757" s="47"/>
    </row>
    <row r="24758" spans="45:45">
      <c r="AS24758" s="47"/>
    </row>
    <row r="24759" spans="45:45">
      <c r="AS24759" s="47"/>
    </row>
    <row r="24760" spans="45:45">
      <c r="AS24760" s="47"/>
    </row>
    <row r="24761" spans="45:45">
      <c r="AS24761" s="47"/>
    </row>
    <row r="24762" spans="45:45">
      <c r="AS24762" s="47"/>
    </row>
    <row r="24763" spans="45:45">
      <c r="AS24763" s="47"/>
    </row>
    <row r="24764" spans="45:45">
      <c r="AS24764" s="47"/>
    </row>
    <row r="24765" spans="45:45">
      <c r="AS24765" s="47"/>
    </row>
    <row r="24766" spans="45:45">
      <c r="AS24766" s="47"/>
    </row>
    <row r="24767" spans="45:45">
      <c r="AS24767" s="47"/>
    </row>
    <row r="24768" spans="45:45">
      <c r="AS24768" s="47"/>
    </row>
    <row r="24769" spans="45:45">
      <c r="AS24769" s="47"/>
    </row>
    <row r="24770" spans="45:45">
      <c r="AS24770" s="47"/>
    </row>
    <row r="24771" spans="45:45">
      <c r="AS24771" s="47"/>
    </row>
    <row r="24772" spans="45:45">
      <c r="AS24772" s="47"/>
    </row>
    <row r="24773" spans="45:45">
      <c r="AS24773" s="47"/>
    </row>
    <row r="24774" spans="45:45">
      <c r="AS24774" s="47"/>
    </row>
    <row r="24775" spans="45:45">
      <c r="AS24775" s="47"/>
    </row>
    <row r="24776" spans="45:45">
      <c r="AS24776" s="47"/>
    </row>
    <row r="24777" spans="45:45">
      <c r="AS24777" s="47"/>
    </row>
    <row r="24778" spans="45:45">
      <c r="AS24778" s="47"/>
    </row>
    <row r="24779" spans="45:45">
      <c r="AS24779" s="47"/>
    </row>
    <row r="24780" spans="45:45">
      <c r="AS24780" s="47"/>
    </row>
    <row r="24781" spans="45:45">
      <c r="AS24781" s="47"/>
    </row>
    <row r="24782" spans="45:45">
      <c r="AS24782" s="47"/>
    </row>
    <row r="24783" spans="45:45">
      <c r="AS24783" s="47"/>
    </row>
    <row r="24784" spans="45:45">
      <c r="AS24784" s="47"/>
    </row>
    <row r="24785" spans="45:45">
      <c r="AS24785" s="47"/>
    </row>
    <row r="24786" spans="45:45">
      <c r="AS24786" s="47"/>
    </row>
    <row r="24787" spans="45:45">
      <c r="AS24787" s="47"/>
    </row>
    <row r="24788" spans="45:45">
      <c r="AS24788" s="47"/>
    </row>
    <row r="24789" spans="45:45">
      <c r="AS24789" s="47"/>
    </row>
    <row r="24790" spans="45:45">
      <c r="AS24790" s="47"/>
    </row>
    <row r="24791" spans="45:45">
      <c r="AS24791" s="47"/>
    </row>
    <row r="24792" spans="45:45">
      <c r="AS24792" s="47"/>
    </row>
    <row r="24793" spans="45:45">
      <c r="AS24793" s="47"/>
    </row>
    <row r="24794" spans="45:45">
      <c r="AS24794" s="47"/>
    </row>
    <row r="24795" spans="45:45">
      <c r="AS24795" s="47"/>
    </row>
    <row r="24796" spans="45:45">
      <c r="AS24796" s="47"/>
    </row>
    <row r="24797" spans="45:45">
      <c r="AS24797" s="47"/>
    </row>
    <row r="24798" spans="45:45">
      <c r="AS24798" s="47"/>
    </row>
    <row r="24799" spans="45:45">
      <c r="AS24799" s="47"/>
    </row>
    <row r="24800" spans="45:45">
      <c r="AS24800" s="47"/>
    </row>
    <row r="24801" spans="45:45">
      <c r="AS24801" s="47"/>
    </row>
    <row r="24802" spans="45:45">
      <c r="AS24802" s="47"/>
    </row>
    <row r="24803" spans="45:45">
      <c r="AS24803" s="47"/>
    </row>
    <row r="24804" spans="45:45">
      <c r="AS24804" s="47"/>
    </row>
    <row r="24805" spans="45:45">
      <c r="AS24805" s="47"/>
    </row>
    <row r="24806" spans="45:45">
      <c r="AS24806" s="47"/>
    </row>
    <row r="24807" spans="45:45">
      <c r="AS24807" s="47"/>
    </row>
    <row r="24808" spans="45:45">
      <c r="AS24808" s="47"/>
    </row>
    <row r="24809" spans="45:45">
      <c r="AS24809" s="47"/>
    </row>
    <row r="24810" spans="45:45">
      <c r="AS24810" s="47"/>
    </row>
    <row r="24811" spans="45:45">
      <c r="AS24811" s="47"/>
    </row>
    <row r="24812" spans="45:45">
      <c r="AS24812" s="47"/>
    </row>
    <row r="24813" spans="45:45">
      <c r="AS24813" s="47"/>
    </row>
    <row r="24814" spans="45:45">
      <c r="AS24814" s="47"/>
    </row>
    <row r="24815" spans="45:45">
      <c r="AS24815" s="47"/>
    </row>
    <row r="24816" spans="45:45">
      <c r="AS24816" s="47"/>
    </row>
    <row r="24817" spans="45:45">
      <c r="AS24817" s="47"/>
    </row>
    <row r="24818" spans="45:45">
      <c r="AS24818" s="47"/>
    </row>
    <row r="24819" spans="45:45">
      <c r="AS24819" s="47"/>
    </row>
    <row r="24820" spans="45:45">
      <c r="AS24820" s="47"/>
    </row>
    <row r="24821" spans="45:45">
      <c r="AS24821" s="47"/>
    </row>
    <row r="24822" spans="45:45">
      <c r="AS24822" s="47"/>
    </row>
    <row r="24823" spans="45:45">
      <c r="AS24823" s="47"/>
    </row>
    <row r="24824" spans="45:45">
      <c r="AS24824" s="47"/>
    </row>
    <row r="24825" spans="45:45">
      <c r="AS24825" s="47"/>
    </row>
    <row r="24826" spans="45:45">
      <c r="AS24826" s="47"/>
    </row>
    <row r="24827" spans="45:45">
      <c r="AS24827" s="47"/>
    </row>
    <row r="24828" spans="45:45">
      <c r="AS24828" s="47"/>
    </row>
    <row r="24829" spans="45:45">
      <c r="AS24829" s="47"/>
    </row>
    <row r="24830" spans="45:45">
      <c r="AS24830" s="47"/>
    </row>
    <row r="24831" spans="45:45">
      <c r="AS24831" s="47"/>
    </row>
    <row r="24832" spans="45:45">
      <c r="AS24832" s="47"/>
    </row>
    <row r="24833" spans="45:45">
      <c r="AS24833" s="47"/>
    </row>
    <row r="24834" spans="45:45">
      <c r="AS24834" s="47"/>
    </row>
    <row r="24835" spans="45:45">
      <c r="AS24835" s="47"/>
    </row>
    <row r="24836" spans="45:45">
      <c r="AS24836" s="47"/>
    </row>
    <row r="24837" spans="45:45">
      <c r="AS24837" s="47"/>
    </row>
    <row r="24838" spans="45:45">
      <c r="AS24838" s="47"/>
    </row>
    <row r="24839" spans="45:45">
      <c r="AS24839" s="47"/>
    </row>
    <row r="24840" spans="45:45">
      <c r="AS24840" s="47"/>
    </row>
    <row r="24841" spans="45:45">
      <c r="AS24841" s="47"/>
    </row>
    <row r="24842" spans="45:45">
      <c r="AS24842" s="47"/>
    </row>
    <row r="24843" spans="45:45">
      <c r="AS24843" s="47"/>
    </row>
    <row r="24844" spans="45:45">
      <c r="AS24844" s="47"/>
    </row>
    <row r="24845" spans="45:45">
      <c r="AS24845" s="47"/>
    </row>
    <row r="24846" spans="45:45">
      <c r="AS24846" s="47"/>
    </row>
    <row r="24847" spans="45:45">
      <c r="AS24847" s="47"/>
    </row>
    <row r="24848" spans="45:45">
      <c r="AS24848" s="47"/>
    </row>
    <row r="24849" spans="45:45">
      <c r="AS24849" s="47"/>
    </row>
    <row r="24850" spans="45:45">
      <c r="AS24850" s="47"/>
    </row>
    <row r="24851" spans="45:45">
      <c r="AS24851" s="47"/>
    </row>
    <row r="24852" spans="45:45">
      <c r="AS24852" s="47"/>
    </row>
    <row r="24853" spans="45:45">
      <c r="AS24853" s="47"/>
    </row>
    <row r="24854" spans="45:45">
      <c r="AS24854" s="47"/>
    </row>
    <row r="24855" spans="45:45">
      <c r="AS24855" s="47"/>
    </row>
    <row r="24856" spans="45:45">
      <c r="AS24856" s="47"/>
    </row>
    <row r="24857" spans="45:45">
      <c r="AS24857" s="47"/>
    </row>
    <row r="24858" spans="45:45">
      <c r="AS24858" s="47"/>
    </row>
    <row r="24859" spans="45:45">
      <c r="AS24859" s="47"/>
    </row>
    <row r="24860" spans="45:45">
      <c r="AS24860" s="47"/>
    </row>
    <row r="24861" spans="45:45">
      <c r="AS24861" s="47"/>
    </row>
    <row r="24862" spans="45:45">
      <c r="AS24862" s="47"/>
    </row>
    <row r="24863" spans="45:45">
      <c r="AS24863" s="47"/>
    </row>
    <row r="24864" spans="45:45">
      <c r="AS24864" s="47"/>
    </row>
    <row r="24865" spans="45:45">
      <c r="AS24865" s="47"/>
    </row>
    <row r="24866" spans="45:45">
      <c r="AS24866" s="47"/>
    </row>
    <row r="24867" spans="45:45">
      <c r="AS24867" s="47"/>
    </row>
    <row r="24868" spans="45:45">
      <c r="AS24868" s="47"/>
    </row>
    <row r="24869" spans="45:45">
      <c r="AS24869" s="47"/>
    </row>
    <row r="24870" spans="45:45">
      <c r="AS24870" s="47"/>
    </row>
    <row r="24871" spans="45:45">
      <c r="AS24871" s="47"/>
    </row>
    <row r="24872" spans="45:45">
      <c r="AS24872" s="47"/>
    </row>
    <row r="24873" spans="45:45">
      <c r="AS24873" s="47"/>
    </row>
    <row r="24874" spans="45:45">
      <c r="AS24874" s="47"/>
    </row>
    <row r="24875" spans="45:45">
      <c r="AS24875" s="47"/>
    </row>
    <row r="24876" spans="45:45">
      <c r="AS24876" s="47"/>
    </row>
    <row r="24877" spans="45:45">
      <c r="AS24877" s="47"/>
    </row>
    <row r="24878" spans="45:45">
      <c r="AS24878" s="47"/>
    </row>
    <row r="24879" spans="45:45">
      <c r="AS24879" s="47"/>
    </row>
    <row r="24880" spans="45:45">
      <c r="AS24880" s="47"/>
    </row>
    <row r="24881" spans="45:45">
      <c r="AS24881" s="47"/>
    </row>
    <row r="24882" spans="45:45">
      <c r="AS24882" s="47"/>
    </row>
    <row r="24883" spans="45:45">
      <c r="AS24883" s="47"/>
    </row>
    <row r="24884" spans="45:45">
      <c r="AS24884" s="47"/>
    </row>
    <row r="24885" spans="45:45">
      <c r="AS24885" s="47"/>
    </row>
    <row r="24886" spans="45:45">
      <c r="AS24886" s="47"/>
    </row>
    <row r="24887" spans="45:45">
      <c r="AS24887" s="47"/>
    </row>
    <row r="24888" spans="45:45">
      <c r="AS24888" s="47"/>
    </row>
    <row r="24889" spans="45:45">
      <c r="AS24889" s="47"/>
    </row>
    <row r="24890" spans="45:45">
      <c r="AS24890" s="47"/>
    </row>
    <row r="24891" spans="45:45">
      <c r="AS24891" s="47"/>
    </row>
    <row r="24892" spans="45:45">
      <c r="AS24892" s="47"/>
    </row>
    <row r="24893" spans="45:45">
      <c r="AS24893" s="47"/>
    </row>
    <row r="24894" spans="45:45">
      <c r="AS24894" s="47"/>
    </row>
    <row r="24895" spans="45:45">
      <c r="AS24895" s="47"/>
    </row>
    <row r="24896" spans="45:45">
      <c r="AS24896" s="47"/>
    </row>
    <row r="24897" spans="45:45">
      <c r="AS24897" s="47"/>
    </row>
    <row r="24898" spans="45:45">
      <c r="AS24898" s="47"/>
    </row>
    <row r="24899" spans="45:45">
      <c r="AS24899" s="47"/>
    </row>
    <row r="24900" spans="45:45">
      <c r="AS24900" s="47"/>
    </row>
    <row r="24901" spans="45:45">
      <c r="AS24901" s="47"/>
    </row>
    <row r="24902" spans="45:45">
      <c r="AS24902" s="47"/>
    </row>
    <row r="24903" spans="45:45">
      <c r="AS24903" s="47"/>
    </row>
    <row r="24904" spans="45:45">
      <c r="AS24904" s="47"/>
    </row>
    <row r="24905" spans="45:45">
      <c r="AS24905" s="47"/>
    </row>
    <row r="24906" spans="45:45">
      <c r="AS24906" s="47"/>
    </row>
    <row r="24907" spans="45:45">
      <c r="AS24907" s="47"/>
    </row>
    <row r="24908" spans="45:45">
      <c r="AS24908" s="47"/>
    </row>
    <row r="24909" spans="45:45">
      <c r="AS24909" s="47"/>
    </row>
    <row r="24910" spans="45:45">
      <c r="AS24910" s="47"/>
    </row>
    <row r="24911" spans="45:45">
      <c r="AS24911" s="47"/>
    </row>
    <row r="24912" spans="45:45">
      <c r="AS24912" s="47"/>
    </row>
    <row r="24913" spans="45:45">
      <c r="AS24913" s="47"/>
    </row>
    <row r="24914" spans="45:45">
      <c r="AS24914" s="47"/>
    </row>
    <row r="24915" spans="45:45">
      <c r="AS24915" s="47"/>
    </row>
    <row r="24916" spans="45:45">
      <c r="AS24916" s="47"/>
    </row>
    <row r="24917" spans="45:45">
      <c r="AS24917" s="47"/>
    </row>
    <row r="24918" spans="45:45">
      <c r="AS24918" s="47"/>
    </row>
    <row r="24919" spans="45:45">
      <c r="AS24919" s="47"/>
    </row>
    <row r="24920" spans="45:45">
      <c r="AS24920" s="47"/>
    </row>
    <row r="24921" spans="45:45">
      <c r="AS24921" s="47"/>
    </row>
    <row r="24922" spans="45:45">
      <c r="AS24922" s="47"/>
    </row>
    <row r="24923" spans="45:45">
      <c r="AS24923" s="47"/>
    </row>
    <row r="24924" spans="45:45">
      <c r="AS24924" s="47"/>
    </row>
    <row r="24925" spans="45:45">
      <c r="AS24925" s="47"/>
    </row>
    <row r="24926" spans="45:45">
      <c r="AS24926" s="47"/>
    </row>
    <row r="24927" spans="45:45">
      <c r="AS24927" s="47"/>
    </row>
    <row r="24928" spans="45:45">
      <c r="AS24928" s="47"/>
    </row>
    <row r="24929" spans="45:45">
      <c r="AS24929" s="47"/>
    </row>
    <row r="24930" spans="45:45">
      <c r="AS24930" s="47"/>
    </row>
    <row r="24931" spans="45:45">
      <c r="AS24931" s="47"/>
    </row>
    <row r="24932" spans="45:45">
      <c r="AS24932" s="47"/>
    </row>
    <row r="24933" spans="45:45">
      <c r="AS24933" s="47"/>
    </row>
    <row r="24934" spans="45:45">
      <c r="AS24934" s="47"/>
    </row>
    <row r="24935" spans="45:45">
      <c r="AS24935" s="47"/>
    </row>
    <row r="24936" spans="45:45">
      <c r="AS24936" s="47"/>
    </row>
    <row r="24937" spans="45:45">
      <c r="AS24937" s="47"/>
    </row>
    <row r="24938" spans="45:45">
      <c r="AS24938" s="47"/>
    </row>
    <row r="24939" spans="45:45">
      <c r="AS24939" s="47"/>
    </row>
    <row r="24940" spans="45:45">
      <c r="AS24940" s="47"/>
    </row>
    <row r="24941" spans="45:45">
      <c r="AS24941" s="47"/>
    </row>
    <row r="24942" spans="45:45">
      <c r="AS24942" s="47"/>
    </row>
    <row r="24943" spans="45:45">
      <c r="AS24943" s="47"/>
    </row>
    <row r="24944" spans="45:45">
      <c r="AS24944" s="47"/>
    </row>
    <row r="24945" spans="45:45">
      <c r="AS24945" s="47"/>
    </row>
    <row r="24946" spans="45:45">
      <c r="AS24946" s="47"/>
    </row>
    <row r="24947" spans="45:45">
      <c r="AS24947" s="47"/>
    </row>
    <row r="24948" spans="45:45">
      <c r="AS24948" s="47"/>
    </row>
    <row r="24949" spans="45:45">
      <c r="AS24949" s="47"/>
    </row>
    <row r="24950" spans="45:45">
      <c r="AS24950" s="47"/>
    </row>
    <row r="24951" spans="45:45">
      <c r="AS24951" s="47"/>
    </row>
    <row r="24952" spans="45:45">
      <c r="AS24952" s="47"/>
    </row>
    <row r="24953" spans="45:45">
      <c r="AS24953" s="47"/>
    </row>
    <row r="24954" spans="45:45">
      <c r="AS24954" s="47"/>
    </row>
    <row r="24955" spans="45:45">
      <c r="AS24955" s="47"/>
    </row>
    <row r="24956" spans="45:45">
      <c r="AS24956" s="47"/>
    </row>
    <row r="24957" spans="45:45">
      <c r="AS24957" s="47"/>
    </row>
    <row r="24958" spans="45:45">
      <c r="AS24958" s="47"/>
    </row>
    <row r="24959" spans="45:45">
      <c r="AS24959" s="47"/>
    </row>
    <row r="24960" spans="45:45">
      <c r="AS24960" s="47"/>
    </row>
    <row r="24961" spans="45:45">
      <c r="AS24961" s="47"/>
    </row>
    <row r="24962" spans="45:45">
      <c r="AS24962" s="47"/>
    </row>
    <row r="24963" spans="45:45">
      <c r="AS24963" s="47"/>
    </row>
    <row r="24964" spans="45:45">
      <c r="AS24964" s="47"/>
    </row>
    <row r="24965" spans="45:45">
      <c r="AS24965" s="47"/>
    </row>
    <row r="24966" spans="45:45">
      <c r="AS24966" s="47"/>
    </row>
    <row r="24967" spans="45:45">
      <c r="AS24967" s="47"/>
    </row>
    <row r="24968" spans="45:45">
      <c r="AS24968" s="47"/>
    </row>
    <row r="24969" spans="45:45">
      <c r="AS24969" s="47"/>
    </row>
    <row r="24970" spans="45:45">
      <c r="AS24970" s="47"/>
    </row>
    <row r="24971" spans="45:45">
      <c r="AS24971" s="47"/>
    </row>
    <row r="24972" spans="45:45">
      <c r="AS24972" s="47"/>
    </row>
    <row r="24973" spans="45:45">
      <c r="AS24973" s="47"/>
    </row>
    <row r="24974" spans="45:45">
      <c r="AS24974" s="47"/>
    </row>
    <row r="24975" spans="45:45">
      <c r="AS24975" s="47"/>
    </row>
    <row r="24976" spans="45:45">
      <c r="AS24976" s="47"/>
    </row>
    <row r="24977" spans="45:45">
      <c r="AS24977" s="47"/>
    </row>
    <row r="24978" spans="45:45">
      <c r="AS24978" s="47"/>
    </row>
    <row r="24979" spans="45:45">
      <c r="AS24979" s="47"/>
    </row>
    <row r="24980" spans="45:45">
      <c r="AS24980" s="47"/>
    </row>
    <row r="24981" spans="45:45">
      <c r="AS24981" s="47"/>
    </row>
    <row r="24982" spans="45:45">
      <c r="AS24982" s="47"/>
    </row>
    <row r="24983" spans="45:45">
      <c r="AS24983" s="47"/>
    </row>
    <row r="24984" spans="45:45">
      <c r="AS24984" s="47"/>
    </row>
    <row r="24985" spans="45:45">
      <c r="AS24985" s="47"/>
    </row>
    <row r="24986" spans="45:45">
      <c r="AS24986" s="47"/>
    </row>
    <row r="24987" spans="45:45">
      <c r="AS24987" s="47"/>
    </row>
    <row r="24988" spans="45:45">
      <c r="AS24988" s="47"/>
    </row>
    <row r="24989" spans="45:45">
      <c r="AS24989" s="47"/>
    </row>
    <row r="24990" spans="45:45">
      <c r="AS24990" s="47"/>
    </row>
    <row r="24991" spans="45:45">
      <c r="AS24991" s="47"/>
    </row>
    <row r="24992" spans="45:45">
      <c r="AS24992" s="47"/>
    </row>
    <row r="24993" spans="45:45">
      <c r="AS24993" s="47"/>
    </row>
    <row r="24994" spans="45:45">
      <c r="AS24994" s="47"/>
    </row>
    <row r="24995" spans="45:45">
      <c r="AS24995" s="47"/>
    </row>
    <row r="24996" spans="45:45">
      <c r="AS24996" s="47"/>
    </row>
    <row r="24997" spans="45:45">
      <c r="AS24997" s="47"/>
    </row>
    <row r="24998" spans="45:45">
      <c r="AS24998" s="47"/>
    </row>
    <row r="24999" spans="45:45">
      <c r="AS24999" s="47"/>
    </row>
    <row r="25000" spans="45:45">
      <c r="AS25000" s="47"/>
    </row>
    <row r="25001" spans="45:45">
      <c r="AS25001" s="47"/>
    </row>
    <row r="25002" spans="45:45">
      <c r="AS25002" s="47"/>
    </row>
    <row r="25003" spans="45:45">
      <c r="AS25003" s="47"/>
    </row>
    <row r="25004" spans="45:45">
      <c r="AS25004" s="47"/>
    </row>
    <row r="25005" spans="45:45">
      <c r="AS25005" s="47"/>
    </row>
    <row r="25006" spans="45:45">
      <c r="AS25006" s="47"/>
    </row>
    <row r="25007" spans="45:45">
      <c r="AS25007" s="47"/>
    </row>
    <row r="25008" spans="45:45">
      <c r="AS25008" s="47"/>
    </row>
    <row r="25009" spans="45:45">
      <c r="AS25009" s="47"/>
    </row>
    <row r="25010" spans="45:45">
      <c r="AS25010" s="47"/>
    </row>
    <row r="25011" spans="45:45">
      <c r="AS25011" s="47"/>
    </row>
    <row r="25012" spans="45:45">
      <c r="AS25012" s="47"/>
    </row>
    <row r="25013" spans="45:45">
      <c r="AS25013" s="47"/>
    </row>
    <row r="25014" spans="45:45">
      <c r="AS25014" s="47"/>
    </row>
    <row r="25015" spans="45:45">
      <c r="AS25015" s="47"/>
    </row>
    <row r="25016" spans="45:45">
      <c r="AS25016" s="47"/>
    </row>
    <row r="25017" spans="45:45">
      <c r="AS25017" s="47"/>
    </row>
    <row r="25018" spans="45:45">
      <c r="AS25018" s="47"/>
    </row>
    <row r="25019" spans="45:45">
      <c r="AS25019" s="47"/>
    </row>
    <row r="25020" spans="45:45">
      <c r="AS25020" s="47"/>
    </row>
    <row r="25021" spans="45:45">
      <c r="AS25021" s="47"/>
    </row>
    <row r="25022" spans="45:45">
      <c r="AS25022" s="47"/>
    </row>
    <row r="25023" spans="45:45">
      <c r="AS25023" s="47"/>
    </row>
    <row r="25024" spans="45:45">
      <c r="AS25024" s="47"/>
    </row>
    <row r="25025" spans="45:45">
      <c r="AS25025" s="47"/>
    </row>
    <row r="25026" spans="45:45">
      <c r="AS25026" s="47"/>
    </row>
    <row r="25027" spans="45:45">
      <c r="AS25027" s="47"/>
    </row>
    <row r="25028" spans="45:45">
      <c r="AS25028" s="47"/>
    </row>
    <row r="25029" spans="45:45">
      <c r="AS25029" s="47"/>
    </row>
    <row r="25030" spans="45:45">
      <c r="AS25030" s="47"/>
    </row>
    <row r="25031" spans="45:45">
      <c r="AS25031" s="47"/>
    </row>
    <row r="25032" spans="45:45">
      <c r="AS25032" s="47"/>
    </row>
    <row r="25033" spans="45:45">
      <c r="AS25033" s="47"/>
    </row>
    <row r="25034" spans="45:45">
      <c r="AS25034" s="47"/>
    </row>
    <row r="25035" spans="45:45">
      <c r="AS25035" s="47"/>
    </row>
    <row r="25036" spans="45:45">
      <c r="AS25036" s="47"/>
    </row>
    <row r="25037" spans="45:45">
      <c r="AS25037" s="47"/>
    </row>
    <row r="25038" spans="45:45">
      <c r="AS25038" s="47"/>
    </row>
    <row r="25039" spans="45:45">
      <c r="AS25039" s="47"/>
    </row>
    <row r="25040" spans="45:45">
      <c r="AS25040" s="47"/>
    </row>
    <row r="25041" spans="45:45">
      <c r="AS25041" s="47"/>
    </row>
    <row r="25042" spans="45:45">
      <c r="AS25042" s="47"/>
    </row>
    <row r="25043" spans="45:45">
      <c r="AS25043" s="47"/>
    </row>
    <row r="25044" spans="45:45">
      <c r="AS25044" s="47"/>
    </row>
    <row r="25045" spans="45:45">
      <c r="AS25045" s="47"/>
    </row>
    <row r="25046" spans="45:45">
      <c r="AS25046" s="47"/>
    </row>
    <row r="25047" spans="45:45">
      <c r="AS25047" s="47"/>
    </row>
    <row r="25048" spans="45:45">
      <c r="AS25048" s="47"/>
    </row>
    <row r="25049" spans="45:45">
      <c r="AS25049" s="47"/>
    </row>
    <row r="25050" spans="45:45">
      <c r="AS25050" s="47"/>
    </row>
    <row r="25051" spans="45:45">
      <c r="AS25051" s="47"/>
    </row>
    <row r="25052" spans="45:45">
      <c r="AS25052" s="47"/>
    </row>
    <row r="25053" spans="45:45">
      <c r="AS25053" s="47"/>
    </row>
    <row r="25054" spans="45:45">
      <c r="AS25054" s="47"/>
    </row>
    <row r="25055" spans="45:45">
      <c r="AS25055" s="47"/>
    </row>
    <row r="25056" spans="45:45">
      <c r="AS25056" s="47"/>
    </row>
    <row r="25057" spans="45:45">
      <c r="AS25057" s="47"/>
    </row>
    <row r="25058" spans="45:45">
      <c r="AS25058" s="47"/>
    </row>
    <row r="25059" spans="45:45">
      <c r="AS25059" s="47"/>
    </row>
    <row r="25060" spans="45:45">
      <c r="AS25060" s="47"/>
    </row>
    <row r="25061" spans="45:45">
      <c r="AS25061" s="47"/>
    </row>
    <row r="25062" spans="45:45">
      <c r="AS25062" s="47"/>
    </row>
    <row r="25063" spans="45:45">
      <c r="AS25063" s="47"/>
    </row>
    <row r="25064" spans="45:45">
      <c r="AS25064" s="47"/>
    </row>
    <row r="25065" spans="45:45">
      <c r="AS25065" s="47"/>
    </row>
    <row r="25066" spans="45:45">
      <c r="AS25066" s="47"/>
    </row>
    <row r="25067" spans="45:45">
      <c r="AS25067" s="47"/>
    </row>
    <row r="25068" spans="45:45">
      <c r="AS25068" s="47"/>
    </row>
    <row r="25069" spans="45:45">
      <c r="AS25069" s="47"/>
    </row>
    <row r="25070" spans="45:45">
      <c r="AS25070" s="47"/>
    </row>
    <row r="25071" spans="45:45">
      <c r="AS25071" s="47"/>
    </row>
    <row r="25072" spans="45:45">
      <c r="AS25072" s="47"/>
    </row>
    <row r="25073" spans="45:45">
      <c r="AS25073" s="47"/>
    </row>
    <row r="25074" spans="45:45">
      <c r="AS25074" s="47"/>
    </row>
    <row r="25075" spans="45:45">
      <c r="AS25075" s="47"/>
    </row>
    <row r="25076" spans="45:45">
      <c r="AS25076" s="47"/>
    </row>
    <row r="25077" spans="45:45">
      <c r="AS25077" s="47"/>
    </row>
    <row r="25078" spans="45:45">
      <c r="AS25078" s="47"/>
    </row>
    <row r="25079" spans="45:45">
      <c r="AS25079" s="47"/>
    </row>
    <row r="25080" spans="45:45">
      <c r="AS25080" s="47"/>
    </row>
    <row r="25081" spans="45:45">
      <c r="AS25081" s="47"/>
    </row>
    <row r="25082" spans="45:45">
      <c r="AS25082" s="47"/>
    </row>
    <row r="25083" spans="45:45">
      <c r="AS25083" s="47"/>
    </row>
    <row r="25084" spans="45:45">
      <c r="AS25084" s="47"/>
    </row>
    <row r="25085" spans="45:45">
      <c r="AS25085" s="47"/>
    </row>
    <row r="25086" spans="45:45">
      <c r="AS25086" s="47"/>
    </row>
    <row r="25087" spans="45:45">
      <c r="AS25087" s="47"/>
    </row>
    <row r="25088" spans="45:45">
      <c r="AS25088" s="47"/>
    </row>
    <row r="25089" spans="45:45">
      <c r="AS25089" s="47"/>
    </row>
    <row r="25090" spans="45:45">
      <c r="AS25090" s="47"/>
    </row>
    <row r="25091" spans="45:45">
      <c r="AS25091" s="47"/>
    </row>
    <row r="25092" spans="45:45">
      <c r="AS25092" s="47"/>
    </row>
    <row r="25093" spans="45:45">
      <c r="AS25093" s="47"/>
    </row>
    <row r="25094" spans="45:45">
      <c r="AS25094" s="47"/>
    </row>
    <row r="25095" spans="45:45">
      <c r="AS25095" s="47"/>
    </row>
    <row r="25096" spans="45:45">
      <c r="AS25096" s="47"/>
    </row>
    <row r="25097" spans="45:45">
      <c r="AS25097" s="47"/>
    </row>
    <row r="25098" spans="45:45">
      <c r="AS25098" s="47"/>
    </row>
    <row r="25099" spans="45:45">
      <c r="AS25099" s="47"/>
    </row>
    <row r="25100" spans="45:45">
      <c r="AS25100" s="47"/>
    </row>
    <row r="25101" spans="45:45">
      <c r="AS25101" s="47"/>
    </row>
    <row r="25102" spans="45:45">
      <c r="AS25102" s="47"/>
    </row>
    <row r="25103" spans="45:45">
      <c r="AS25103" s="47"/>
    </row>
    <row r="25104" spans="45:45">
      <c r="AS25104" s="47"/>
    </row>
    <row r="25105" spans="45:45">
      <c r="AS25105" s="47"/>
    </row>
    <row r="25106" spans="45:45">
      <c r="AS25106" s="47"/>
    </row>
    <row r="25107" spans="45:45">
      <c r="AS25107" s="47"/>
    </row>
    <row r="25108" spans="45:45">
      <c r="AS25108" s="47"/>
    </row>
    <row r="25109" spans="45:45">
      <c r="AS25109" s="47"/>
    </row>
    <row r="25110" spans="45:45">
      <c r="AS25110" s="47"/>
    </row>
    <row r="25111" spans="45:45">
      <c r="AS25111" s="47"/>
    </row>
    <row r="25112" spans="45:45">
      <c r="AS25112" s="47"/>
    </row>
    <row r="25113" spans="45:45">
      <c r="AS25113" s="47"/>
    </row>
    <row r="25114" spans="45:45">
      <c r="AS25114" s="47"/>
    </row>
    <row r="25115" spans="45:45">
      <c r="AS25115" s="47"/>
    </row>
    <row r="25116" spans="45:45">
      <c r="AS25116" s="47"/>
    </row>
    <row r="25117" spans="45:45">
      <c r="AS25117" s="47"/>
    </row>
    <row r="25118" spans="45:45">
      <c r="AS25118" s="47"/>
    </row>
    <row r="25119" spans="45:45">
      <c r="AS25119" s="47"/>
    </row>
    <row r="25120" spans="45:45">
      <c r="AS25120" s="47"/>
    </row>
    <row r="25121" spans="45:45">
      <c r="AS25121" s="47"/>
    </row>
    <row r="25122" spans="45:45">
      <c r="AS25122" s="47"/>
    </row>
    <row r="25123" spans="45:45">
      <c r="AS25123" s="47"/>
    </row>
    <row r="25124" spans="45:45">
      <c r="AS25124" s="47"/>
    </row>
    <row r="25125" spans="45:45">
      <c r="AS25125" s="47"/>
    </row>
    <row r="25126" spans="45:45">
      <c r="AS25126" s="47"/>
    </row>
    <row r="25127" spans="45:45">
      <c r="AS25127" s="47"/>
    </row>
    <row r="25128" spans="45:45">
      <c r="AS25128" s="47"/>
    </row>
    <row r="25129" spans="45:45">
      <c r="AS25129" s="47"/>
    </row>
    <row r="25130" spans="45:45">
      <c r="AS25130" s="47"/>
    </row>
    <row r="25131" spans="45:45">
      <c r="AS25131" s="47"/>
    </row>
    <row r="25132" spans="45:45">
      <c r="AS25132" s="47"/>
    </row>
    <row r="25133" spans="45:45">
      <c r="AS25133" s="47"/>
    </row>
    <row r="25134" spans="45:45">
      <c r="AS25134" s="47"/>
    </row>
    <row r="25135" spans="45:45">
      <c r="AS25135" s="47"/>
    </row>
    <row r="25136" spans="45:45">
      <c r="AS25136" s="47"/>
    </row>
    <row r="25137" spans="45:45">
      <c r="AS25137" s="47"/>
    </row>
    <row r="25138" spans="45:45">
      <c r="AS25138" s="47"/>
    </row>
    <row r="25139" spans="45:45">
      <c r="AS25139" s="47"/>
    </row>
    <row r="25140" spans="45:45">
      <c r="AS25140" s="47"/>
    </row>
    <row r="25141" spans="45:45">
      <c r="AS25141" s="47"/>
    </row>
    <row r="25142" spans="45:45">
      <c r="AS25142" s="47"/>
    </row>
    <row r="25143" spans="45:45">
      <c r="AS25143" s="47"/>
    </row>
    <row r="25144" spans="45:45">
      <c r="AS25144" s="47"/>
    </row>
    <row r="25145" spans="45:45">
      <c r="AS25145" s="47"/>
    </row>
    <row r="25146" spans="45:45">
      <c r="AS25146" s="47"/>
    </row>
    <row r="25147" spans="45:45">
      <c r="AS25147" s="47"/>
    </row>
    <row r="25148" spans="45:45">
      <c r="AS25148" s="47"/>
    </row>
    <row r="25149" spans="45:45">
      <c r="AS25149" s="47"/>
    </row>
    <row r="25150" spans="45:45">
      <c r="AS25150" s="47"/>
    </row>
    <row r="25151" spans="45:45">
      <c r="AS25151" s="47"/>
    </row>
    <row r="25152" spans="45:45">
      <c r="AS25152" s="47"/>
    </row>
    <row r="25153" spans="45:45">
      <c r="AS25153" s="47"/>
    </row>
    <row r="25154" spans="45:45">
      <c r="AS25154" s="47"/>
    </row>
    <row r="25155" spans="45:45">
      <c r="AS25155" s="47"/>
    </row>
    <row r="25156" spans="45:45">
      <c r="AS25156" s="47"/>
    </row>
    <row r="25157" spans="45:45">
      <c r="AS25157" s="47"/>
    </row>
    <row r="25158" spans="45:45">
      <c r="AS25158" s="47"/>
    </row>
    <row r="25159" spans="45:45">
      <c r="AS25159" s="47"/>
    </row>
    <row r="25160" spans="45:45">
      <c r="AS25160" s="47"/>
    </row>
    <row r="25161" spans="45:45">
      <c r="AS25161" s="47"/>
    </row>
    <row r="25162" spans="45:45">
      <c r="AS25162" s="47"/>
    </row>
    <row r="25163" spans="45:45">
      <c r="AS25163" s="47"/>
    </row>
    <row r="25164" spans="45:45">
      <c r="AS25164" s="47"/>
    </row>
    <row r="25165" spans="45:45">
      <c r="AS25165" s="47"/>
    </row>
    <row r="25166" spans="45:45">
      <c r="AS25166" s="47"/>
    </row>
    <row r="25167" spans="45:45">
      <c r="AS25167" s="47"/>
    </row>
    <row r="25168" spans="45:45">
      <c r="AS25168" s="47"/>
    </row>
    <row r="25169" spans="45:45">
      <c r="AS25169" s="47"/>
    </row>
    <row r="25170" spans="45:45">
      <c r="AS25170" s="47"/>
    </row>
    <row r="25171" spans="45:45">
      <c r="AS25171" s="47"/>
    </row>
    <row r="25172" spans="45:45">
      <c r="AS25172" s="47"/>
    </row>
    <row r="25173" spans="45:45">
      <c r="AS25173" s="47"/>
    </row>
    <row r="25174" spans="45:45">
      <c r="AS25174" s="47"/>
    </row>
    <row r="25175" spans="45:45">
      <c r="AS25175" s="47"/>
    </row>
    <row r="25176" spans="45:45">
      <c r="AS25176" s="47"/>
    </row>
    <row r="25177" spans="45:45">
      <c r="AS25177" s="47"/>
    </row>
    <row r="25178" spans="45:45">
      <c r="AS25178" s="47"/>
    </row>
    <row r="25179" spans="45:45">
      <c r="AS25179" s="47"/>
    </row>
    <row r="25180" spans="45:45">
      <c r="AS25180" s="47"/>
    </row>
    <row r="25181" spans="45:45">
      <c r="AS25181" s="47"/>
    </row>
    <row r="25182" spans="45:45">
      <c r="AS25182" s="47"/>
    </row>
    <row r="25183" spans="45:45">
      <c r="AS25183" s="47"/>
    </row>
    <row r="25184" spans="45:45">
      <c r="AS25184" s="47"/>
    </row>
    <row r="25185" spans="45:45">
      <c r="AS25185" s="47"/>
    </row>
    <row r="25186" spans="45:45">
      <c r="AS25186" s="47"/>
    </row>
    <row r="25187" spans="45:45">
      <c r="AS25187" s="47"/>
    </row>
    <row r="25188" spans="45:45">
      <c r="AS25188" s="47"/>
    </row>
    <row r="25189" spans="45:45">
      <c r="AS25189" s="47"/>
    </row>
    <row r="25190" spans="45:45">
      <c r="AS25190" s="47"/>
    </row>
    <row r="25191" spans="45:45">
      <c r="AS25191" s="47"/>
    </row>
    <row r="25192" spans="45:45">
      <c r="AS25192" s="47"/>
    </row>
    <row r="25193" spans="45:45">
      <c r="AS25193" s="47"/>
    </row>
    <row r="25194" spans="45:45">
      <c r="AS25194" s="47"/>
    </row>
    <row r="25195" spans="45:45">
      <c r="AS25195" s="47"/>
    </row>
    <row r="25196" spans="45:45">
      <c r="AS25196" s="47"/>
    </row>
    <row r="25197" spans="45:45">
      <c r="AS25197" s="47"/>
    </row>
    <row r="25198" spans="45:45">
      <c r="AS25198" s="47"/>
    </row>
    <row r="25199" spans="45:45">
      <c r="AS25199" s="47"/>
    </row>
    <row r="25200" spans="45:45">
      <c r="AS25200" s="47"/>
    </row>
    <row r="25201" spans="45:45">
      <c r="AS25201" s="47"/>
    </row>
    <row r="25202" spans="45:45">
      <c r="AS25202" s="47"/>
    </row>
    <row r="25203" spans="45:45">
      <c r="AS25203" s="47"/>
    </row>
    <row r="25204" spans="45:45">
      <c r="AS25204" s="47"/>
    </row>
    <row r="25205" spans="45:45">
      <c r="AS25205" s="47"/>
    </row>
    <row r="25206" spans="45:45">
      <c r="AS25206" s="47"/>
    </row>
    <row r="25207" spans="45:45">
      <c r="AS25207" s="47"/>
    </row>
    <row r="25208" spans="45:45">
      <c r="AS25208" s="47"/>
    </row>
    <row r="25209" spans="45:45">
      <c r="AS25209" s="47"/>
    </row>
    <row r="25210" spans="45:45">
      <c r="AS25210" s="47"/>
    </row>
    <row r="25211" spans="45:45">
      <c r="AS25211" s="47"/>
    </row>
    <row r="25212" spans="45:45">
      <c r="AS25212" s="47"/>
    </row>
    <row r="25213" spans="45:45">
      <c r="AS25213" s="47"/>
    </row>
    <row r="25214" spans="45:45">
      <c r="AS25214" s="47"/>
    </row>
    <row r="25215" spans="45:45">
      <c r="AS25215" s="47"/>
    </row>
    <row r="25216" spans="45:45">
      <c r="AS25216" s="47"/>
    </row>
    <row r="25217" spans="45:45">
      <c r="AS25217" s="47"/>
    </row>
    <row r="25218" spans="45:45">
      <c r="AS25218" s="47"/>
    </row>
    <row r="25219" spans="45:45">
      <c r="AS25219" s="47"/>
    </row>
    <row r="25220" spans="45:45">
      <c r="AS25220" s="47"/>
    </row>
    <row r="25221" spans="45:45">
      <c r="AS25221" s="47"/>
    </row>
    <row r="25222" spans="45:45">
      <c r="AS25222" s="47"/>
    </row>
    <row r="25223" spans="45:45">
      <c r="AS25223" s="47"/>
    </row>
    <row r="25224" spans="45:45">
      <c r="AS25224" s="47"/>
    </row>
    <row r="25225" spans="45:45">
      <c r="AS25225" s="47"/>
    </row>
    <row r="25226" spans="45:45">
      <c r="AS25226" s="47"/>
    </row>
    <row r="25227" spans="45:45">
      <c r="AS25227" s="47"/>
    </row>
    <row r="25228" spans="45:45">
      <c r="AS25228" s="47"/>
    </row>
    <row r="25229" spans="45:45">
      <c r="AS25229" s="47"/>
    </row>
    <row r="25230" spans="45:45">
      <c r="AS25230" s="47"/>
    </row>
    <row r="25231" spans="45:45">
      <c r="AS25231" s="47"/>
    </row>
    <row r="25232" spans="45:45">
      <c r="AS25232" s="47"/>
    </row>
    <row r="25233" spans="45:45">
      <c r="AS25233" s="47"/>
    </row>
    <row r="25234" spans="45:45">
      <c r="AS25234" s="47"/>
    </row>
    <row r="25235" spans="45:45">
      <c r="AS25235" s="47"/>
    </row>
    <row r="25236" spans="45:45">
      <c r="AS25236" s="47"/>
    </row>
    <row r="25237" spans="45:45">
      <c r="AS25237" s="47"/>
    </row>
    <row r="25238" spans="45:45">
      <c r="AS25238" s="47"/>
    </row>
    <row r="25239" spans="45:45">
      <c r="AS25239" s="47"/>
    </row>
    <row r="25240" spans="45:45">
      <c r="AS25240" s="47"/>
    </row>
    <row r="25241" spans="45:45">
      <c r="AS25241" s="47"/>
    </row>
    <row r="25242" spans="45:45">
      <c r="AS25242" s="47"/>
    </row>
    <row r="25243" spans="45:45">
      <c r="AS25243" s="47"/>
    </row>
    <row r="25244" spans="45:45">
      <c r="AS25244" s="47"/>
    </row>
    <row r="25245" spans="45:45">
      <c r="AS25245" s="47"/>
    </row>
    <row r="25246" spans="45:45">
      <c r="AS25246" s="47"/>
    </row>
    <row r="25247" spans="45:45">
      <c r="AS25247" s="47"/>
    </row>
    <row r="25248" spans="45:45">
      <c r="AS25248" s="47"/>
    </row>
    <row r="25249" spans="45:45">
      <c r="AS25249" s="47"/>
    </row>
    <row r="25250" spans="45:45">
      <c r="AS25250" s="47"/>
    </row>
    <row r="25251" spans="45:45">
      <c r="AS25251" s="47"/>
    </row>
    <row r="25252" spans="45:45">
      <c r="AS25252" s="47"/>
    </row>
    <row r="25253" spans="45:45">
      <c r="AS25253" s="47"/>
    </row>
    <row r="25254" spans="45:45">
      <c r="AS25254" s="47"/>
    </row>
    <row r="25255" spans="45:45">
      <c r="AS25255" s="47"/>
    </row>
    <row r="25256" spans="45:45">
      <c r="AS25256" s="47"/>
    </row>
    <row r="25257" spans="45:45">
      <c r="AS25257" s="47"/>
    </row>
    <row r="25258" spans="45:45">
      <c r="AS25258" s="47"/>
    </row>
    <row r="25259" spans="45:45">
      <c r="AS25259" s="47"/>
    </row>
    <row r="25260" spans="45:45">
      <c r="AS25260" s="47"/>
    </row>
    <row r="25261" spans="45:45">
      <c r="AS25261" s="47"/>
    </row>
    <row r="25262" spans="45:45">
      <c r="AS25262" s="47"/>
    </row>
    <row r="25263" spans="45:45">
      <c r="AS25263" s="47"/>
    </row>
    <row r="25264" spans="45:45">
      <c r="AS25264" s="47"/>
    </row>
    <row r="25265" spans="45:45">
      <c r="AS25265" s="47"/>
    </row>
    <row r="25266" spans="45:45">
      <c r="AS25266" s="47"/>
    </row>
    <row r="25267" spans="45:45">
      <c r="AS25267" s="47"/>
    </row>
    <row r="25268" spans="45:45">
      <c r="AS25268" s="47"/>
    </row>
    <row r="25269" spans="45:45">
      <c r="AS25269" s="47"/>
    </row>
    <row r="25270" spans="45:45">
      <c r="AS25270" s="47"/>
    </row>
    <row r="25271" spans="45:45">
      <c r="AS25271" s="47"/>
    </row>
    <row r="25272" spans="45:45">
      <c r="AS25272" s="47"/>
    </row>
    <row r="25273" spans="45:45">
      <c r="AS25273" s="47"/>
    </row>
    <row r="25274" spans="45:45">
      <c r="AS25274" s="47"/>
    </row>
    <row r="25275" spans="45:45">
      <c r="AS25275" s="47"/>
    </row>
    <row r="25276" spans="45:45">
      <c r="AS25276" s="47"/>
    </row>
    <row r="25277" spans="45:45">
      <c r="AS25277" s="47"/>
    </row>
    <row r="25278" spans="45:45">
      <c r="AS25278" s="47"/>
    </row>
    <row r="25279" spans="45:45">
      <c r="AS25279" s="47"/>
    </row>
    <row r="25280" spans="45:45">
      <c r="AS25280" s="47"/>
    </row>
    <row r="25281" spans="45:45">
      <c r="AS25281" s="47"/>
    </row>
    <row r="25282" spans="45:45">
      <c r="AS25282" s="47"/>
    </row>
    <row r="25283" spans="45:45">
      <c r="AS25283" s="47"/>
    </row>
    <row r="25284" spans="45:45">
      <c r="AS25284" s="47"/>
    </row>
    <row r="25285" spans="45:45">
      <c r="AS25285" s="47"/>
    </row>
    <row r="25286" spans="45:45">
      <c r="AS25286" s="47"/>
    </row>
    <row r="25287" spans="45:45">
      <c r="AS25287" s="47"/>
    </row>
    <row r="25288" spans="45:45">
      <c r="AS25288" s="47"/>
    </row>
    <row r="25289" spans="45:45">
      <c r="AS25289" s="47"/>
    </row>
    <row r="25290" spans="45:45">
      <c r="AS25290" s="47"/>
    </row>
    <row r="25291" spans="45:45">
      <c r="AS25291" s="47"/>
    </row>
    <row r="25292" spans="45:45">
      <c r="AS25292" s="47"/>
    </row>
    <row r="25293" spans="45:45">
      <c r="AS25293" s="47"/>
    </row>
    <row r="25294" spans="45:45">
      <c r="AS25294" s="47"/>
    </row>
    <row r="25295" spans="45:45">
      <c r="AS25295" s="47"/>
    </row>
    <row r="25296" spans="45:45">
      <c r="AS25296" s="47"/>
    </row>
    <row r="25297" spans="45:45">
      <c r="AS25297" s="47"/>
    </row>
    <row r="25298" spans="45:45">
      <c r="AS25298" s="47"/>
    </row>
    <row r="25299" spans="45:45">
      <c r="AS25299" s="47"/>
    </row>
    <row r="25300" spans="45:45">
      <c r="AS25300" s="47"/>
    </row>
    <row r="25301" spans="45:45">
      <c r="AS25301" s="47"/>
    </row>
    <row r="25302" spans="45:45">
      <c r="AS25302" s="47"/>
    </row>
    <row r="25303" spans="45:45">
      <c r="AS25303" s="47"/>
    </row>
    <row r="25304" spans="45:45">
      <c r="AS25304" s="47"/>
    </row>
    <row r="25305" spans="45:45">
      <c r="AS25305" s="47"/>
    </row>
    <row r="25306" spans="45:45">
      <c r="AS25306" s="47"/>
    </row>
    <row r="25307" spans="45:45">
      <c r="AS25307" s="47"/>
    </row>
    <row r="25308" spans="45:45">
      <c r="AS25308" s="47"/>
    </row>
    <row r="25309" spans="45:45">
      <c r="AS25309" s="47"/>
    </row>
    <row r="25310" spans="45:45">
      <c r="AS25310" s="47"/>
    </row>
    <row r="25311" spans="45:45">
      <c r="AS25311" s="47"/>
    </row>
    <row r="25312" spans="45:45">
      <c r="AS25312" s="47"/>
    </row>
    <row r="25313" spans="45:45">
      <c r="AS25313" s="47"/>
    </row>
    <row r="25314" spans="45:45">
      <c r="AS25314" s="47"/>
    </row>
    <row r="25315" spans="45:45">
      <c r="AS25315" s="47"/>
    </row>
    <row r="25316" spans="45:45">
      <c r="AS25316" s="47"/>
    </row>
    <row r="25317" spans="45:45">
      <c r="AS25317" s="47"/>
    </row>
    <row r="25318" spans="45:45">
      <c r="AS25318" s="47"/>
    </row>
    <row r="25319" spans="45:45">
      <c r="AS25319" s="47"/>
    </row>
    <row r="25320" spans="45:45">
      <c r="AS25320" s="47"/>
    </row>
    <row r="25321" spans="45:45">
      <c r="AS25321" s="47"/>
    </row>
    <row r="25322" spans="45:45">
      <c r="AS25322" s="47"/>
    </row>
    <row r="25323" spans="45:45">
      <c r="AS25323" s="47"/>
    </row>
    <row r="25324" spans="45:45">
      <c r="AS25324" s="47"/>
    </row>
    <row r="25325" spans="45:45">
      <c r="AS25325" s="47"/>
    </row>
    <row r="25326" spans="45:45">
      <c r="AS25326" s="47"/>
    </row>
    <row r="25327" spans="45:45">
      <c r="AS25327" s="47"/>
    </row>
    <row r="25328" spans="45:45">
      <c r="AS25328" s="47"/>
    </row>
    <row r="25329" spans="45:45">
      <c r="AS25329" s="47"/>
    </row>
    <row r="25330" spans="45:45">
      <c r="AS25330" s="47"/>
    </row>
    <row r="25331" spans="45:45">
      <c r="AS25331" s="47"/>
    </row>
    <row r="25332" spans="45:45">
      <c r="AS25332" s="47"/>
    </row>
    <row r="25333" spans="45:45">
      <c r="AS25333" s="47"/>
    </row>
    <row r="25334" spans="45:45">
      <c r="AS25334" s="47"/>
    </row>
    <row r="25335" spans="45:45">
      <c r="AS25335" s="47"/>
    </row>
    <row r="25336" spans="45:45">
      <c r="AS25336" s="47"/>
    </row>
    <row r="25337" spans="45:45">
      <c r="AS25337" s="47"/>
    </row>
    <row r="25338" spans="45:45">
      <c r="AS25338" s="47"/>
    </row>
    <row r="25339" spans="45:45">
      <c r="AS25339" s="47"/>
    </row>
    <row r="25340" spans="45:45">
      <c r="AS25340" s="47"/>
    </row>
    <row r="25341" spans="45:45">
      <c r="AS25341" s="47"/>
    </row>
    <row r="25342" spans="45:45">
      <c r="AS25342" s="47"/>
    </row>
    <row r="25343" spans="45:45">
      <c r="AS25343" s="47"/>
    </row>
    <row r="25344" spans="45:45">
      <c r="AS25344" s="47"/>
    </row>
    <row r="25345" spans="45:45">
      <c r="AS25345" s="47"/>
    </row>
    <row r="25346" spans="45:45">
      <c r="AS25346" s="47"/>
    </row>
    <row r="25347" spans="45:45">
      <c r="AS25347" s="47"/>
    </row>
    <row r="25348" spans="45:45">
      <c r="AS25348" s="47"/>
    </row>
    <row r="25349" spans="45:45">
      <c r="AS25349" s="47"/>
    </row>
    <row r="25350" spans="45:45">
      <c r="AS25350" s="47"/>
    </row>
    <row r="25351" spans="45:45">
      <c r="AS25351" s="47"/>
    </row>
    <row r="25352" spans="45:45">
      <c r="AS25352" s="47"/>
    </row>
    <row r="25353" spans="45:45">
      <c r="AS25353" s="47"/>
    </row>
    <row r="25354" spans="45:45">
      <c r="AS25354" s="47"/>
    </row>
    <row r="25355" spans="45:45">
      <c r="AS25355" s="47"/>
    </row>
    <row r="25356" spans="45:45">
      <c r="AS25356" s="47"/>
    </row>
    <row r="25357" spans="45:45">
      <c r="AS25357" s="47"/>
    </row>
    <row r="25358" spans="45:45">
      <c r="AS25358" s="47"/>
    </row>
    <row r="25359" spans="45:45">
      <c r="AS25359" s="47"/>
    </row>
    <row r="25360" spans="45:45">
      <c r="AS25360" s="47"/>
    </row>
    <row r="25361" spans="45:45">
      <c r="AS25361" s="47"/>
    </row>
    <row r="25362" spans="45:45">
      <c r="AS25362" s="47"/>
    </row>
    <row r="25363" spans="45:45">
      <c r="AS25363" s="47"/>
    </row>
    <row r="25364" spans="45:45">
      <c r="AS25364" s="47"/>
    </row>
    <row r="25365" spans="45:45">
      <c r="AS25365" s="47"/>
    </row>
    <row r="25366" spans="45:45">
      <c r="AS25366" s="47"/>
    </row>
    <row r="25367" spans="45:45">
      <c r="AS25367" s="47"/>
    </row>
    <row r="25368" spans="45:45">
      <c r="AS25368" s="47"/>
    </row>
    <row r="25369" spans="45:45">
      <c r="AS25369" s="47"/>
    </row>
    <row r="25370" spans="45:45">
      <c r="AS25370" s="47"/>
    </row>
    <row r="25371" spans="45:45">
      <c r="AS25371" s="47"/>
    </row>
    <row r="25372" spans="45:45">
      <c r="AS25372" s="47"/>
    </row>
    <row r="25373" spans="45:45">
      <c r="AS25373" s="47"/>
    </row>
    <row r="25374" spans="45:45">
      <c r="AS25374" s="47"/>
    </row>
    <row r="25375" spans="45:45">
      <c r="AS25375" s="47"/>
    </row>
    <row r="25376" spans="45:45">
      <c r="AS25376" s="47"/>
    </row>
    <row r="25377" spans="45:45">
      <c r="AS25377" s="47"/>
    </row>
    <row r="25378" spans="45:45">
      <c r="AS25378" s="47"/>
    </row>
    <row r="25379" spans="45:45">
      <c r="AS25379" s="47"/>
    </row>
    <row r="25380" spans="45:45">
      <c r="AS25380" s="47"/>
    </row>
    <row r="25381" spans="45:45">
      <c r="AS25381" s="47"/>
    </row>
    <row r="25382" spans="45:45">
      <c r="AS25382" s="47"/>
    </row>
    <row r="25383" spans="45:45">
      <c r="AS25383" s="47"/>
    </row>
    <row r="25384" spans="45:45">
      <c r="AS25384" s="47"/>
    </row>
    <row r="25385" spans="45:45">
      <c r="AS25385" s="47"/>
    </row>
    <row r="25386" spans="45:45">
      <c r="AS25386" s="47"/>
    </row>
    <row r="25387" spans="45:45">
      <c r="AS25387" s="47"/>
    </row>
    <row r="25388" spans="45:45">
      <c r="AS25388" s="47"/>
    </row>
    <row r="25389" spans="45:45">
      <c r="AS25389" s="47"/>
    </row>
    <row r="25390" spans="45:45">
      <c r="AS25390" s="47"/>
    </row>
    <row r="25391" spans="45:45">
      <c r="AS25391" s="47"/>
    </row>
    <row r="25392" spans="45:45">
      <c r="AS25392" s="47"/>
    </row>
    <row r="25393" spans="45:45">
      <c r="AS25393" s="47"/>
    </row>
    <row r="25394" spans="45:45">
      <c r="AS25394" s="47"/>
    </row>
    <row r="25395" spans="45:45">
      <c r="AS25395" s="47"/>
    </row>
    <row r="25396" spans="45:45">
      <c r="AS25396" s="47"/>
    </row>
    <row r="25397" spans="45:45">
      <c r="AS25397" s="47"/>
    </row>
    <row r="25398" spans="45:45">
      <c r="AS25398" s="47"/>
    </row>
    <row r="25399" spans="45:45">
      <c r="AS25399" s="47"/>
    </row>
    <row r="25400" spans="45:45">
      <c r="AS25400" s="47"/>
    </row>
    <row r="25401" spans="45:45">
      <c r="AS25401" s="47"/>
    </row>
    <row r="25402" spans="45:45">
      <c r="AS25402" s="47"/>
    </row>
    <row r="25403" spans="45:45">
      <c r="AS25403" s="47"/>
    </row>
    <row r="25404" spans="45:45">
      <c r="AS25404" s="47"/>
    </row>
    <row r="25405" spans="45:45">
      <c r="AS25405" s="47"/>
    </row>
    <row r="25406" spans="45:45">
      <c r="AS25406" s="47"/>
    </row>
    <row r="25407" spans="45:45">
      <c r="AS25407" s="47"/>
    </row>
    <row r="25408" spans="45:45">
      <c r="AS25408" s="47"/>
    </row>
    <row r="25409" spans="45:45">
      <c r="AS25409" s="47"/>
    </row>
    <row r="25410" spans="45:45">
      <c r="AS25410" s="47"/>
    </row>
    <row r="25411" spans="45:45">
      <c r="AS25411" s="47"/>
    </row>
    <row r="25412" spans="45:45">
      <c r="AS25412" s="47"/>
    </row>
    <row r="25413" spans="45:45">
      <c r="AS25413" s="47"/>
    </row>
    <row r="25414" spans="45:45">
      <c r="AS25414" s="47"/>
    </row>
    <row r="25415" spans="45:45">
      <c r="AS25415" s="47"/>
    </row>
    <row r="25416" spans="45:45">
      <c r="AS25416" s="47"/>
    </row>
    <row r="25417" spans="45:45">
      <c r="AS25417" s="47"/>
    </row>
    <row r="25418" spans="45:45">
      <c r="AS25418" s="47"/>
    </row>
    <row r="25419" spans="45:45">
      <c r="AS25419" s="47"/>
    </row>
    <row r="25420" spans="45:45">
      <c r="AS25420" s="47"/>
    </row>
    <row r="25421" spans="45:45">
      <c r="AS25421" s="47"/>
    </row>
    <row r="25422" spans="45:45">
      <c r="AS25422" s="47"/>
    </row>
    <row r="25423" spans="45:45">
      <c r="AS25423" s="47"/>
    </row>
    <row r="25424" spans="45:45">
      <c r="AS25424" s="47"/>
    </row>
    <row r="25425" spans="45:45">
      <c r="AS25425" s="47"/>
    </row>
    <row r="25426" spans="45:45">
      <c r="AS25426" s="47"/>
    </row>
    <row r="25427" spans="45:45">
      <c r="AS25427" s="47"/>
    </row>
    <row r="25428" spans="45:45">
      <c r="AS25428" s="47"/>
    </row>
    <row r="25429" spans="45:45">
      <c r="AS25429" s="47"/>
    </row>
    <row r="25430" spans="45:45">
      <c r="AS25430" s="47"/>
    </row>
    <row r="25431" spans="45:45">
      <c r="AS25431" s="47"/>
    </row>
    <row r="25432" spans="45:45">
      <c r="AS25432" s="47"/>
    </row>
    <row r="25433" spans="45:45">
      <c r="AS25433" s="47"/>
    </row>
    <row r="25434" spans="45:45">
      <c r="AS25434" s="47"/>
    </row>
    <row r="25435" spans="45:45">
      <c r="AS25435" s="47"/>
    </row>
    <row r="25436" spans="45:45">
      <c r="AS25436" s="47"/>
    </row>
    <row r="25437" spans="45:45">
      <c r="AS25437" s="47"/>
    </row>
    <row r="25438" spans="45:45">
      <c r="AS25438" s="47"/>
    </row>
    <row r="25439" spans="45:45">
      <c r="AS25439" s="47"/>
    </row>
    <row r="25440" spans="45:45">
      <c r="AS25440" s="47"/>
    </row>
    <row r="25441" spans="45:45">
      <c r="AS25441" s="47"/>
    </row>
    <row r="25442" spans="45:45">
      <c r="AS25442" s="47"/>
    </row>
    <row r="25443" spans="45:45">
      <c r="AS25443" s="47"/>
    </row>
    <row r="25444" spans="45:45">
      <c r="AS25444" s="47"/>
    </row>
    <row r="25445" spans="45:45">
      <c r="AS25445" s="47"/>
    </row>
    <row r="25446" spans="45:45">
      <c r="AS25446" s="47"/>
    </row>
    <row r="25447" spans="45:45">
      <c r="AS25447" s="47"/>
    </row>
    <row r="25448" spans="45:45">
      <c r="AS25448" s="47"/>
    </row>
    <row r="25449" spans="45:45">
      <c r="AS25449" s="47"/>
    </row>
    <row r="25450" spans="45:45">
      <c r="AS25450" s="47"/>
    </row>
    <row r="25451" spans="45:45">
      <c r="AS25451" s="47"/>
    </row>
    <row r="25452" spans="45:45">
      <c r="AS25452" s="47"/>
    </row>
    <row r="25453" spans="45:45">
      <c r="AS25453" s="47"/>
    </row>
    <row r="25454" spans="45:45">
      <c r="AS25454" s="47"/>
    </row>
    <row r="25455" spans="45:45">
      <c r="AS25455" s="47"/>
    </row>
    <row r="25456" spans="45:45">
      <c r="AS25456" s="47"/>
    </row>
    <row r="25457" spans="45:45">
      <c r="AS25457" s="47"/>
    </row>
    <row r="25458" spans="45:45">
      <c r="AS25458" s="47"/>
    </row>
    <row r="25459" spans="45:45">
      <c r="AS25459" s="47"/>
    </row>
    <row r="25460" spans="45:45">
      <c r="AS25460" s="47"/>
    </row>
    <row r="25461" spans="45:45">
      <c r="AS25461" s="47"/>
    </row>
    <row r="25462" spans="45:45">
      <c r="AS25462" s="47"/>
    </row>
    <row r="25463" spans="45:45">
      <c r="AS25463" s="47"/>
    </row>
    <row r="25464" spans="45:45">
      <c r="AS25464" s="47"/>
    </row>
    <row r="25465" spans="45:45">
      <c r="AS25465" s="47"/>
    </row>
    <row r="25466" spans="45:45">
      <c r="AS25466" s="47"/>
    </row>
    <row r="25467" spans="45:45">
      <c r="AS25467" s="47"/>
    </row>
    <row r="25468" spans="45:45">
      <c r="AS25468" s="47"/>
    </row>
    <row r="25469" spans="45:45">
      <c r="AS25469" s="47"/>
    </row>
    <row r="25470" spans="45:45">
      <c r="AS25470" s="47"/>
    </row>
    <row r="25471" spans="45:45">
      <c r="AS25471" s="47"/>
    </row>
    <row r="25472" spans="45:45">
      <c r="AS25472" s="47"/>
    </row>
    <row r="25473" spans="45:45">
      <c r="AS25473" s="47"/>
    </row>
    <row r="25474" spans="45:45">
      <c r="AS25474" s="47"/>
    </row>
    <row r="25475" spans="45:45">
      <c r="AS25475" s="47"/>
    </row>
    <row r="25476" spans="45:45">
      <c r="AS25476" s="47"/>
    </row>
    <row r="25477" spans="45:45">
      <c r="AS25477" s="47"/>
    </row>
    <row r="25478" spans="45:45">
      <c r="AS25478" s="47"/>
    </row>
    <row r="25479" spans="45:45">
      <c r="AS25479" s="47"/>
    </row>
    <row r="25480" spans="45:45">
      <c r="AS25480" s="47"/>
    </row>
    <row r="25481" spans="45:45">
      <c r="AS25481" s="47"/>
    </row>
    <row r="25482" spans="45:45">
      <c r="AS25482" s="47"/>
    </row>
    <row r="25483" spans="45:45">
      <c r="AS25483" s="47"/>
    </row>
    <row r="25484" spans="45:45">
      <c r="AS25484" s="47"/>
    </row>
    <row r="25485" spans="45:45">
      <c r="AS25485" s="47"/>
    </row>
    <row r="25486" spans="45:45">
      <c r="AS25486" s="47"/>
    </row>
    <row r="25487" spans="45:45">
      <c r="AS25487" s="47"/>
    </row>
    <row r="25488" spans="45:45">
      <c r="AS25488" s="47"/>
    </row>
    <row r="25489" spans="45:45">
      <c r="AS25489" s="47"/>
    </row>
    <row r="25490" spans="45:45">
      <c r="AS25490" s="47"/>
    </row>
    <row r="25491" spans="45:45">
      <c r="AS25491" s="47"/>
    </row>
    <row r="25492" spans="45:45">
      <c r="AS25492" s="47"/>
    </row>
    <row r="25493" spans="45:45">
      <c r="AS25493" s="47"/>
    </row>
    <row r="25494" spans="45:45">
      <c r="AS25494" s="47"/>
    </row>
    <row r="25495" spans="45:45">
      <c r="AS25495" s="47"/>
    </row>
    <row r="25496" spans="45:45">
      <c r="AS25496" s="47"/>
    </row>
    <row r="25497" spans="45:45">
      <c r="AS25497" s="47"/>
    </row>
    <row r="25498" spans="45:45">
      <c r="AS25498" s="47"/>
    </row>
    <row r="25499" spans="45:45">
      <c r="AS25499" s="47"/>
    </row>
    <row r="25500" spans="45:45">
      <c r="AS25500" s="47"/>
    </row>
    <row r="25501" spans="45:45">
      <c r="AS25501" s="47"/>
    </row>
    <row r="25502" spans="45:45">
      <c r="AS25502" s="47"/>
    </row>
    <row r="25503" spans="45:45">
      <c r="AS25503" s="47"/>
    </row>
    <row r="25504" spans="45:45">
      <c r="AS25504" s="47"/>
    </row>
    <row r="25505" spans="45:45">
      <c r="AS25505" s="47"/>
    </row>
    <row r="25506" spans="45:45">
      <c r="AS25506" s="47"/>
    </row>
    <row r="25507" spans="45:45">
      <c r="AS25507" s="47"/>
    </row>
    <row r="25508" spans="45:45">
      <c r="AS25508" s="47"/>
    </row>
    <row r="25509" spans="45:45">
      <c r="AS25509" s="47"/>
    </row>
    <row r="25510" spans="45:45">
      <c r="AS25510" s="47"/>
    </row>
    <row r="25511" spans="45:45">
      <c r="AS25511" s="47"/>
    </row>
    <row r="25512" spans="45:45">
      <c r="AS25512" s="47"/>
    </row>
    <row r="25513" spans="45:45">
      <c r="AS25513" s="47"/>
    </row>
    <row r="25514" spans="45:45">
      <c r="AS25514" s="47"/>
    </row>
    <row r="25515" spans="45:45">
      <c r="AS25515" s="47"/>
    </row>
    <row r="25516" spans="45:45">
      <c r="AS25516" s="47"/>
    </row>
    <row r="25517" spans="45:45">
      <c r="AS25517" s="47"/>
    </row>
    <row r="25518" spans="45:45">
      <c r="AS25518" s="47"/>
    </row>
    <row r="25519" spans="45:45">
      <c r="AS25519" s="47"/>
    </row>
    <row r="25520" spans="45:45">
      <c r="AS25520" s="47"/>
    </row>
    <row r="25521" spans="45:45">
      <c r="AS25521" s="47"/>
    </row>
    <row r="25522" spans="45:45">
      <c r="AS25522" s="47"/>
    </row>
    <row r="25523" spans="45:45">
      <c r="AS25523" s="47"/>
    </row>
    <row r="25524" spans="45:45">
      <c r="AS25524" s="47"/>
    </row>
    <row r="25525" spans="45:45">
      <c r="AS25525" s="47"/>
    </row>
    <row r="25526" spans="45:45">
      <c r="AS25526" s="47"/>
    </row>
    <row r="25527" spans="45:45">
      <c r="AS25527" s="47"/>
    </row>
    <row r="25528" spans="45:45">
      <c r="AS25528" s="47"/>
    </row>
    <row r="25529" spans="45:45">
      <c r="AS25529" s="47"/>
    </row>
    <row r="25530" spans="45:45">
      <c r="AS25530" s="47"/>
    </row>
    <row r="25531" spans="45:45">
      <c r="AS25531" s="47"/>
    </row>
    <row r="25532" spans="45:45">
      <c r="AS25532" s="47"/>
    </row>
    <row r="25533" spans="45:45">
      <c r="AS25533" s="47"/>
    </row>
    <row r="25534" spans="45:45">
      <c r="AS25534" s="47"/>
    </row>
    <row r="25535" spans="45:45">
      <c r="AS25535" s="47"/>
    </row>
    <row r="25536" spans="45:45">
      <c r="AS25536" s="47"/>
    </row>
    <row r="25537" spans="45:45">
      <c r="AS25537" s="47"/>
    </row>
    <row r="25538" spans="45:45">
      <c r="AS25538" s="47"/>
    </row>
    <row r="25539" spans="45:45">
      <c r="AS25539" s="47"/>
    </row>
    <row r="25540" spans="45:45">
      <c r="AS25540" s="47"/>
    </row>
    <row r="25541" spans="45:45">
      <c r="AS25541" s="47"/>
    </row>
    <row r="25542" spans="45:45">
      <c r="AS25542" s="47"/>
    </row>
    <row r="25543" spans="45:45">
      <c r="AS25543" s="47"/>
    </row>
    <row r="25544" spans="45:45">
      <c r="AS25544" s="47"/>
    </row>
    <row r="25545" spans="45:45">
      <c r="AS25545" s="47"/>
    </row>
    <row r="25546" spans="45:45">
      <c r="AS25546" s="47"/>
    </row>
    <row r="25547" spans="45:45">
      <c r="AS25547" s="47"/>
    </row>
    <row r="25548" spans="45:45">
      <c r="AS25548" s="47"/>
    </row>
    <row r="25549" spans="45:45">
      <c r="AS25549" s="47"/>
    </row>
    <row r="25550" spans="45:45">
      <c r="AS25550" s="47"/>
    </row>
    <row r="25551" spans="45:45">
      <c r="AS25551" s="47"/>
    </row>
    <row r="25552" spans="45:45">
      <c r="AS25552" s="47"/>
    </row>
    <row r="25553" spans="45:45">
      <c r="AS25553" s="47"/>
    </row>
    <row r="25554" spans="45:45">
      <c r="AS25554" s="47"/>
    </row>
    <row r="25555" spans="45:45">
      <c r="AS25555" s="47"/>
    </row>
    <row r="25556" spans="45:45">
      <c r="AS25556" s="47"/>
    </row>
    <row r="25557" spans="45:45">
      <c r="AS25557" s="47"/>
    </row>
    <row r="25558" spans="45:45">
      <c r="AS25558" s="47"/>
    </row>
    <row r="25559" spans="45:45">
      <c r="AS25559" s="47"/>
    </row>
    <row r="25560" spans="45:45">
      <c r="AS25560" s="47"/>
    </row>
    <row r="25561" spans="45:45">
      <c r="AS25561" s="47"/>
    </row>
    <row r="25562" spans="45:45">
      <c r="AS25562" s="47"/>
    </row>
    <row r="25563" spans="45:45">
      <c r="AS25563" s="47"/>
    </row>
    <row r="25564" spans="45:45">
      <c r="AS25564" s="47"/>
    </row>
    <row r="25565" spans="45:45">
      <c r="AS25565" s="47"/>
    </row>
    <row r="25566" spans="45:45">
      <c r="AS25566" s="47"/>
    </row>
    <row r="25567" spans="45:45">
      <c r="AS25567" s="47"/>
    </row>
    <row r="25568" spans="45:45">
      <c r="AS25568" s="47"/>
    </row>
    <row r="25569" spans="45:45">
      <c r="AS25569" s="47"/>
    </row>
    <row r="25570" spans="45:45">
      <c r="AS25570" s="47"/>
    </row>
    <row r="25571" spans="45:45">
      <c r="AS25571" s="47"/>
    </row>
    <row r="25572" spans="45:45">
      <c r="AS25572" s="47"/>
    </row>
    <row r="25573" spans="45:45">
      <c r="AS25573" s="47"/>
    </row>
    <row r="25574" spans="45:45">
      <c r="AS25574" s="47"/>
    </row>
    <row r="25575" spans="45:45">
      <c r="AS25575" s="47"/>
    </row>
    <row r="25576" spans="45:45">
      <c r="AS25576" s="47"/>
    </row>
    <row r="25577" spans="45:45">
      <c r="AS25577" s="47"/>
    </row>
    <row r="25578" spans="45:45">
      <c r="AS25578" s="47"/>
    </row>
    <row r="25579" spans="45:45">
      <c r="AS25579" s="47"/>
    </row>
    <row r="25580" spans="45:45">
      <c r="AS25580" s="47"/>
    </row>
    <row r="25581" spans="45:45">
      <c r="AS25581" s="47"/>
    </row>
    <row r="25582" spans="45:45">
      <c r="AS25582" s="47"/>
    </row>
    <row r="25583" spans="45:45">
      <c r="AS25583" s="47"/>
    </row>
    <row r="25584" spans="45:45">
      <c r="AS25584" s="47"/>
    </row>
    <row r="25585" spans="45:45">
      <c r="AS25585" s="47"/>
    </row>
    <row r="25586" spans="45:45">
      <c r="AS25586" s="47"/>
    </row>
    <row r="25587" spans="45:45">
      <c r="AS25587" s="47"/>
    </row>
    <row r="25588" spans="45:45">
      <c r="AS25588" s="47"/>
    </row>
    <row r="25589" spans="45:45">
      <c r="AS25589" s="47"/>
    </row>
    <row r="25590" spans="45:45">
      <c r="AS25590" s="47"/>
    </row>
    <row r="25591" spans="45:45">
      <c r="AS25591" s="47"/>
    </row>
    <row r="25592" spans="45:45">
      <c r="AS25592" s="47"/>
    </row>
    <row r="25593" spans="45:45">
      <c r="AS25593" s="47"/>
    </row>
    <row r="25594" spans="45:45">
      <c r="AS25594" s="47"/>
    </row>
    <row r="25595" spans="45:45">
      <c r="AS25595" s="47"/>
    </row>
    <row r="25596" spans="45:45">
      <c r="AS25596" s="47"/>
    </row>
    <row r="25597" spans="45:45">
      <c r="AS25597" s="47"/>
    </row>
    <row r="25598" spans="45:45">
      <c r="AS25598" s="47"/>
    </row>
    <row r="25599" spans="45:45">
      <c r="AS25599" s="47"/>
    </row>
    <row r="25600" spans="45:45">
      <c r="AS25600" s="47"/>
    </row>
    <row r="25601" spans="45:45">
      <c r="AS25601" s="47"/>
    </row>
    <row r="25602" spans="45:45">
      <c r="AS25602" s="47"/>
    </row>
    <row r="25603" spans="45:45">
      <c r="AS25603" s="47"/>
    </row>
    <row r="25604" spans="45:45">
      <c r="AS25604" s="47"/>
    </row>
    <row r="25605" spans="45:45">
      <c r="AS25605" s="47"/>
    </row>
    <row r="25606" spans="45:45">
      <c r="AS25606" s="47"/>
    </row>
    <row r="25607" spans="45:45">
      <c r="AS25607" s="47"/>
    </row>
    <row r="25608" spans="45:45">
      <c r="AS25608" s="47"/>
    </row>
    <row r="25609" spans="45:45">
      <c r="AS25609" s="47"/>
    </row>
    <row r="25610" spans="45:45">
      <c r="AS25610" s="47"/>
    </row>
    <row r="25611" spans="45:45">
      <c r="AS25611" s="47"/>
    </row>
    <row r="25612" spans="45:45">
      <c r="AS25612" s="47"/>
    </row>
    <row r="25613" spans="45:45">
      <c r="AS25613" s="47"/>
    </row>
    <row r="25614" spans="45:45">
      <c r="AS25614" s="47"/>
    </row>
    <row r="25615" spans="45:45">
      <c r="AS25615" s="47"/>
    </row>
    <row r="25616" spans="45:45">
      <c r="AS25616" s="47"/>
    </row>
    <row r="25617" spans="45:45">
      <c r="AS25617" s="47"/>
    </row>
    <row r="25618" spans="45:45">
      <c r="AS25618" s="47"/>
    </row>
    <row r="25619" spans="45:45">
      <c r="AS25619" s="47"/>
    </row>
    <row r="25620" spans="45:45">
      <c r="AS25620" s="47"/>
    </row>
    <row r="25621" spans="45:45">
      <c r="AS25621" s="47"/>
    </row>
    <row r="25622" spans="45:45">
      <c r="AS25622" s="47"/>
    </row>
    <row r="25623" spans="45:45">
      <c r="AS25623" s="47"/>
    </row>
    <row r="25624" spans="45:45">
      <c r="AS25624" s="47"/>
    </row>
    <row r="25625" spans="45:45">
      <c r="AS25625" s="47"/>
    </row>
    <row r="25626" spans="45:45">
      <c r="AS25626" s="47"/>
    </row>
    <row r="25627" spans="45:45">
      <c r="AS25627" s="47"/>
    </row>
    <row r="25628" spans="45:45">
      <c r="AS25628" s="47"/>
    </row>
    <row r="25629" spans="45:45">
      <c r="AS25629" s="47"/>
    </row>
    <row r="25630" spans="45:45">
      <c r="AS25630" s="47"/>
    </row>
    <row r="25631" spans="45:45">
      <c r="AS25631" s="47"/>
    </row>
    <row r="25632" spans="45:45">
      <c r="AS25632" s="47"/>
    </row>
    <row r="25633" spans="45:45">
      <c r="AS25633" s="47"/>
    </row>
    <row r="25634" spans="45:45">
      <c r="AS25634" s="47"/>
    </row>
    <row r="25635" spans="45:45">
      <c r="AS25635" s="47"/>
    </row>
    <row r="25636" spans="45:45">
      <c r="AS25636" s="47"/>
    </row>
    <row r="25637" spans="45:45">
      <c r="AS25637" s="47"/>
    </row>
    <row r="25638" spans="45:45">
      <c r="AS25638" s="47"/>
    </row>
    <row r="25639" spans="45:45">
      <c r="AS25639" s="47"/>
    </row>
    <row r="25640" spans="45:45">
      <c r="AS25640" s="47"/>
    </row>
    <row r="25641" spans="45:45">
      <c r="AS25641" s="47"/>
    </row>
    <row r="25642" spans="45:45">
      <c r="AS25642" s="47"/>
    </row>
    <row r="25643" spans="45:45">
      <c r="AS25643" s="47"/>
    </row>
    <row r="25644" spans="45:45">
      <c r="AS25644" s="47"/>
    </row>
    <row r="25645" spans="45:45">
      <c r="AS25645" s="47"/>
    </row>
    <row r="25646" spans="45:45">
      <c r="AS25646" s="47"/>
    </row>
    <row r="25647" spans="45:45">
      <c r="AS25647" s="47"/>
    </row>
    <row r="25648" spans="45:45">
      <c r="AS25648" s="47"/>
    </row>
    <row r="25649" spans="45:45">
      <c r="AS25649" s="47"/>
    </row>
    <row r="25650" spans="45:45">
      <c r="AS25650" s="47"/>
    </row>
    <row r="25651" spans="45:45">
      <c r="AS25651" s="47"/>
    </row>
    <row r="25652" spans="45:45">
      <c r="AS25652" s="47"/>
    </row>
    <row r="25653" spans="45:45">
      <c r="AS25653" s="47"/>
    </row>
    <row r="25654" spans="45:45">
      <c r="AS25654" s="47"/>
    </row>
    <row r="25655" spans="45:45">
      <c r="AS25655" s="47"/>
    </row>
    <row r="25656" spans="45:45">
      <c r="AS25656" s="47"/>
    </row>
    <row r="25657" spans="45:45">
      <c r="AS25657" s="47"/>
    </row>
    <row r="25658" spans="45:45">
      <c r="AS25658" s="47"/>
    </row>
    <row r="25659" spans="45:45">
      <c r="AS25659" s="47"/>
    </row>
    <row r="25660" spans="45:45">
      <c r="AS25660" s="47"/>
    </row>
    <row r="25661" spans="45:45">
      <c r="AS25661" s="47"/>
    </row>
    <row r="25662" spans="45:45">
      <c r="AS25662" s="47"/>
    </row>
    <row r="25663" spans="45:45">
      <c r="AS25663" s="47"/>
    </row>
    <row r="25664" spans="45:45">
      <c r="AS25664" s="47"/>
    </row>
    <row r="25665" spans="45:45">
      <c r="AS25665" s="47"/>
    </row>
    <row r="25666" spans="45:45">
      <c r="AS25666" s="47"/>
    </row>
    <row r="25667" spans="45:45">
      <c r="AS25667" s="47"/>
    </row>
    <row r="25668" spans="45:45">
      <c r="AS25668" s="47"/>
    </row>
    <row r="25669" spans="45:45">
      <c r="AS25669" s="47"/>
    </row>
    <row r="25670" spans="45:45">
      <c r="AS25670" s="47"/>
    </row>
    <row r="25671" spans="45:45">
      <c r="AS25671" s="47"/>
    </row>
    <row r="25672" spans="45:45">
      <c r="AS25672" s="47"/>
    </row>
    <row r="25673" spans="45:45">
      <c r="AS25673" s="47"/>
    </row>
    <row r="25674" spans="45:45">
      <c r="AS25674" s="47"/>
    </row>
    <row r="25675" spans="45:45">
      <c r="AS25675" s="47"/>
    </row>
    <row r="25676" spans="45:45">
      <c r="AS25676" s="47"/>
    </row>
    <row r="25677" spans="45:45">
      <c r="AS25677" s="47"/>
    </row>
    <row r="25678" spans="45:45">
      <c r="AS25678" s="47"/>
    </row>
    <row r="25679" spans="45:45">
      <c r="AS25679" s="47"/>
    </row>
    <row r="25680" spans="45:45">
      <c r="AS25680" s="47"/>
    </row>
    <row r="25681" spans="45:45">
      <c r="AS25681" s="47"/>
    </row>
    <row r="25682" spans="45:45">
      <c r="AS25682" s="47"/>
    </row>
    <row r="25683" spans="45:45">
      <c r="AS25683" s="47"/>
    </row>
    <row r="25684" spans="45:45">
      <c r="AS25684" s="47"/>
    </row>
    <row r="25685" spans="45:45">
      <c r="AS25685" s="47"/>
    </row>
    <row r="25686" spans="45:45">
      <c r="AS25686" s="47"/>
    </row>
    <row r="25687" spans="45:45">
      <c r="AS25687" s="47"/>
    </row>
    <row r="25688" spans="45:45">
      <c r="AS25688" s="47"/>
    </row>
    <row r="25689" spans="45:45">
      <c r="AS25689" s="47"/>
    </row>
    <row r="25690" spans="45:45">
      <c r="AS25690" s="47"/>
    </row>
    <row r="25691" spans="45:45">
      <c r="AS25691" s="47"/>
    </row>
    <row r="25692" spans="45:45">
      <c r="AS25692" s="47"/>
    </row>
    <row r="25693" spans="45:45">
      <c r="AS25693" s="47"/>
    </row>
    <row r="25694" spans="45:45">
      <c r="AS25694" s="47"/>
    </row>
    <row r="25695" spans="45:45">
      <c r="AS25695" s="47"/>
    </row>
    <row r="25696" spans="45:45">
      <c r="AS25696" s="47"/>
    </row>
    <row r="25697" spans="45:45">
      <c r="AS25697" s="47"/>
    </row>
    <row r="25698" spans="45:45">
      <c r="AS25698" s="47"/>
    </row>
    <row r="25699" spans="45:45">
      <c r="AS25699" s="47"/>
    </row>
    <row r="25700" spans="45:45">
      <c r="AS25700" s="47"/>
    </row>
    <row r="25701" spans="45:45">
      <c r="AS25701" s="47"/>
    </row>
    <row r="25702" spans="45:45">
      <c r="AS25702" s="47"/>
    </row>
    <row r="25703" spans="45:45">
      <c r="AS25703" s="47"/>
    </row>
    <row r="25704" spans="45:45">
      <c r="AS25704" s="47"/>
    </row>
    <row r="25705" spans="45:45">
      <c r="AS25705" s="47"/>
    </row>
    <row r="25706" spans="45:45">
      <c r="AS25706" s="47"/>
    </row>
    <row r="25707" spans="45:45">
      <c r="AS25707" s="47"/>
    </row>
    <row r="25708" spans="45:45">
      <c r="AS25708" s="47"/>
    </row>
    <row r="25709" spans="45:45">
      <c r="AS25709" s="47"/>
    </row>
    <row r="25710" spans="45:45">
      <c r="AS25710" s="47"/>
    </row>
    <row r="25711" spans="45:45">
      <c r="AS25711" s="47"/>
    </row>
    <row r="25712" spans="45:45">
      <c r="AS25712" s="47"/>
    </row>
    <row r="25713" spans="45:45">
      <c r="AS25713" s="47"/>
    </row>
    <row r="25714" spans="45:45">
      <c r="AS25714" s="47"/>
    </row>
    <row r="25715" spans="45:45">
      <c r="AS25715" s="47"/>
    </row>
    <row r="25716" spans="45:45">
      <c r="AS25716" s="47"/>
    </row>
    <row r="25717" spans="45:45">
      <c r="AS25717" s="47"/>
    </row>
    <row r="25718" spans="45:45">
      <c r="AS25718" s="47"/>
    </row>
    <row r="25719" spans="45:45">
      <c r="AS25719" s="47"/>
    </row>
    <row r="25720" spans="45:45">
      <c r="AS25720" s="47"/>
    </row>
    <row r="25721" spans="45:45">
      <c r="AS25721" s="47"/>
    </row>
    <row r="25722" spans="45:45">
      <c r="AS25722" s="47"/>
    </row>
    <row r="25723" spans="45:45">
      <c r="AS25723" s="47"/>
    </row>
    <row r="25724" spans="45:45">
      <c r="AS25724" s="47"/>
    </row>
    <row r="25725" spans="45:45">
      <c r="AS25725" s="47"/>
    </row>
    <row r="25726" spans="45:45">
      <c r="AS25726" s="47"/>
    </row>
    <row r="25727" spans="45:45">
      <c r="AS25727" s="47"/>
    </row>
    <row r="25728" spans="45:45">
      <c r="AS25728" s="47"/>
    </row>
    <row r="25729" spans="45:45">
      <c r="AS25729" s="47"/>
    </row>
    <row r="25730" spans="45:45">
      <c r="AS25730" s="47"/>
    </row>
    <row r="25731" spans="45:45">
      <c r="AS25731" s="47"/>
    </row>
    <row r="25732" spans="45:45">
      <c r="AS25732" s="47"/>
    </row>
    <row r="25733" spans="45:45">
      <c r="AS25733" s="47"/>
    </row>
    <row r="25734" spans="45:45">
      <c r="AS25734" s="47"/>
    </row>
    <row r="25735" spans="45:45">
      <c r="AS25735" s="47"/>
    </row>
    <row r="25736" spans="45:45">
      <c r="AS25736" s="47"/>
    </row>
    <row r="25737" spans="45:45">
      <c r="AS25737" s="47"/>
    </row>
    <row r="25738" spans="45:45">
      <c r="AS25738" s="47"/>
    </row>
    <row r="25739" spans="45:45">
      <c r="AS25739" s="47"/>
    </row>
    <row r="25740" spans="45:45">
      <c r="AS25740" s="47"/>
    </row>
    <row r="25741" spans="45:45">
      <c r="AS25741" s="47"/>
    </row>
    <row r="25742" spans="45:45">
      <c r="AS25742" s="47"/>
    </row>
    <row r="25743" spans="45:45">
      <c r="AS25743" s="47"/>
    </row>
    <row r="25744" spans="45:45">
      <c r="AS25744" s="47"/>
    </row>
    <row r="25745" spans="45:45">
      <c r="AS25745" s="47"/>
    </row>
    <row r="25746" spans="45:45">
      <c r="AS25746" s="47"/>
    </row>
    <row r="25747" spans="45:45">
      <c r="AS25747" s="47"/>
    </row>
    <row r="25748" spans="45:45">
      <c r="AS25748" s="47"/>
    </row>
    <row r="25749" spans="45:45">
      <c r="AS25749" s="47"/>
    </row>
    <row r="25750" spans="45:45">
      <c r="AS25750" s="47"/>
    </row>
    <row r="25751" spans="45:45">
      <c r="AS25751" s="47"/>
    </row>
    <row r="25752" spans="45:45">
      <c r="AS25752" s="47"/>
    </row>
    <row r="25753" spans="45:45">
      <c r="AS25753" s="47"/>
    </row>
    <row r="25754" spans="45:45">
      <c r="AS25754" s="47"/>
    </row>
    <row r="25755" spans="45:45">
      <c r="AS25755" s="47"/>
    </row>
    <row r="25756" spans="45:45">
      <c r="AS25756" s="47"/>
    </row>
    <row r="25757" spans="45:45">
      <c r="AS25757" s="47"/>
    </row>
    <row r="25758" spans="45:45">
      <c r="AS25758" s="47"/>
    </row>
    <row r="25759" spans="45:45">
      <c r="AS25759" s="47"/>
    </row>
    <row r="25760" spans="45:45">
      <c r="AS25760" s="47"/>
    </row>
    <row r="25761" spans="45:45">
      <c r="AS25761" s="47"/>
    </row>
    <row r="25762" spans="45:45">
      <c r="AS25762" s="47"/>
    </row>
    <row r="25763" spans="45:45">
      <c r="AS25763" s="47"/>
    </row>
    <row r="25764" spans="45:45">
      <c r="AS25764" s="47"/>
    </row>
    <row r="25765" spans="45:45">
      <c r="AS25765" s="47"/>
    </row>
    <row r="25766" spans="45:45">
      <c r="AS25766" s="47"/>
    </row>
    <row r="25767" spans="45:45">
      <c r="AS25767" s="47"/>
    </row>
    <row r="25768" spans="45:45">
      <c r="AS25768" s="47"/>
    </row>
    <row r="25769" spans="45:45">
      <c r="AS25769" s="47"/>
    </row>
    <row r="25770" spans="45:45">
      <c r="AS25770" s="47"/>
    </row>
    <row r="25771" spans="45:45">
      <c r="AS25771" s="47"/>
    </row>
    <row r="25772" spans="45:45">
      <c r="AS25772" s="47"/>
    </row>
    <row r="25773" spans="45:45">
      <c r="AS25773" s="47"/>
    </row>
    <row r="25774" spans="45:45">
      <c r="AS25774" s="47"/>
    </row>
    <row r="25775" spans="45:45">
      <c r="AS25775" s="47"/>
    </row>
    <row r="25776" spans="45:45">
      <c r="AS25776" s="47"/>
    </row>
    <row r="25777" spans="45:45">
      <c r="AS25777" s="47"/>
    </row>
    <row r="25778" spans="45:45">
      <c r="AS25778" s="47"/>
    </row>
    <row r="25779" spans="45:45">
      <c r="AS25779" s="47"/>
    </row>
    <row r="25780" spans="45:45">
      <c r="AS25780" s="47"/>
    </row>
    <row r="25781" spans="45:45">
      <c r="AS25781" s="47"/>
    </row>
    <row r="25782" spans="45:45">
      <c r="AS25782" s="47"/>
    </row>
    <row r="25783" spans="45:45">
      <c r="AS25783" s="47"/>
    </row>
    <row r="25784" spans="45:45">
      <c r="AS25784" s="47"/>
    </row>
    <row r="25785" spans="45:45">
      <c r="AS25785" s="47"/>
    </row>
    <row r="25786" spans="45:45">
      <c r="AS25786" s="47"/>
    </row>
    <row r="25787" spans="45:45">
      <c r="AS25787" s="47"/>
    </row>
    <row r="25788" spans="45:45">
      <c r="AS25788" s="47"/>
    </row>
    <row r="25789" spans="45:45">
      <c r="AS25789" s="47"/>
    </row>
    <row r="25790" spans="45:45">
      <c r="AS25790" s="47"/>
    </row>
    <row r="25791" spans="45:45">
      <c r="AS25791" s="47"/>
    </row>
    <row r="25792" spans="45:45">
      <c r="AS25792" s="47"/>
    </row>
    <row r="25793" spans="45:45">
      <c r="AS25793" s="47"/>
    </row>
    <row r="25794" spans="45:45">
      <c r="AS25794" s="47"/>
    </row>
    <row r="25795" spans="45:45">
      <c r="AS25795" s="47"/>
    </row>
    <row r="25796" spans="45:45">
      <c r="AS25796" s="47"/>
    </row>
    <row r="25797" spans="45:45">
      <c r="AS25797" s="47"/>
    </row>
    <row r="25798" spans="45:45">
      <c r="AS25798" s="47"/>
    </row>
    <row r="25799" spans="45:45">
      <c r="AS25799" s="47"/>
    </row>
    <row r="25800" spans="45:45">
      <c r="AS25800" s="47"/>
    </row>
    <row r="25801" spans="45:45">
      <c r="AS25801" s="47"/>
    </row>
    <row r="25802" spans="45:45">
      <c r="AS25802" s="47"/>
    </row>
    <row r="25803" spans="45:45">
      <c r="AS25803" s="47"/>
    </row>
    <row r="25804" spans="45:45">
      <c r="AS25804" s="47"/>
    </row>
    <row r="25805" spans="45:45">
      <c r="AS25805" s="47"/>
    </row>
    <row r="25806" spans="45:45">
      <c r="AS25806" s="47"/>
    </row>
    <row r="25807" spans="45:45">
      <c r="AS25807" s="47"/>
    </row>
    <row r="25808" spans="45:45">
      <c r="AS25808" s="47"/>
    </row>
    <row r="25809" spans="45:45">
      <c r="AS25809" s="47"/>
    </row>
    <row r="25810" spans="45:45">
      <c r="AS25810" s="47"/>
    </row>
    <row r="25811" spans="45:45">
      <c r="AS25811" s="47"/>
    </row>
    <row r="25812" spans="45:45">
      <c r="AS25812" s="47"/>
    </row>
    <row r="25813" spans="45:45">
      <c r="AS25813" s="47"/>
    </row>
    <row r="25814" spans="45:45">
      <c r="AS25814" s="47"/>
    </row>
    <row r="25815" spans="45:45">
      <c r="AS25815" s="47"/>
    </row>
    <row r="25816" spans="45:45">
      <c r="AS25816" s="47"/>
    </row>
    <row r="25817" spans="45:45">
      <c r="AS25817" s="47"/>
    </row>
    <row r="25818" spans="45:45">
      <c r="AS25818" s="47"/>
    </row>
    <row r="25819" spans="45:45">
      <c r="AS25819" s="47"/>
    </row>
    <row r="25820" spans="45:45">
      <c r="AS25820" s="47"/>
    </row>
    <row r="25821" spans="45:45">
      <c r="AS25821" s="47"/>
    </row>
    <row r="25822" spans="45:45">
      <c r="AS25822" s="47"/>
    </row>
    <row r="25823" spans="45:45">
      <c r="AS25823" s="47"/>
    </row>
    <row r="25824" spans="45:45">
      <c r="AS25824" s="47"/>
    </row>
    <row r="25825" spans="45:45">
      <c r="AS25825" s="47"/>
    </row>
    <row r="25826" spans="45:45">
      <c r="AS25826" s="47"/>
    </row>
    <row r="25827" spans="45:45">
      <c r="AS25827" s="47"/>
    </row>
    <row r="25828" spans="45:45">
      <c r="AS25828" s="47"/>
    </row>
    <row r="25829" spans="45:45">
      <c r="AS25829" s="47"/>
    </row>
    <row r="25830" spans="45:45">
      <c r="AS25830" s="47"/>
    </row>
    <row r="25831" spans="45:45">
      <c r="AS25831" s="47"/>
    </row>
    <row r="25832" spans="45:45">
      <c r="AS25832" s="47"/>
    </row>
    <row r="25833" spans="45:45">
      <c r="AS25833" s="47"/>
    </row>
    <row r="25834" spans="45:45">
      <c r="AS25834" s="47"/>
    </row>
    <row r="25835" spans="45:45">
      <c r="AS25835" s="47"/>
    </row>
    <row r="25836" spans="45:45">
      <c r="AS25836" s="47"/>
    </row>
    <row r="25837" spans="45:45">
      <c r="AS25837" s="47"/>
    </row>
    <row r="25838" spans="45:45">
      <c r="AS25838" s="47"/>
    </row>
    <row r="25839" spans="45:45">
      <c r="AS25839" s="47"/>
    </row>
    <row r="25840" spans="45:45">
      <c r="AS25840" s="47"/>
    </row>
    <row r="25841" spans="45:45">
      <c r="AS25841" s="47"/>
    </row>
    <row r="25842" spans="45:45">
      <c r="AS25842" s="47"/>
    </row>
    <row r="25843" spans="45:45">
      <c r="AS25843" s="47"/>
    </row>
    <row r="25844" spans="45:45">
      <c r="AS25844" s="47"/>
    </row>
    <row r="25845" spans="45:45">
      <c r="AS25845" s="47"/>
    </row>
    <row r="25846" spans="45:45">
      <c r="AS25846" s="47"/>
    </row>
    <row r="25847" spans="45:45">
      <c r="AS25847" s="47"/>
    </row>
    <row r="25848" spans="45:45">
      <c r="AS25848" s="47"/>
    </row>
    <row r="25849" spans="45:45">
      <c r="AS25849" s="47"/>
    </row>
    <row r="25850" spans="45:45">
      <c r="AS25850" s="47"/>
    </row>
    <row r="25851" spans="45:45">
      <c r="AS25851" s="47"/>
    </row>
    <row r="25852" spans="45:45">
      <c r="AS25852" s="47"/>
    </row>
    <row r="25853" spans="45:45">
      <c r="AS25853" s="47"/>
    </row>
    <row r="25854" spans="45:45">
      <c r="AS25854" s="47"/>
    </row>
    <row r="25855" spans="45:45">
      <c r="AS25855" s="47"/>
    </row>
    <row r="25856" spans="45:45">
      <c r="AS25856" s="47"/>
    </row>
    <row r="25857" spans="45:45">
      <c r="AS25857" s="47"/>
    </row>
    <row r="25858" spans="45:45">
      <c r="AS25858" s="47"/>
    </row>
    <row r="25859" spans="45:45">
      <c r="AS25859" s="47"/>
    </row>
    <row r="25860" spans="45:45">
      <c r="AS25860" s="47"/>
    </row>
    <row r="25861" spans="45:45">
      <c r="AS25861" s="47"/>
    </row>
    <row r="25862" spans="45:45">
      <c r="AS25862" s="47"/>
    </row>
    <row r="25863" spans="45:45">
      <c r="AS25863" s="47"/>
    </row>
    <row r="25864" spans="45:45">
      <c r="AS25864" s="47"/>
    </row>
    <row r="25865" spans="45:45">
      <c r="AS25865" s="47"/>
    </row>
    <row r="25866" spans="45:45">
      <c r="AS25866" s="47"/>
    </row>
    <row r="25867" spans="45:45">
      <c r="AS25867" s="47"/>
    </row>
    <row r="25868" spans="45:45">
      <c r="AS25868" s="47"/>
    </row>
    <row r="25869" spans="45:45">
      <c r="AS25869" s="47"/>
    </row>
    <row r="25870" spans="45:45">
      <c r="AS25870" s="47"/>
    </row>
    <row r="25871" spans="45:45">
      <c r="AS25871" s="47"/>
    </row>
    <row r="25872" spans="45:45">
      <c r="AS25872" s="47"/>
    </row>
    <row r="25873" spans="45:45">
      <c r="AS25873" s="47"/>
    </row>
    <row r="25874" spans="45:45">
      <c r="AS25874" s="47"/>
    </row>
    <row r="25875" spans="45:45">
      <c r="AS25875" s="47"/>
    </row>
    <row r="25876" spans="45:45">
      <c r="AS25876" s="47"/>
    </row>
    <row r="25877" spans="45:45">
      <c r="AS25877" s="47"/>
    </row>
    <row r="25878" spans="45:45">
      <c r="AS25878" s="47"/>
    </row>
    <row r="25879" spans="45:45">
      <c r="AS25879" s="47"/>
    </row>
    <row r="25880" spans="45:45">
      <c r="AS25880" s="47"/>
    </row>
    <row r="25881" spans="45:45">
      <c r="AS25881" s="47"/>
    </row>
    <row r="25882" spans="45:45">
      <c r="AS25882" s="47"/>
    </row>
    <row r="25883" spans="45:45">
      <c r="AS25883" s="47"/>
    </row>
    <row r="25884" spans="45:45">
      <c r="AS25884" s="47"/>
    </row>
    <row r="25885" spans="45:45">
      <c r="AS25885" s="47"/>
    </row>
    <row r="25886" spans="45:45">
      <c r="AS25886" s="47"/>
    </row>
    <row r="25887" spans="45:45">
      <c r="AS25887" s="47"/>
    </row>
    <row r="25888" spans="45:45">
      <c r="AS25888" s="47"/>
    </row>
    <row r="25889" spans="45:45">
      <c r="AS25889" s="47"/>
    </row>
    <row r="25890" spans="45:45">
      <c r="AS25890" s="47"/>
    </row>
    <row r="25891" spans="45:45">
      <c r="AS25891" s="47"/>
    </row>
    <row r="25892" spans="45:45">
      <c r="AS25892" s="47"/>
    </row>
    <row r="25893" spans="45:45">
      <c r="AS25893" s="47"/>
    </row>
    <row r="25894" spans="45:45">
      <c r="AS25894" s="47"/>
    </row>
    <row r="25895" spans="45:45">
      <c r="AS25895" s="47"/>
    </row>
    <row r="25896" spans="45:45">
      <c r="AS25896" s="47"/>
    </row>
    <row r="25897" spans="45:45">
      <c r="AS25897" s="47"/>
    </row>
    <row r="25898" spans="45:45">
      <c r="AS25898" s="47"/>
    </row>
    <row r="25899" spans="45:45">
      <c r="AS25899" s="47"/>
    </row>
    <row r="25900" spans="45:45">
      <c r="AS25900" s="47"/>
    </row>
    <row r="25901" spans="45:45">
      <c r="AS25901" s="47"/>
    </row>
    <row r="25902" spans="45:45">
      <c r="AS25902" s="47"/>
    </row>
    <row r="25903" spans="45:45">
      <c r="AS25903" s="47"/>
    </row>
    <row r="25904" spans="45:45">
      <c r="AS25904" s="47"/>
    </row>
    <row r="25905" spans="45:45">
      <c r="AS25905" s="47"/>
    </row>
    <row r="25906" spans="45:45">
      <c r="AS25906" s="47"/>
    </row>
    <row r="25907" spans="45:45">
      <c r="AS25907" s="47"/>
    </row>
    <row r="25908" spans="45:45">
      <c r="AS25908" s="47"/>
    </row>
    <row r="25909" spans="45:45">
      <c r="AS25909" s="47"/>
    </row>
    <row r="25910" spans="45:45">
      <c r="AS25910" s="47"/>
    </row>
    <row r="25911" spans="45:45">
      <c r="AS25911" s="47"/>
    </row>
    <row r="25912" spans="45:45">
      <c r="AS25912" s="47"/>
    </row>
    <row r="25913" spans="45:45">
      <c r="AS25913" s="47"/>
    </row>
    <row r="25914" spans="45:45">
      <c r="AS25914" s="47"/>
    </row>
    <row r="25915" spans="45:45">
      <c r="AS25915" s="47"/>
    </row>
    <row r="25916" spans="45:45">
      <c r="AS25916" s="47"/>
    </row>
    <row r="25917" spans="45:45">
      <c r="AS25917" s="47"/>
    </row>
    <row r="25918" spans="45:45">
      <c r="AS25918" s="47"/>
    </row>
    <row r="25919" spans="45:45">
      <c r="AS25919" s="47"/>
    </row>
    <row r="25920" spans="45:45">
      <c r="AS25920" s="47"/>
    </row>
    <row r="25921" spans="45:45">
      <c r="AS25921" s="47"/>
    </row>
    <row r="25922" spans="45:45">
      <c r="AS25922" s="47"/>
    </row>
    <row r="25923" spans="45:45">
      <c r="AS25923" s="47"/>
    </row>
    <row r="25924" spans="45:45">
      <c r="AS25924" s="47"/>
    </row>
    <row r="25925" spans="45:45">
      <c r="AS25925" s="47"/>
    </row>
    <row r="25926" spans="45:45">
      <c r="AS25926" s="47"/>
    </row>
    <row r="25927" spans="45:45">
      <c r="AS25927" s="47"/>
    </row>
    <row r="25928" spans="45:45">
      <c r="AS25928" s="47"/>
    </row>
    <row r="25929" spans="45:45">
      <c r="AS25929" s="47"/>
    </row>
    <row r="25930" spans="45:45">
      <c r="AS25930" s="47"/>
    </row>
    <row r="25931" spans="45:45">
      <c r="AS25931" s="47"/>
    </row>
    <row r="25932" spans="45:45">
      <c r="AS25932" s="47"/>
    </row>
    <row r="25933" spans="45:45">
      <c r="AS25933" s="47"/>
    </row>
    <row r="25934" spans="45:45">
      <c r="AS25934" s="47"/>
    </row>
    <row r="25935" spans="45:45">
      <c r="AS25935" s="47"/>
    </row>
    <row r="25936" spans="45:45">
      <c r="AS25936" s="47"/>
    </row>
    <row r="25937" spans="45:45">
      <c r="AS25937" s="47"/>
    </row>
    <row r="25938" spans="45:45">
      <c r="AS25938" s="47"/>
    </row>
    <row r="25939" spans="45:45">
      <c r="AS25939" s="47"/>
    </row>
    <row r="25940" spans="45:45">
      <c r="AS25940" s="47"/>
    </row>
    <row r="25941" spans="45:45">
      <c r="AS25941" s="47"/>
    </row>
    <row r="25942" spans="45:45">
      <c r="AS25942" s="47"/>
    </row>
    <row r="25943" spans="45:45">
      <c r="AS25943" s="47"/>
    </row>
    <row r="25944" spans="45:45">
      <c r="AS25944" s="47"/>
    </row>
    <row r="25945" spans="45:45">
      <c r="AS25945" s="47"/>
    </row>
    <row r="25946" spans="45:45">
      <c r="AS25946" s="47"/>
    </row>
    <row r="25947" spans="45:45">
      <c r="AS25947" s="47"/>
    </row>
    <row r="25948" spans="45:45">
      <c r="AS25948" s="47"/>
    </row>
    <row r="25949" spans="45:45">
      <c r="AS25949" s="47"/>
    </row>
    <row r="25950" spans="45:45">
      <c r="AS25950" s="47"/>
    </row>
    <row r="25951" spans="45:45">
      <c r="AS25951" s="47"/>
    </row>
    <row r="25952" spans="45:45">
      <c r="AS25952" s="47"/>
    </row>
    <row r="25953" spans="45:45">
      <c r="AS25953" s="47"/>
    </row>
    <row r="25954" spans="45:45">
      <c r="AS25954" s="47"/>
    </row>
    <row r="25955" spans="45:45">
      <c r="AS25955" s="47"/>
    </row>
    <row r="25956" spans="45:45">
      <c r="AS25956" s="47"/>
    </row>
    <row r="25957" spans="45:45">
      <c r="AS25957" s="47"/>
    </row>
    <row r="25958" spans="45:45">
      <c r="AS25958" s="47"/>
    </row>
    <row r="25959" spans="45:45">
      <c r="AS25959" s="47"/>
    </row>
    <row r="25960" spans="45:45">
      <c r="AS25960" s="47"/>
    </row>
    <row r="25961" spans="45:45">
      <c r="AS25961" s="47"/>
    </row>
    <row r="25962" spans="45:45">
      <c r="AS25962" s="47"/>
    </row>
    <row r="25963" spans="45:45">
      <c r="AS25963" s="47"/>
    </row>
    <row r="25964" spans="45:45">
      <c r="AS25964" s="47"/>
    </row>
    <row r="25965" spans="45:45">
      <c r="AS25965" s="47"/>
    </row>
    <row r="25966" spans="45:45">
      <c r="AS25966" s="47"/>
    </row>
    <row r="25967" spans="45:45">
      <c r="AS25967" s="47"/>
    </row>
    <row r="25968" spans="45:45">
      <c r="AS25968" s="47"/>
    </row>
    <row r="25969" spans="45:45">
      <c r="AS25969" s="47"/>
    </row>
    <row r="25970" spans="45:45">
      <c r="AS25970" s="47"/>
    </row>
    <row r="25971" spans="45:45">
      <c r="AS25971" s="47"/>
    </row>
    <row r="25972" spans="45:45">
      <c r="AS25972" s="47"/>
    </row>
    <row r="25973" spans="45:45">
      <c r="AS25973" s="47"/>
    </row>
    <row r="25974" spans="45:45">
      <c r="AS25974" s="47"/>
    </row>
    <row r="25975" spans="45:45">
      <c r="AS25975" s="47"/>
    </row>
    <row r="25976" spans="45:45">
      <c r="AS25976" s="47"/>
    </row>
    <row r="25977" spans="45:45">
      <c r="AS25977" s="47"/>
    </row>
    <row r="25978" spans="45:45">
      <c r="AS25978" s="47"/>
    </row>
    <row r="25979" spans="45:45">
      <c r="AS25979" s="47"/>
    </row>
    <row r="25980" spans="45:45">
      <c r="AS25980" s="47"/>
    </row>
    <row r="25981" spans="45:45">
      <c r="AS25981" s="47"/>
    </row>
    <row r="25982" spans="45:45">
      <c r="AS25982" s="47"/>
    </row>
    <row r="25983" spans="45:45">
      <c r="AS25983" s="47"/>
    </row>
    <row r="25984" spans="45:45">
      <c r="AS25984" s="47"/>
    </row>
    <row r="25985" spans="45:45">
      <c r="AS25985" s="47"/>
    </row>
    <row r="25986" spans="45:45">
      <c r="AS25986" s="47"/>
    </row>
    <row r="25987" spans="45:45">
      <c r="AS25987" s="47"/>
    </row>
    <row r="25988" spans="45:45">
      <c r="AS25988" s="47"/>
    </row>
    <row r="25989" spans="45:45">
      <c r="AS25989" s="47"/>
    </row>
    <row r="25990" spans="45:45">
      <c r="AS25990" s="47"/>
    </row>
    <row r="25991" spans="45:45">
      <c r="AS25991" s="47"/>
    </row>
    <row r="25992" spans="45:45">
      <c r="AS25992" s="47"/>
    </row>
    <row r="25993" spans="45:45">
      <c r="AS25993" s="47"/>
    </row>
    <row r="25994" spans="45:45">
      <c r="AS25994" s="47"/>
    </row>
    <row r="25995" spans="45:45">
      <c r="AS25995" s="47"/>
    </row>
    <row r="25996" spans="45:45">
      <c r="AS25996" s="47"/>
    </row>
    <row r="25997" spans="45:45">
      <c r="AS25997" s="47"/>
    </row>
    <row r="25998" spans="45:45">
      <c r="AS25998" s="47"/>
    </row>
    <row r="25999" spans="45:45">
      <c r="AS25999" s="47"/>
    </row>
    <row r="26000" spans="45:45">
      <c r="AS26000" s="47"/>
    </row>
    <row r="26001" spans="45:45">
      <c r="AS26001" s="47"/>
    </row>
    <row r="26002" spans="45:45">
      <c r="AS26002" s="47"/>
    </row>
    <row r="26003" spans="45:45">
      <c r="AS26003" s="47"/>
    </row>
    <row r="26004" spans="45:45">
      <c r="AS26004" s="47"/>
    </row>
    <row r="26005" spans="45:45">
      <c r="AS26005" s="47"/>
    </row>
    <row r="26006" spans="45:45">
      <c r="AS26006" s="47"/>
    </row>
    <row r="26007" spans="45:45">
      <c r="AS26007" s="47"/>
    </row>
    <row r="26008" spans="45:45">
      <c r="AS26008" s="47"/>
    </row>
    <row r="26009" spans="45:45">
      <c r="AS26009" s="47"/>
    </row>
    <row r="26010" spans="45:45">
      <c r="AS26010" s="47"/>
    </row>
    <row r="26011" spans="45:45">
      <c r="AS26011" s="47"/>
    </row>
    <row r="26012" spans="45:45">
      <c r="AS26012" s="47"/>
    </row>
    <row r="26013" spans="45:45">
      <c r="AS26013" s="47"/>
    </row>
    <row r="26014" spans="45:45">
      <c r="AS26014" s="47"/>
    </row>
    <row r="26015" spans="45:45">
      <c r="AS26015" s="47"/>
    </row>
    <row r="26016" spans="45:45">
      <c r="AS26016" s="47"/>
    </row>
    <row r="26017" spans="45:45">
      <c r="AS26017" s="47"/>
    </row>
    <row r="26018" spans="45:45">
      <c r="AS26018" s="47"/>
    </row>
    <row r="26019" spans="45:45">
      <c r="AS26019" s="47"/>
    </row>
    <row r="26020" spans="45:45">
      <c r="AS26020" s="47"/>
    </row>
    <row r="26021" spans="45:45">
      <c r="AS26021" s="47"/>
    </row>
    <row r="26022" spans="45:45">
      <c r="AS26022" s="47"/>
    </row>
    <row r="26023" spans="45:45">
      <c r="AS26023" s="47"/>
    </row>
    <row r="26024" spans="45:45">
      <c r="AS26024" s="47"/>
    </row>
    <row r="26025" spans="45:45">
      <c r="AS26025" s="47"/>
    </row>
    <row r="26026" spans="45:45">
      <c r="AS26026" s="47"/>
    </row>
    <row r="26027" spans="45:45">
      <c r="AS26027" s="47"/>
    </row>
    <row r="26028" spans="45:45">
      <c r="AS26028" s="47"/>
    </row>
    <row r="26029" spans="45:45">
      <c r="AS26029" s="47"/>
    </row>
    <row r="26030" spans="45:45">
      <c r="AS26030" s="47"/>
    </row>
    <row r="26031" spans="45:45">
      <c r="AS26031" s="47"/>
    </row>
    <row r="26032" spans="45:45">
      <c r="AS26032" s="47"/>
    </row>
    <row r="26033" spans="45:45">
      <c r="AS26033" s="47"/>
    </row>
    <row r="26034" spans="45:45">
      <c r="AS26034" s="47"/>
    </row>
    <row r="26035" spans="45:45">
      <c r="AS26035" s="47"/>
    </row>
    <row r="26036" spans="45:45">
      <c r="AS26036" s="47"/>
    </row>
    <row r="26037" spans="45:45">
      <c r="AS26037" s="47"/>
    </row>
    <row r="26038" spans="45:45">
      <c r="AS26038" s="47"/>
    </row>
    <row r="26039" spans="45:45">
      <c r="AS26039" s="47"/>
    </row>
    <row r="26040" spans="45:45">
      <c r="AS26040" s="47"/>
    </row>
    <row r="26041" spans="45:45">
      <c r="AS26041" s="47"/>
    </row>
    <row r="26042" spans="45:45">
      <c r="AS26042" s="47"/>
    </row>
    <row r="26043" spans="45:45">
      <c r="AS26043" s="47"/>
    </row>
    <row r="26044" spans="45:45">
      <c r="AS26044" s="47"/>
    </row>
    <row r="26045" spans="45:45">
      <c r="AS26045" s="47"/>
    </row>
    <row r="26046" spans="45:45">
      <c r="AS26046" s="47"/>
    </row>
    <row r="26047" spans="45:45">
      <c r="AS26047" s="47"/>
    </row>
    <row r="26048" spans="45:45">
      <c r="AS26048" s="47"/>
    </row>
    <row r="26049" spans="45:45">
      <c r="AS26049" s="47"/>
    </row>
    <row r="26050" spans="45:45">
      <c r="AS26050" s="47"/>
    </row>
    <row r="26051" spans="45:45">
      <c r="AS26051" s="47"/>
    </row>
    <row r="26052" spans="45:45">
      <c r="AS26052" s="47"/>
    </row>
    <row r="26053" spans="45:45">
      <c r="AS26053" s="47"/>
    </row>
    <row r="26054" spans="45:45">
      <c r="AS26054" s="47"/>
    </row>
    <row r="26055" spans="45:45">
      <c r="AS26055" s="47"/>
    </row>
    <row r="26056" spans="45:45">
      <c r="AS26056" s="47"/>
    </row>
    <row r="26057" spans="45:45">
      <c r="AS26057" s="47"/>
    </row>
    <row r="26058" spans="45:45">
      <c r="AS26058" s="47"/>
    </row>
    <row r="26059" spans="45:45">
      <c r="AS26059" s="47"/>
    </row>
    <row r="26060" spans="45:45">
      <c r="AS26060" s="47"/>
    </row>
    <row r="26061" spans="45:45">
      <c r="AS26061" s="47"/>
    </row>
    <row r="26062" spans="45:45">
      <c r="AS26062" s="47"/>
    </row>
    <row r="26063" spans="45:45">
      <c r="AS26063" s="47"/>
    </row>
    <row r="26064" spans="45:45">
      <c r="AS26064" s="47"/>
    </row>
    <row r="26065" spans="45:45">
      <c r="AS26065" s="47"/>
    </row>
    <row r="26066" spans="45:45">
      <c r="AS26066" s="47"/>
    </row>
    <row r="26067" spans="45:45">
      <c r="AS26067" s="47"/>
    </row>
    <row r="26068" spans="45:45">
      <c r="AS26068" s="47"/>
    </row>
    <row r="26069" spans="45:45">
      <c r="AS26069" s="47"/>
    </row>
    <row r="26070" spans="45:45">
      <c r="AS26070" s="47"/>
    </row>
    <row r="26071" spans="45:45">
      <c r="AS26071" s="47"/>
    </row>
    <row r="26072" spans="45:45">
      <c r="AS26072" s="47"/>
    </row>
    <row r="26073" spans="45:45">
      <c r="AS26073" s="47"/>
    </row>
    <row r="26074" spans="45:45">
      <c r="AS26074" s="47"/>
    </row>
    <row r="26075" spans="45:45">
      <c r="AS26075" s="47"/>
    </row>
    <row r="26076" spans="45:45">
      <c r="AS26076" s="47"/>
    </row>
    <row r="26077" spans="45:45">
      <c r="AS26077" s="47"/>
    </row>
    <row r="26078" spans="45:45">
      <c r="AS26078" s="47"/>
    </row>
    <row r="26079" spans="45:45">
      <c r="AS26079" s="47"/>
    </row>
    <row r="26080" spans="45:45">
      <c r="AS26080" s="47"/>
    </row>
    <row r="26081" spans="45:45">
      <c r="AS26081" s="47"/>
    </row>
    <row r="26082" spans="45:45">
      <c r="AS26082" s="47"/>
    </row>
    <row r="26083" spans="45:45">
      <c r="AS26083" s="47"/>
    </row>
    <row r="26084" spans="45:45">
      <c r="AS26084" s="47"/>
    </row>
    <row r="26085" spans="45:45">
      <c r="AS26085" s="47"/>
    </row>
    <row r="26086" spans="45:45">
      <c r="AS26086" s="47"/>
    </row>
    <row r="26087" spans="45:45">
      <c r="AS26087" s="47"/>
    </row>
    <row r="26088" spans="45:45">
      <c r="AS26088" s="47"/>
    </row>
    <row r="26089" spans="45:45">
      <c r="AS26089" s="47"/>
    </row>
    <row r="26090" spans="45:45">
      <c r="AS26090" s="47"/>
    </row>
    <row r="26091" spans="45:45">
      <c r="AS26091" s="47"/>
    </row>
    <row r="26092" spans="45:45">
      <c r="AS26092" s="47"/>
    </row>
    <row r="26093" spans="45:45">
      <c r="AS26093" s="47"/>
    </row>
    <row r="26094" spans="45:45">
      <c r="AS26094" s="47"/>
    </row>
    <row r="26095" spans="45:45">
      <c r="AS26095" s="47"/>
    </row>
    <row r="26096" spans="45:45">
      <c r="AS26096" s="47"/>
    </row>
    <row r="26097" spans="45:45">
      <c r="AS26097" s="47"/>
    </row>
    <row r="26098" spans="45:45">
      <c r="AS26098" s="47"/>
    </row>
    <row r="26099" spans="45:45">
      <c r="AS26099" s="47"/>
    </row>
    <row r="26100" spans="45:45">
      <c r="AS26100" s="47"/>
    </row>
    <row r="26101" spans="45:45">
      <c r="AS26101" s="47"/>
    </row>
    <row r="26102" spans="45:45">
      <c r="AS26102" s="47"/>
    </row>
    <row r="26103" spans="45:45">
      <c r="AS26103" s="47"/>
    </row>
    <row r="26104" spans="45:45">
      <c r="AS26104" s="47"/>
    </row>
    <row r="26105" spans="45:45">
      <c r="AS26105" s="47"/>
    </row>
    <row r="26106" spans="45:45">
      <c r="AS26106" s="47"/>
    </row>
    <row r="26107" spans="45:45">
      <c r="AS26107" s="47"/>
    </row>
    <row r="26108" spans="45:45">
      <c r="AS26108" s="47"/>
    </row>
    <row r="26109" spans="45:45">
      <c r="AS26109" s="47"/>
    </row>
    <row r="26110" spans="45:45">
      <c r="AS26110" s="47"/>
    </row>
    <row r="26111" spans="45:45">
      <c r="AS26111" s="47"/>
    </row>
    <row r="26112" spans="45:45">
      <c r="AS26112" s="47"/>
    </row>
    <row r="26113" spans="45:45">
      <c r="AS26113" s="47"/>
    </row>
    <row r="26114" spans="45:45">
      <c r="AS26114" s="47"/>
    </row>
    <row r="26115" spans="45:45">
      <c r="AS26115" s="47"/>
    </row>
    <row r="26116" spans="45:45">
      <c r="AS26116" s="47"/>
    </row>
    <row r="26117" spans="45:45">
      <c r="AS26117" s="47"/>
    </row>
    <row r="26118" spans="45:45">
      <c r="AS26118" s="47"/>
    </row>
    <row r="26119" spans="45:45">
      <c r="AS26119" s="47"/>
    </row>
    <row r="26120" spans="45:45">
      <c r="AS26120" s="47"/>
    </row>
    <row r="26121" spans="45:45">
      <c r="AS26121" s="47"/>
    </row>
    <row r="26122" spans="45:45">
      <c r="AS26122" s="47"/>
    </row>
    <row r="26123" spans="45:45">
      <c r="AS26123" s="47"/>
    </row>
    <row r="26124" spans="45:45">
      <c r="AS26124" s="47"/>
    </row>
    <row r="26125" spans="45:45">
      <c r="AS26125" s="47"/>
    </row>
    <row r="26126" spans="45:45">
      <c r="AS26126" s="47"/>
    </row>
    <row r="26127" spans="45:45">
      <c r="AS26127" s="47"/>
    </row>
    <row r="26128" spans="45:45">
      <c r="AS26128" s="47"/>
    </row>
    <row r="26129" spans="45:45">
      <c r="AS26129" s="47"/>
    </row>
    <row r="26130" spans="45:45">
      <c r="AS26130" s="47"/>
    </row>
    <row r="26131" spans="45:45">
      <c r="AS26131" s="47"/>
    </row>
    <row r="26132" spans="45:45">
      <c r="AS26132" s="47"/>
    </row>
    <row r="26133" spans="45:45">
      <c r="AS26133" s="47"/>
    </row>
    <row r="26134" spans="45:45">
      <c r="AS26134" s="47"/>
    </row>
    <row r="26135" spans="45:45">
      <c r="AS26135" s="47"/>
    </row>
    <row r="26136" spans="45:45">
      <c r="AS26136" s="47"/>
    </row>
    <row r="26137" spans="45:45">
      <c r="AS26137" s="47"/>
    </row>
    <row r="26138" spans="45:45">
      <c r="AS26138" s="47"/>
    </row>
    <row r="26139" spans="45:45">
      <c r="AS26139" s="47"/>
    </row>
    <row r="26140" spans="45:45">
      <c r="AS26140" s="47"/>
    </row>
    <row r="26141" spans="45:45">
      <c r="AS26141" s="47"/>
    </row>
    <row r="26142" spans="45:45">
      <c r="AS26142" s="47"/>
    </row>
    <row r="26143" spans="45:45">
      <c r="AS26143" s="47"/>
    </row>
    <row r="26144" spans="45:45">
      <c r="AS26144" s="47"/>
    </row>
    <row r="26145" spans="45:45">
      <c r="AS26145" s="47"/>
    </row>
    <row r="26146" spans="45:45">
      <c r="AS26146" s="47"/>
    </row>
    <row r="26147" spans="45:45">
      <c r="AS26147" s="47"/>
    </row>
    <row r="26148" spans="45:45">
      <c r="AS26148" s="47"/>
    </row>
    <row r="26149" spans="45:45">
      <c r="AS26149" s="47"/>
    </row>
    <row r="26150" spans="45:45">
      <c r="AS26150" s="47"/>
    </row>
    <row r="26151" spans="45:45">
      <c r="AS26151" s="47"/>
    </row>
    <row r="26152" spans="45:45">
      <c r="AS26152" s="47"/>
    </row>
    <row r="26153" spans="45:45">
      <c r="AS26153" s="47"/>
    </row>
    <row r="26154" spans="45:45">
      <c r="AS26154" s="47"/>
    </row>
    <row r="26155" spans="45:45">
      <c r="AS26155" s="47"/>
    </row>
    <row r="26156" spans="45:45">
      <c r="AS26156" s="47"/>
    </row>
    <row r="26157" spans="45:45">
      <c r="AS26157" s="47"/>
    </row>
    <row r="26158" spans="45:45">
      <c r="AS26158" s="47"/>
    </row>
    <row r="26159" spans="45:45">
      <c r="AS26159" s="47"/>
    </row>
    <row r="26160" spans="45:45">
      <c r="AS26160" s="47"/>
    </row>
    <row r="26161" spans="45:45">
      <c r="AS26161" s="47"/>
    </row>
    <row r="26162" spans="45:45">
      <c r="AS26162" s="47"/>
    </row>
    <row r="26163" spans="45:45">
      <c r="AS26163" s="47"/>
    </row>
    <row r="26164" spans="45:45">
      <c r="AS26164" s="47"/>
    </row>
    <row r="26165" spans="45:45">
      <c r="AS26165" s="47"/>
    </row>
    <row r="26166" spans="45:45">
      <c r="AS26166" s="47"/>
    </row>
    <row r="26167" spans="45:45">
      <c r="AS26167" s="47"/>
    </row>
    <row r="26168" spans="45:45">
      <c r="AS26168" s="47"/>
    </row>
    <row r="26169" spans="45:45">
      <c r="AS26169" s="47"/>
    </row>
    <row r="26170" spans="45:45">
      <c r="AS26170" s="47"/>
    </row>
    <row r="26171" spans="45:45">
      <c r="AS26171" s="47"/>
    </row>
    <row r="26172" spans="45:45">
      <c r="AS26172" s="47"/>
    </row>
    <row r="26173" spans="45:45">
      <c r="AS26173" s="47"/>
    </row>
    <row r="26174" spans="45:45">
      <c r="AS26174" s="47"/>
    </row>
    <row r="26175" spans="45:45">
      <c r="AS26175" s="47"/>
    </row>
    <row r="26176" spans="45:45">
      <c r="AS26176" s="47"/>
    </row>
    <row r="26177" spans="45:45">
      <c r="AS26177" s="47"/>
    </row>
    <row r="26178" spans="45:45">
      <c r="AS26178" s="47"/>
    </row>
    <row r="26179" spans="45:45">
      <c r="AS26179" s="47"/>
    </row>
    <row r="26180" spans="45:45">
      <c r="AS26180" s="47"/>
    </row>
    <row r="26181" spans="45:45">
      <c r="AS26181" s="47"/>
    </row>
    <row r="26182" spans="45:45">
      <c r="AS26182" s="47"/>
    </row>
    <row r="26183" spans="45:45">
      <c r="AS26183" s="47"/>
    </row>
    <row r="26184" spans="45:45">
      <c r="AS26184" s="47"/>
    </row>
    <row r="26185" spans="45:45">
      <c r="AS26185" s="47"/>
    </row>
    <row r="26186" spans="45:45">
      <c r="AS26186" s="47"/>
    </row>
    <row r="26187" spans="45:45">
      <c r="AS26187" s="47"/>
    </row>
    <row r="26188" spans="45:45">
      <c r="AS26188" s="47"/>
    </row>
    <row r="26189" spans="45:45">
      <c r="AS26189" s="47"/>
    </row>
    <row r="26190" spans="45:45">
      <c r="AS26190" s="47"/>
    </row>
    <row r="26191" spans="45:45">
      <c r="AS26191" s="47"/>
    </row>
    <row r="26192" spans="45:45">
      <c r="AS26192" s="47"/>
    </row>
    <row r="26193" spans="45:45">
      <c r="AS26193" s="47"/>
    </row>
    <row r="26194" spans="45:45">
      <c r="AS26194" s="47"/>
    </row>
    <row r="26195" spans="45:45">
      <c r="AS26195" s="47"/>
    </row>
    <row r="26196" spans="45:45">
      <c r="AS26196" s="47"/>
    </row>
    <row r="26197" spans="45:45">
      <c r="AS26197" s="47"/>
    </row>
    <row r="26198" spans="45:45">
      <c r="AS26198" s="47"/>
    </row>
    <row r="26199" spans="45:45">
      <c r="AS26199" s="47"/>
    </row>
    <row r="26200" spans="45:45">
      <c r="AS26200" s="47"/>
    </row>
    <row r="26201" spans="45:45">
      <c r="AS26201" s="47"/>
    </row>
    <row r="26202" spans="45:45">
      <c r="AS26202" s="47"/>
    </row>
    <row r="26203" spans="45:45">
      <c r="AS26203" s="47"/>
    </row>
    <row r="26204" spans="45:45">
      <c r="AS26204" s="47"/>
    </row>
    <row r="26205" spans="45:45">
      <c r="AS26205" s="47"/>
    </row>
    <row r="26206" spans="45:45">
      <c r="AS26206" s="47"/>
    </row>
    <row r="26207" spans="45:45">
      <c r="AS26207" s="47"/>
    </row>
    <row r="26208" spans="45:45">
      <c r="AS26208" s="47"/>
    </row>
    <row r="26209" spans="45:45">
      <c r="AS26209" s="47"/>
    </row>
    <row r="26210" spans="45:45">
      <c r="AS26210" s="47"/>
    </row>
    <row r="26211" spans="45:45">
      <c r="AS26211" s="47"/>
    </row>
    <row r="26212" spans="45:45">
      <c r="AS26212" s="47"/>
    </row>
    <row r="26213" spans="45:45">
      <c r="AS26213" s="47"/>
    </row>
    <row r="26214" spans="45:45">
      <c r="AS26214" s="47"/>
    </row>
    <row r="26215" spans="45:45">
      <c r="AS26215" s="47"/>
    </row>
    <row r="26216" spans="45:45">
      <c r="AS26216" s="47"/>
    </row>
    <row r="26217" spans="45:45">
      <c r="AS26217" s="47"/>
    </row>
    <row r="26218" spans="45:45">
      <c r="AS26218" s="47"/>
    </row>
    <row r="26219" spans="45:45">
      <c r="AS26219" s="47"/>
    </row>
    <row r="26220" spans="45:45">
      <c r="AS26220" s="47"/>
    </row>
    <row r="26221" spans="45:45">
      <c r="AS26221" s="47"/>
    </row>
    <row r="26222" spans="45:45">
      <c r="AS26222" s="47"/>
    </row>
    <row r="26223" spans="45:45">
      <c r="AS26223" s="47"/>
    </row>
    <row r="26224" spans="45:45">
      <c r="AS26224" s="47"/>
    </row>
    <row r="26225" spans="45:45">
      <c r="AS26225" s="47"/>
    </row>
    <row r="26226" spans="45:45">
      <c r="AS26226" s="47"/>
    </row>
    <row r="26227" spans="45:45">
      <c r="AS26227" s="47"/>
    </row>
    <row r="26228" spans="45:45">
      <c r="AS26228" s="47"/>
    </row>
    <row r="26229" spans="45:45">
      <c r="AS26229" s="47"/>
    </row>
    <row r="26230" spans="45:45">
      <c r="AS26230" s="47"/>
    </row>
    <row r="26231" spans="45:45">
      <c r="AS26231" s="47"/>
    </row>
    <row r="26232" spans="45:45">
      <c r="AS26232" s="47"/>
    </row>
    <row r="26233" spans="45:45">
      <c r="AS26233" s="47"/>
    </row>
    <row r="26234" spans="45:45">
      <c r="AS26234" s="47"/>
    </row>
    <row r="26235" spans="45:45">
      <c r="AS26235" s="47"/>
    </row>
    <row r="26236" spans="45:45">
      <c r="AS26236" s="47"/>
    </row>
    <row r="26237" spans="45:45">
      <c r="AS26237" s="47"/>
    </row>
    <row r="26238" spans="45:45">
      <c r="AS26238" s="47"/>
    </row>
    <row r="26239" spans="45:45">
      <c r="AS26239" s="47"/>
    </row>
    <row r="26240" spans="45:45">
      <c r="AS26240" s="47"/>
    </row>
    <row r="26241" spans="45:45">
      <c r="AS26241" s="47"/>
    </row>
    <row r="26242" spans="45:45">
      <c r="AS26242" s="47"/>
    </row>
    <row r="26243" spans="45:45">
      <c r="AS26243" s="47"/>
    </row>
    <row r="26244" spans="45:45">
      <c r="AS26244" s="47"/>
    </row>
    <row r="26245" spans="45:45">
      <c r="AS26245" s="47"/>
    </row>
    <row r="26246" spans="45:45">
      <c r="AS26246" s="47"/>
    </row>
    <row r="26247" spans="45:45">
      <c r="AS26247" s="47"/>
    </row>
    <row r="26248" spans="45:45">
      <c r="AS26248" s="47"/>
    </row>
    <row r="26249" spans="45:45">
      <c r="AS26249" s="47"/>
    </row>
    <row r="26250" spans="45:45">
      <c r="AS26250" s="47"/>
    </row>
    <row r="26251" spans="45:45">
      <c r="AS26251" s="47"/>
    </row>
    <row r="26252" spans="45:45">
      <c r="AS26252" s="47"/>
    </row>
    <row r="26253" spans="45:45">
      <c r="AS26253" s="47"/>
    </row>
    <row r="26254" spans="45:45">
      <c r="AS26254" s="47"/>
    </row>
    <row r="26255" spans="45:45">
      <c r="AS26255" s="47"/>
    </row>
    <row r="26256" spans="45:45">
      <c r="AS26256" s="47"/>
    </row>
    <row r="26257" spans="45:45">
      <c r="AS26257" s="47"/>
    </row>
    <row r="26258" spans="45:45">
      <c r="AS26258" s="47"/>
    </row>
    <row r="26259" spans="45:45">
      <c r="AS26259" s="47"/>
    </row>
    <row r="26260" spans="45:45">
      <c r="AS26260" s="47"/>
    </row>
    <row r="26261" spans="45:45">
      <c r="AS26261" s="47"/>
    </row>
    <row r="26262" spans="45:45">
      <c r="AS26262" s="47"/>
    </row>
    <row r="26263" spans="45:45">
      <c r="AS26263" s="47"/>
    </row>
    <row r="26264" spans="45:45">
      <c r="AS26264" s="47"/>
    </row>
    <row r="26265" spans="45:45">
      <c r="AS26265" s="47"/>
    </row>
    <row r="26266" spans="45:45">
      <c r="AS26266" s="47"/>
    </row>
    <row r="26267" spans="45:45">
      <c r="AS26267" s="47"/>
    </row>
    <row r="26268" spans="45:45">
      <c r="AS26268" s="47"/>
    </row>
    <row r="26269" spans="45:45">
      <c r="AS26269" s="47"/>
    </row>
    <row r="26270" spans="45:45">
      <c r="AS26270" s="47"/>
    </row>
    <row r="26271" spans="45:45">
      <c r="AS26271" s="47"/>
    </row>
    <row r="26272" spans="45:45">
      <c r="AS26272" s="47"/>
    </row>
    <row r="26273" spans="45:45">
      <c r="AS26273" s="47"/>
    </row>
    <row r="26274" spans="45:45">
      <c r="AS26274" s="47"/>
    </row>
    <row r="26275" spans="45:45">
      <c r="AS26275" s="47"/>
    </row>
    <row r="26276" spans="45:45">
      <c r="AS26276" s="47"/>
    </row>
    <row r="26277" spans="45:45">
      <c r="AS26277" s="47"/>
    </row>
    <row r="26278" spans="45:45">
      <c r="AS26278" s="47"/>
    </row>
    <row r="26279" spans="45:45">
      <c r="AS26279" s="47"/>
    </row>
    <row r="26280" spans="45:45">
      <c r="AS26280" s="47"/>
    </row>
    <row r="26281" spans="45:45">
      <c r="AS26281" s="47"/>
    </row>
    <row r="26282" spans="45:45">
      <c r="AS26282" s="47"/>
    </row>
    <row r="26283" spans="45:45">
      <c r="AS26283" s="47"/>
    </row>
    <row r="26284" spans="45:45">
      <c r="AS26284" s="47"/>
    </row>
    <row r="26285" spans="45:45">
      <c r="AS26285" s="47"/>
    </row>
    <row r="26286" spans="45:45">
      <c r="AS26286" s="47"/>
    </row>
    <row r="26287" spans="45:45">
      <c r="AS26287" s="47"/>
    </row>
    <row r="26288" spans="45:45">
      <c r="AS26288" s="47"/>
    </row>
    <row r="26289" spans="45:45">
      <c r="AS26289" s="47"/>
    </row>
    <row r="26290" spans="45:45">
      <c r="AS26290" s="47"/>
    </row>
    <row r="26291" spans="45:45">
      <c r="AS26291" s="47"/>
    </row>
    <row r="26292" spans="45:45">
      <c r="AS26292" s="47"/>
    </row>
    <row r="26293" spans="45:45">
      <c r="AS26293" s="47"/>
    </row>
    <row r="26294" spans="45:45">
      <c r="AS26294" s="47"/>
    </row>
    <row r="26295" spans="45:45">
      <c r="AS26295" s="47"/>
    </row>
    <row r="26296" spans="45:45">
      <c r="AS26296" s="47"/>
    </row>
    <row r="26297" spans="45:45">
      <c r="AS26297" s="47"/>
    </row>
    <row r="26298" spans="45:45">
      <c r="AS26298" s="47"/>
    </row>
    <row r="26299" spans="45:45">
      <c r="AS26299" s="47"/>
    </row>
    <row r="26300" spans="45:45">
      <c r="AS26300" s="47"/>
    </row>
    <row r="26301" spans="45:45">
      <c r="AS26301" s="47"/>
    </row>
    <row r="26302" spans="45:45">
      <c r="AS26302" s="47"/>
    </row>
    <row r="26303" spans="45:45">
      <c r="AS26303" s="47"/>
    </row>
    <row r="26304" spans="45:45">
      <c r="AS26304" s="47"/>
    </row>
    <row r="26305" spans="45:45">
      <c r="AS26305" s="47"/>
    </row>
    <row r="26306" spans="45:45">
      <c r="AS26306" s="47"/>
    </row>
    <row r="26307" spans="45:45">
      <c r="AS26307" s="47"/>
    </row>
    <row r="26308" spans="45:45">
      <c r="AS26308" s="47"/>
    </row>
    <row r="26309" spans="45:45">
      <c r="AS26309" s="47"/>
    </row>
    <row r="26310" spans="45:45">
      <c r="AS26310" s="47"/>
    </row>
    <row r="26311" spans="45:45">
      <c r="AS26311" s="47"/>
    </row>
    <row r="26312" spans="45:45">
      <c r="AS26312" s="47"/>
    </row>
    <row r="26313" spans="45:45">
      <c r="AS26313" s="47"/>
    </row>
    <row r="26314" spans="45:45">
      <c r="AS26314" s="47"/>
    </row>
    <row r="26315" spans="45:45">
      <c r="AS26315" s="47"/>
    </row>
    <row r="26316" spans="45:45">
      <c r="AS26316" s="47"/>
    </row>
    <row r="26317" spans="45:45">
      <c r="AS26317" s="47"/>
    </row>
    <row r="26318" spans="45:45">
      <c r="AS26318" s="47"/>
    </row>
    <row r="26319" spans="45:45">
      <c r="AS26319" s="47"/>
    </row>
    <row r="26320" spans="45:45">
      <c r="AS26320" s="47"/>
    </row>
    <row r="26321" spans="45:45">
      <c r="AS26321" s="47"/>
    </row>
    <row r="26322" spans="45:45">
      <c r="AS26322" s="47"/>
    </row>
    <row r="26323" spans="45:45">
      <c r="AS26323" s="47"/>
    </row>
    <row r="26324" spans="45:45">
      <c r="AS26324" s="47"/>
    </row>
    <row r="26325" spans="45:45">
      <c r="AS26325" s="47"/>
    </row>
    <row r="26326" spans="45:45">
      <c r="AS26326" s="47"/>
    </row>
    <row r="26327" spans="45:45">
      <c r="AS26327" s="47"/>
    </row>
    <row r="26328" spans="45:45">
      <c r="AS26328" s="47"/>
    </row>
    <row r="26329" spans="45:45">
      <c r="AS26329" s="47"/>
    </row>
    <row r="26330" spans="45:45">
      <c r="AS26330" s="47"/>
    </row>
    <row r="26331" spans="45:45">
      <c r="AS26331" s="47"/>
    </row>
    <row r="26332" spans="45:45">
      <c r="AS26332" s="47"/>
    </row>
    <row r="26333" spans="45:45">
      <c r="AS26333" s="47"/>
    </row>
    <row r="26334" spans="45:45">
      <c r="AS26334" s="47"/>
    </row>
    <row r="26335" spans="45:45">
      <c r="AS26335" s="47"/>
    </row>
    <row r="26336" spans="45:45">
      <c r="AS26336" s="47"/>
    </row>
    <row r="26337" spans="45:45">
      <c r="AS26337" s="47"/>
    </row>
    <row r="26338" spans="45:45">
      <c r="AS26338" s="47"/>
    </row>
    <row r="26339" spans="45:45">
      <c r="AS26339" s="47"/>
    </row>
    <row r="26340" spans="45:45">
      <c r="AS26340" s="47"/>
    </row>
    <row r="26341" spans="45:45">
      <c r="AS26341" s="47"/>
    </row>
    <row r="26342" spans="45:45">
      <c r="AS26342" s="47"/>
    </row>
    <row r="26343" spans="45:45">
      <c r="AS26343" s="47"/>
    </row>
    <row r="26344" spans="45:45">
      <c r="AS26344" s="47"/>
    </row>
    <row r="26345" spans="45:45">
      <c r="AS26345" s="47"/>
    </row>
    <row r="26346" spans="45:45">
      <c r="AS26346" s="47"/>
    </row>
    <row r="26347" spans="45:45">
      <c r="AS26347" s="47"/>
    </row>
    <row r="26348" spans="45:45">
      <c r="AS26348" s="47"/>
    </row>
    <row r="26349" spans="45:45">
      <c r="AS26349" s="47"/>
    </row>
    <row r="26350" spans="45:45">
      <c r="AS26350" s="47"/>
    </row>
    <row r="26351" spans="45:45">
      <c r="AS26351" s="47"/>
    </row>
    <row r="26352" spans="45:45">
      <c r="AS26352" s="47"/>
    </row>
    <row r="26353" spans="45:45">
      <c r="AS26353" s="47"/>
    </row>
    <row r="26354" spans="45:45">
      <c r="AS26354" s="47"/>
    </row>
    <row r="26355" spans="45:45">
      <c r="AS26355" s="47"/>
    </row>
    <row r="26356" spans="45:45">
      <c r="AS26356" s="47"/>
    </row>
    <row r="26357" spans="45:45">
      <c r="AS26357" s="47"/>
    </row>
    <row r="26358" spans="45:45">
      <c r="AS26358" s="47"/>
    </row>
    <row r="26359" spans="45:45">
      <c r="AS26359" s="47"/>
    </row>
    <row r="26360" spans="45:45">
      <c r="AS26360" s="47"/>
    </row>
    <row r="26361" spans="45:45">
      <c r="AS26361" s="47"/>
    </row>
    <row r="26362" spans="45:45">
      <c r="AS26362" s="47"/>
    </row>
    <row r="26363" spans="45:45">
      <c r="AS26363" s="47"/>
    </row>
    <row r="26364" spans="45:45">
      <c r="AS26364" s="47"/>
    </row>
    <row r="26365" spans="45:45">
      <c r="AS26365" s="47"/>
    </row>
    <row r="26366" spans="45:45">
      <c r="AS26366" s="47"/>
    </row>
    <row r="26367" spans="45:45">
      <c r="AS26367" s="47"/>
    </row>
    <row r="26368" spans="45:45">
      <c r="AS26368" s="47"/>
    </row>
    <row r="26369" spans="45:45">
      <c r="AS26369" s="47"/>
    </row>
    <row r="26370" spans="45:45">
      <c r="AS26370" s="47"/>
    </row>
    <row r="26371" spans="45:45">
      <c r="AS26371" s="47"/>
    </row>
    <row r="26372" spans="45:45">
      <c r="AS26372" s="47"/>
    </row>
    <row r="26373" spans="45:45">
      <c r="AS26373" s="47"/>
    </row>
    <row r="26374" spans="45:45">
      <c r="AS26374" s="47"/>
    </row>
    <row r="26375" spans="45:45">
      <c r="AS26375" s="47"/>
    </row>
    <row r="26376" spans="45:45">
      <c r="AS26376" s="47"/>
    </row>
    <row r="26377" spans="45:45">
      <c r="AS26377" s="47"/>
    </row>
    <row r="26378" spans="45:45">
      <c r="AS26378" s="47"/>
    </row>
    <row r="26379" spans="45:45">
      <c r="AS26379" s="47"/>
    </row>
    <row r="26380" spans="45:45">
      <c r="AS26380" s="47"/>
    </row>
    <row r="26381" spans="45:45">
      <c r="AS26381" s="47"/>
    </row>
    <row r="26382" spans="45:45">
      <c r="AS26382" s="47"/>
    </row>
    <row r="26383" spans="45:45">
      <c r="AS26383" s="47"/>
    </row>
    <row r="26384" spans="45:45">
      <c r="AS26384" s="47"/>
    </row>
    <row r="26385" spans="45:45">
      <c r="AS26385" s="47"/>
    </row>
    <row r="26386" spans="45:45">
      <c r="AS26386" s="47"/>
    </row>
    <row r="26387" spans="45:45">
      <c r="AS26387" s="47"/>
    </row>
    <row r="26388" spans="45:45">
      <c r="AS26388" s="47"/>
    </row>
    <row r="26389" spans="45:45">
      <c r="AS26389" s="47"/>
    </row>
    <row r="26390" spans="45:45">
      <c r="AS26390" s="47"/>
    </row>
    <row r="26391" spans="45:45">
      <c r="AS26391" s="47"/>
    </row>
    <row r="26392" spans="45:45">
      <c r="AS26392" s="47"/>
    </row>
    <row r="26393" spans="45:45">
      <c r="AS26393" s="47"/>
    </row>
    <row r="26394" spans="45:45">
      <c r="AS26394" s="47"/>
    </row>
    <row r="26395" spans="45:45">
      <c r="AS26395" s="47"/>
    </row>
    <row r="26396" spans="45:45">
      <c r="AS26396" s="47"/>
    </row>
    <row r="26397" spans="45:45">
      <c r="AS26397" s="47"/>
    </row>
    <row r="26398" spans="45:45">
      <c r="AS26398" s="47"/>
    </row>
    <row r="26399" spans="45:45">
      <c r="AS26399" s="47"/>
    </row>
    <row r="26400" spans="45:45">
      <c r="AS26400" s="47"/>
    </row>
    <row r="26401" spans="45:45">
      <c r="AS26401" s="47"/>
    </row>
    <row r="26402" spans="45:45">
      <c r="AS26402" s="47"/>
    </row>
    <row r="26403" spans="45:45">
      <c r="AS26403" s="47"/>
    </row>
    <row r="26404" spans="45:45">
      <c r="AS26404" s="47"/>
    </row>
    <row r="26405" spans="45:45">
      <c r="AS26405" s="47"/>
    </row>
    <row r="26406" spans="45:45">
      <c r="AS26406" s="47"/>
    </row>
    <row r="26407" spans="45:45">
      <c r="AS26407" s="47"/>
    </row>
    <row r="26408" spans="45:45">
      <c r="AS26408" s="47"/>
    </row>
    <row r="26409" spans="45:45">
      <c r="AS26409" s="47"/>
    </row>
    <row r="26410" spans="45:45">
      <c r="AS26410" s="47"/>
    </row>
    <row r="26411" spans="45:45">
      <c r="AS26411" s="47"/>
    </row>
    <row r="26412" spans="45:45">
      <c r="AS26412" s="47"/>
    </row>
    <row r="26413" spans="45:45">
      <c r="AS26413" s="47"/>
    </row>
    <row r="26414" spans="45:45">
      <c r="AS26414" s="47"/>
    </row>
    <row r="26415" spans="45:45">
      <c r="AS26415" s="47"/>
    </row>
    <row r="26416" spans="45:45">
      <c r="AS26416" s="47"/>
    </row>
    <row r="26417" spans="45:45">
      <c r="AS26417" s="47"/>
    </row>
    <row r="26418" spans="45:45">
      <c r="AS26418" s="47"/>
    </row>
    <row r="26419" spans="45:45">
      <c r="AS26419" s="47"/>
    </row>
    <row r="26420" spans="45:45">
      <c r="AS26420" s="47"/>
    </row>
    <row r="26421" spans="45:45">
      <c r="AS26421" s="47"/>
    </row>
    <row r="26422" spans="45:45">
      <c r="AS26422" s="47"/>
    </row>
    <row r="26423" spans="45:45">
      <c r="AS26423" s="47"/>
    </row>
    <row r="26424" spans="45:45">
      <c r="AS26424" s="47"/>
    </row>
    <row r="26425" spans="45:45">
      <c r="AS26425" s="47"/>
    </row>
    <row r="26426" spans="45:45">
      <c r="AS26426" s="47"/>
    </row>
    <row r="26427" spans="45:45">
      <c r="AS26427" s="47"/>
    </row>
    <row r="26428" spans="45:45">
      <c r="AS26428" s="47"/>
    </row>
    <row r="26429" spans="45:45">
      <c r="AS26429" s="47"/>
    </row>
    <row r="26430" spans="45:45">
      <c r="AS26430" s="47"/>
    </row>
    <row r="26431" spans="45:45">
      <c r="AS26431" s="47"/>
    </row>
    <row r="26432" spans="45:45">
      <c r="AS26432" s="47"/>
    </row>
    <row r="26433" spans="45:45">
      <c r="AS26433" s="47"/>
    </row>
    <row r="26434" spans="45:45">
      <c r="AS26434" s="47"/>
    </row>
    <row r="26435" spans="45:45">
      <c r="AS26435" s="47"/>
    </row>
    <row r="26436" spans="45:45">
      <c r="AS26436" s="47"/>
    </row>
    <row r="26437" spans="45:45">
      <c r="AS26437" s="47"/>
    </row>
    <row r="26438" spans="45:45">
      <c r="AS26438" s="47"/>
    </row>
    <row r="26439" spans="45:45">
      <c r="AS26439" s="47"/>
    </row>
    <row r="26440" spans="45:45">
      <c r="AS26440" s="47"/>
    </row>
    <row r="26441" spans="45:45">
      <c r="AS26441" s="47"/>
    </row>
    <row r="26442" spans="45:45">
      <c r="AS26442" s="47"/>
    </row>
    <row r="26443" spans="45:45">
      <c r="AS26443" s="47"/>
    </row>
    <row r="26444" spans="45:45">
      <c r="AS26444" s="47"/>
    </row>
    <row r="26445" spans="45:45">
      <c r="AS26445" s="47"/>
    </row>
    <row r="26446" spans="45:45">
      <c r="AS26446" s="47"/>
    </row>
    <row r="26447" spans="45:45">
      <c r="AS26447" s="47"/>
    </row>
    <row r="26448" spans="45:45">
      <c r="AS26448" s="47"/>
    </row>
    <row r="26449" spans="45:45">
      <c r="AS26449" s="47"/>
    </row>
    <row r="26450" spans="45:45">
      <c r="AS26450" s="47"/>
    </row>
    <row r="26451" spans="45:45">
      <c r="AS26451" s="47"/>
    </row>
    <row r="26452" spans="45:45">
      <c r="AS26452" s="47"/>
    </row>
    <row r="26453" spans="45:45">
      <c r="AS26453" s="47"/>
    </row>
    <row r="26454" spans="45:45">
      <c r="AS26454" s="47"/>
    </row>
    <row r="26455" spans="45:45">
      <c r="AS26455" s="47"/>
    </row>
    <row r="26456" spans="45:45">
      <c r="AS26456" s="47"/>
    </row>
    <row r="26457" spans="45:45">
      <c r="AS26457" s="47"/>
    </row>
    <row r="26458" spans="45:45">
      <c r="AS26458" s="47"/>
    </row>
    <row r="26459" spans="45:45">
      <c r="AS26459" s="47"/>
    </row>
    <row r="26460" spans="45:45">
      <c r="AS26460" s="47"/>
    </row>
    <row r="26461" spans="45:45">
      <c r="AS26461" s="47"/>
    </row>
    <row r="26462" spans="45:45">
      <c r="AS26462" s="47"/>
    </row>
    <row r="26463" spans="45:45">
      <c r="AS26463" s="47"/>
    </row>
    <row r="26464" spans="45:45">
      <c r="AS26464" s="47"/>
    </row>
    <row r="26465" spans="45:45">
      <c r="AS26465" s="47"/>
    </row>
    <row r="26466" spans="45:45">
      <c r="AS26466" s="47"/>
    </row>
    <row r="26467" spans="45:45">
      <c r="AS26467" s="47"/>
    </row>
    <row r="26468" spans="45:45">
      <c r="AS26468" s="47"/>
    </row>
    <row r="26469" spans="45:45">
      <c r="AS26469" s="47"/>
    </row>
    <row r="26470" spans="45:45">
      <c r="AS26470" s="47"/>
    </row>
    <row r="26471" spans="45:45">
      <c r="AS26471" s="47"/>
    </row>
    <row r="26472" spans="45:45">
      <c r="AS26472" s="47"/>
    </row>
    <row r="26473" spans="45:45">
      <c r="AS26473" s="47"/>
    </row>
    <row r="26474" spans="45:45">
      <c r="AS26474" s="47"/>
    </row>
    <row r="26475" spans="45:45">
      <c r="AS26475" s="47"/>
    </row>
    <row r="26476" spans="45:45">
      <c r="AS26476" s="47"/>
    </row>
    <row r="26477" spans="45:45">
      <c r="AS26477" s="47"/>
    </row>
    <row r="26478" spans="45:45">
      <c r="AS26478" s="47"/>
    </row>
    <row r="26479" spans="45:45">
      <c r="AS26479" s="47"/>
    </row>
    <row r="26480" spans="45:45">
      <c r="AS26480" s="47"/>
    </row>
    <row r="26481" spans="45:45">
      <c r="AS26481" s="47"/>
    </row>
    <row r="26482" spans="45:45">
      <c r="AS26482" s="47"/>
    </row>
    <row r="26483" spans="45:45">
      <c r="AS26483" s="47"/>
    </row>
    <row r="26484" spans="45:45">
      <c r="AS26484" s="47"/>
    </row>
    <row r="26485" spans="45:45">
      <c r="AS26485" s="47"/>
    </row>
    <row r="26486" spans="45:45">
      <c r="AS26486" s="47"/>
    </row>
    <row r="26487" spans="45:45">
      <c r="AS26487" s="47"/>
    </row>
    <row r="26488" spans="45:45">
      <c r="AS26488" s="47"/>
    </row>
    <row r="26489" spans="45:45">
      <c r="AS26489" s="47"/>
    </row>
    <row r="26490" spans="45:45">
      <c r="AS26490" s="47"/>
    </row>
    <row r="26491" spans="45:45">
      <c r="AS26491" s="47"/>
    </row>
    <row r="26492" spans="45:45">
      <c r="AS26492" s="47"/>
    </row>
    <row r="26493" spans="45:45">
      <c r="AS26493" s="47"/>
    </row>
    <row r="26494" spans="45:45">
      <c r="AS26494" s="47"/>
    </row>
    <row r="26495" spans="45:45">
      <c r="AS26495" s="47"/>
    </row>
    <row r="26496" spans="45:45">
      <c r="AS26496" s="47"/>
    </row>
    <row r="26497" spans="45:45">
      <c r="AS26497" s="47"/>
    </row>
    <row r="26498" spans="45:45">
      <c r="AS26498" s="47"/>
    </row>
    <row r="26499" spans="45:45">
      <c r="AS26499" s="47"/>
    </row>
    <row r="26500" spans="45:45">
      <c r="AS26500" s="47"/>
    </row>
    <row r="26501" spans="45:45">
      <c r="AS26501" s="47"/>
    </row>
    <row r="26502" spans="45:45">
      <c r="AS26502" s="47"/>
    </row>
    <row r="26503" spans="45:45">
      <c r="AS26503" s="47"/>
    </row>
    <row r="26504" spans="45:45">
      <c r="AS26504" s="47"/>
    </row>
    <row r="26505" spans="45:45">
      <c r="AS26505" s="47"/>
    </row>
    <row r="26506" spans="45:45">
      <c r="AS26506" s="47"/>
    </row>
    <row r="26507" spans="45:45">
      <c r="AS26507" s="47"/>
    </row>
    <row r="26508" spans="45:45">
      <c r="AS26508" s="47"/>
    </row>
    <row r="26509" spans="45:45">
      <c r="AS26509" s="47"/>
    </row>
    <row r="26510" spans="45:45">
      <c r="AS26510" s="47"/>
    </row>
    <row r="26511" spans="45:45">
      <c r="AS26511" s="47"/>
    </row>
    <row r="26512" spans="45:45">
      <c r="AS26512" s="47"/>
    </row>
    <row r="26513" spans="45:45">
      <c r="AS26513" s="47"/>
    </row>
    <row r="26514" spans="45:45">
      <c r="AS26514" s="47"/>
    </row>
    <row r="26515" spans="45:45">
      <c r="AS26515" s="47"/>
    </row>
    <row r="26516" spans="45:45">
      <c r="AS26516" s="47"/>
    </row>
    <row r="26517" spans="45:45">
      <c r="AS26517" s="47"/>
    </row>
    <row r="26518" spans="45:45">
      <c r="AS26518" s="47"/>
    </row>
    <row r="26519" spans="45:45">
      <c r="AS26519" s="47"/>
    </row>
    <row r="26520" spans="45:45">
      <c r="AS26520" s="47"/>
    </row>
    <row r="26521" spans="45:45">
      <c r="AS26521" s="47"/>
    </row>
    <row r="26522" spans="45:45">
      <c r="AS26522" s="47"/>
    </row>
    <row r="26523" spans="45:45">
      <c r="AS26523" s="47"/>
    </row>
    <row r="26524" spans="45:45">
      <c r="AS26524" s="47"/>
    </row>
    <row r="26525" spans="45:45">
      <c r="AS26525" s="47"/>
    </row>
    <row r="26526" spans="45:45">
      <c r="AS26526" s="47"/>
    </row>
    <row r="26527" spans="45:45">
      <c r="AS26527" s="47"/>
    </row>
    <row r="26528" spans="45:45">
      <c r="AS26528" s="47"/>
    </row>
    <row r="26529" spans="45:45">
      <c r="AS26529" s="47"/>
    </row>
    <row r="26530" spans="45:45">
      <c r="AS26530" s="47"/>
    </row>
    <row r="26531" spans="45:45">
      <c r="AS26531" s="47"/>
    </row>
    <row r="26532" spans="45:45">
      <c r="AS26532" s="47"/>
    </row>
    <row r="26533" spans="45:45">
      <c r="AS26533" s="47"/>
    </row>
    <row r="26534" spans="45:45">
      <c r="AS26534" s="47"/>
    </row>
    <row r="26535" spans="45:45">
      <c r="AS26535" s="47"/>
    </row>
    <row r="26536" spans="45:45">
      <c r="AS26536" s="47"/>
    </row>
    <row r="26537" spans="45:45">
      <c r="AS26537" s="47"/>
    </row>
    <row r="26538" spans="45:45">
      <c r="AS26538" s="47"/>
    </row>
    <row r="26539" spans="45:45">
      <c r="AS26539" s="47"/>
    </row>
    <row r="26540" spans="45:45">
      <c r="AS26540" s="47"/>
    </row>
    <row r="26541" spans="45:45">
      <c r="AS26541" s="47"/>
    </row>
    <row r="26542" spans="45:45">
      <c r="AS26542" s="47"/>
    </row>
    <row r="26543" spans="45:45">
      <c r="AS26543" s="47"/>
    </row>
    <row r="26544" spans="45:45">
      <c r="AS26544" s="47"/>
    </row>
    <row r="26545" spans="45:45">
      <c r="AS26545" s="47"/>
    </row>
    <row r="26546" spans="45:45">
      <c r="AS26546" s="47"/>
    </row>
    <row r="26547" spans="45:45">
      <c r="AS26547" s="47"/>
    </row>
    <row r="26548" spans="45:45">
      <c r="AS26548" s="47"/>
    </row>
    <row r="26549" spans="45:45">
      <c r="AS26549" s="47"/>
    </row>
    <row r="26550" spans="45:45">
      <c r="AS26550" s="47"/>
    </row>
    <row r="26551" spans="45:45">
      <c r="AS26551" s="47"/>
    </row>
    <row r="26552" spans="45:45">
      <c r="AS26552" s="47"/>
    </row>
    <row r="26553" spans="45:45">
      <c r="AS26553" s="47"/>
    </row>
    <row r="26554" spans="45:45">
      <c r="AS26554" s="47"/>
    </row>
    <row r="26555" spans="45:45">
      <c r="AS26555" s="47"/>
    </row>
    <row r="26556" spans="45:45">
      <c r="AS26556" s="47"/>
    </row>
    <row r="26557" spans="45:45">
      <c r="AS26557" s="47"/>
    </row>
    <row r="26558" spans="45:45">
      <c r="AS26558" s="47"/>
    </row>
    <row r="26559" spans="45:45">
      <c r="AS26559" s="47"/>
    </row>
    <row r="26560" spans="45:45">
      <c r="AS26560" s="47"/>
    </row>
    <row r="26561" spans="45:45">
      <c r="AS26561" s="47"/>
    </row>
    <row r="26562" spans="45:45">
      <c r="AS26562" s="47"/>
    </row>
    <row r="26563" spans="45:45">
      <c r="AS26563" s="47"/>
    </row>
    <row r="26564" spans="45:45">
      <c r="AS26564" s="47"/>
    </row>
    <row r="26565" spans="45:45">
      <c r="AS26565" s="47"/>
    </row>
    <row r="26566" spans="45:45">
      <c r="AS26566" s="47"/>
    </row>
    <row r="26567" spans="45:45">
      <c r="AS26567" s="47"/>
    </row>
    <row r="26568" spans="45:45">
      <c r="AS26568" s="47"/>
    </row>
    <row r="26569" spans="45:45">
      <c r="AS26569" s="47"/>
    </row>
    <row r="26570" spans="45:45">
      <c r="AS26570" s="47"/>
    </row>
    <row r="26571" spans="45:45">
      <c r="AS26571" s="47"/>
    </row>
    <row r="26572" spans="45:45">
      <c r="AS26572" s="47"/>
    </row>
    <row r="26573" spans="45:45">
      <c r="AS26573" s="47"/>
    </row>
    <row r="26574" spans="45:45">
      <c r="AS26574" s="47"/>
    </row>
    <row r="26575" spans="45:45">
      <c r="AS26575" s="47"/>
    </row>
    <row r="26576" spans="45:45">
      <c r="AS26576" s="47"/>
    </row>
    <row r="26577" spans="45:45">
      <c r="AS26577" s="47"/>
    </row>
    <row r="26578" spans="45:45">
      <c r="AS26578" s="47"/>
    </row>
    <row r="26579" spans="45:45">
      <c r="AS26579" s="47"/>
    </row>
    <row r="26580" spans="45:45">
      <c r="AS26580" s="47"/>
    </row>
    <row r="26581" spans="45:45">
      <c r="AS26581" s="47"/>
    </row>
    <row r="26582" spans="45:45">
      <c r="AS26582" s="47"/>
    </row>
    <row r="26583" spans="45:45">
      <c r="AS26583" s="47"/>
    </row>
    <row r="26584" spans="45:45">
      <c r="AS26584" s="47"/>
    </row>
    <row r="26585" spans="45:45">
      <c r="AS26585" s="47"/>
    </row>
    <row r="26586" spans="45:45">
      <c r="AS26586" s="47"/>
    </row>
    <row r="26587" spans="45:45">
      <c r="AS26587" s="47"/>
    </row>
    <row r="26588" spans="45:45">
      <c r="AS26588" s="47"/>
    </row>
    <row r="26589" spans="45:45">
      <c r="AS26589" s="47"/>
    </row>
    <row r="26590" spans="45:45">
      <c r="AS26590" s="47"/>
    </row>
    <row r="26591" spans="45:45">
      <c r="AS26591" s="47"/>
    </row>
    <row r="26592" spans="45:45">
      <c r="AS26592" s="47"/>
    </row>
    <row r="26593" spans="45:45">
      <c r="AS26593" s="47"/>
    </row>
    <row r="26594" spans="45:45">
      <c r="AS26594" s="47"/>
    </row>
    <row r="26595" spans="45:45">
      <c r="AS26595" s="47"/>
    </row>
    <row r="26596" spans="45:45">
      <c r="AS26596" s="47"/>
    </row>
    <row r="26597" spans="45:45">
      <c r="AS26597" s="47"/>
    </row>
    <row r="26598" spans="45:45">
      <c r="AS26598" s="47"/>
    </row>
    <row r="26599" spans="45:45">
      <c r="AS26599" s="47"/>
    </row>
    <row r="26600" spans="45:45">
      <c r="AS26600" s="47"/>
    </row>
    <row r="26601" spans="45:45">
      <c r="AS26601" s="47"/>
    </row>
    <row r="26602" spans="45:45">
      <c r="AS26602" s="47"/>
    </row>
    <row r="26603" spans="45:45">
      <c r="AS26603" s="47"/>
    </row>
    <row r="26604" spans="45:45">
      <c r="AS26604" s="47"/>
    </row>
    <row r="26605" spans="45:45">
      <c r="AS26605" s="47"/>
    </row>
    <row r="26606" spans="45:45">
      <c r="AS26606" s="47"/>
    </row>
    <row r="26607" spans="45:45">
      <c r="AS26607" s="47"/>
    </row>
    <row r="26608" spans="45:45">
      <c r="AS26608" s="47"/>
    </row>
    <row r="26609" spans="45:45">
      <c r="AS26609" s="47"/>
    </row>
    <row r="26610" spans="45:45">
      <c r="AS26610" s="47"/>
    </row>
    <row r="26611" spans="45:45">
      <c r="AS26611" s="47"/>
    </row>
    <row r="26612" spans="45:45">
      <c r="AS26612" s="47"/>
    </row>
    <row r="26613" spans="45:45">
      <c r="AS26613" s="47"/>
    </row>
    <row r="26614" spans="45:45">
      <c r="AS26614" s="47"/>
    </row>
    <row r="26615" spans="45:45">
      <c r="AS26615" s="47"/>
    </row>
    <row r="26616" spans="45:45">
      <c r="AS26616" s="47"/>
    </row>
    <row r="26617" spans="45:45">
      <c r="AS26617" s="47"/>
    </row>
    <row r="26618" spans="45:45">
      <c r="AS26618" s="47"/>
    </row>
    <row r="26619" spans="45:45">
      <c r="AS26619" s="47"/>
    </row>
    <row r="26620" spans="45:45">
      <c r="AS26620" s="47"/>
    </row>
    <row r="26621" spans="45:45">
      <c r="AS26621" s="47"/>
    </row>
    <row r="26622" spans="45:45">
      <c r="AS26622" s="47"/>
    </row>
    <row r="26623" spans="45:45">
      <c r="AS26623" s="47"/>
    </row>
    <row r="26624" spans="45:45">
      <c r="AS26624" s="47"/>
    </row>
    <row r="26625" spans="45:45">
      <c r="AS26625" s="47"/>
    </row>
    <row r="26626" spans="45:45">
      <c r="AS26626" s="47"/>
    </row>
    <row r="26627" spans="45:45">
      <c r="AS26627" s="47"/>
    </row>
    <row r="26628" spans="45:45">
      <c r="AS26628" s="47"/>
    </row>
    <row r="26629" spans="45:45">
      <c r="AS26629" s="47"/>
    </row>
    <row r="26630" spans="45:45">
      <c r="AS26630" s="47"/>
    </row>
    <row r="26631" spans="45:45">
      <c r="AS26631" s="47"/>
    </row>
    <row r="26632" spans="45:45">
      <c r="AS26632" s="47"/>
    </row>
    <row r="26633" spans="45:45">
      <c r="AS26633" s="47"/>
    </row>
    <row r="26634" spans="45:45">
      <c r="AS26634" s="47"/>
    </row>
    <row r="26635" spans="45:45">
      <c r="AS26635" s="47"/>
    </row>
    <row r="26636" spans="45:45">
      <c r="AS26636" s="47"/>
    </row>
    <row r="26637" spans="45:45">
      <c r="AS26637" s="47"/>
    </row>
    <row r="26638" spans="45:45">
      <c r="AS26638" s="47"/>
    </row>
    <row r="26639" spans="45:45">
      <c r="AS26639" s="47"/>
    </row>
    <row r="26640" spans="45:45">
      <c r="AS26640" s="47"/>
    </row>
    <row r="26641" spans="45:45">
      <c r="AS26641" s="47"/>
    </row>
    <row r="26642" spans="45:45">
      <c r="AS26642" s="47"/>
    </row>
    <row r="26643" spans="45:45">
      <c r="AS26643" s="47"/>
    </row>
    <row r="26644" spans="45:45">
      <c r="AS26644" s="47"/>
    </row>
    <row r="26645" spans="45:45">
      <c r="AS26645" s="47"/>
    </row>
    <row r="26646" spans="45:45">
      <c r="AS26646" s="47"/>
    </row>
    <row r="26647" spans="45:45">
      <c r="AS26647" s="47"/>
    </row>
    <row r="26648" spans="45:45">
      <c r="AS26648" s="47"/>
    </row>
    <row r="26649" spans="45:45">
      <c r="AS26649" s="47"/>
    </row>
    <row r="26650" spans="45:45">
      <c r="AS26650" s="47"/>
    </row>
    <row r="26651" spans="45:45">
      <c r="AS26651" s="47"/>
    </row>
    <row r="26652" spans="45:45">
      <c r="AS26652" s="47"/>
    </row>
    <row r="26653" spans="45:45">
      <c r="AS26653" s="47"/>
    </row>
    <row r="26654" spans="45:45">
      <c r="AS26654" s="47"/>
    </row>
    <row r="26655" spans="45:45">
      <c r="AS26655" s="47"/>
    </row>
    <row r="26656" spans="45:45">
      <c r="AS26656" s="47"/>
    </row>
    <row r="26657" spans="45:45">
      <c r="AS26657" s="47"/>
    </row>
    <row r="26658" spans="45:45">
      <c r="AS26658" s="47"/>
    </row>
    <row r="26659" spans="45:45">
      <c r="AS26659" s="47"/>
    </row>
    <row r="26660" spans="45:45">
      <c r="AS26660" s="47"/>
    </row>
    <row r="26661" spans="45:45">
      <c r="AS26661" s="47"/>
    </row>
    <row r="26662" spans="45:45">
      <c r="AS26662" s="47"/>
    </row>
    <row r="26663" spans="45:45">
      <c r="AS26663" s="47"/>
    </row>
    <row r="26664" spans="45:45">
      <c r="AS26664" s="47"/>
    </row>
    <row r="26665" spans="45:45">
      <c r="AS26665" s="47"/>
    </row>
    <row r="26666" spans="45:45">
      <c r="AS26666" s="47"/>
    </row>
    <row r="26667" spans="45:45">
      <c r="AS26667" s="47"/>
    </row>
    <row r="26668" spans="45:45">
      <c r="AS26668" s="47"/>
    </row>
    <row r="26669" spans="45:45">
      <c r="AS26669" s="47"/>
    </row>
    <row r="26670" spans="45:45">
      <c r="AS26670" s="47"/>
    </row>
    <row r="26671" spans="45:45">
      <c r="AS26671" s="47"/>
    </row>
    <row r="26672" spans="45:45">
      <c r="AS26672" s="47"/>
    </row>
    <row r="26673" spans="45:45">
      <c r="AS26673" s="47"/>
    </row>
    <row r="26674" spans="45:45">
      <c r="AS26674" s="47"/>
    </row>
    <row r="26675" spans="45:45">
      <c r="AS26675" s="47"/>
    </row>
    <row r="26676" spans="45:45">
      <c r="AS26676" s="47"/>
    </row>
    <row r="26677" spans="45:45">
      <c r="AS26677" s="47"/>
    </row>
    <row r="26678" spans="45:45">
      <c r="AS26678" s="47"/>
    </row>
    <row r="26679" spans="45:45">
      <c r="AS26679" s="47"/>
    </row>
    <row r="26680" spans="45:45">
      <c r="AS26680" s="47"/>
    </row>
    <row r="26681" spans="45:45">
      <c r="AS26681" s="47"/>
    </row>
    <row r="26682" spans="45:45">
      <c r="AS26682" s="47"/>
    </row>
    <row r="26683" spans="45:45">
      <c r="AS26683" s="47"/>
    </row>
    <row r="26684" spans="45:45">
      <c r="AS26684" s="47"/>
    </row>
    <row r="26685" spans="45:45">
      <c r="AS26685" s="47"/>
    </row>
    <row r="26686" spans="45:45">
      <c r="AS26686" s="47"/>
    </row>
    <row r="26687" spans="45:45">
      <c r="AS26687" s="47"/>
    </row>
    <row r="26688" spans="45:45">
      <c r="AS26688" s="47"/>
    </row>
    <row r="26689" spans="45:45">
      <c r="AS26689" s="47"/>
    </row>
    <row r="26690" spans="45:45">
      <c r="AS26690" s="47"/>
    </row>
    <row r="26691" spans="45:45">
      <c r="AS26691" s="47"/>
    </row>
    <row r="26692" spans="45:45">
      <c r="AS26692" s="47"/>
    </row>
    <row r="26693" spans="45:45">
      <c r="AS26693" s="47"/>
    </row>
    <row r="26694" spans="45:45">
      <c r="AS26694" s="47"/>
    </row>
    <row r="26695" spans="45:45">
      <c r="AS26695" s="47"/>
    </row>
    <row r="26696" spans="45:45">
      <c r="AS26696" s="47"/>
    </row>
    <row r="26697" spans="45:45">
      <c r="AS26697" s="47"/>
    </row>
    <row r="26698" spans="45:45">
      <c r="AS26698" s="47"/>
    </row>
    <row r="26699" spans="45:45">
      <c r="AS26699" s="47"/>
    </row>
    <row r="26700" spans="45:45">
      <c r="AS26700" s="47"/>
    </row>
    <row r="26701" spans="45:45">
      <c r="AS26701" s="47"/>
    </row>
    <row r="26702" spans="45:45">
      <c r="AS26702" s="47"/>
    </row>
    <row r="26703" spans="45:45">
      <c r="AS26703" s="47"/>
    </row>
    <row r="26704" spans="45:45">
      <c r="AS26704" s="47"/>
    </row>
    <row r="26705" spans="45:45">
      <c r="AS26705" s="47"/>
    </row>
    <row r="26706" spans="45:45">
      <c r="AS26706" s="47"/>
    </row>
    <row r="26707" spans="45:45">
      <c r="AS26707" s="47"/>
    </row>
    <row r="26708" spans="45:45">
      <c r="AS26708" s="47"/>
    </row>
    <row r="26709" spans="45:45">
      <c r="AS26709" s="47"/>
    </row>
    <row r="26710" spans="45:45">
      <c r="AS26710" s="47"/>
    </row>
    <row r="26711" spans="45:45">
      <c r="AS26711" s="47"/>
    </row>
    <row r="26712" spans="45:45">
      <c r="AS26712" s="47"/>
    </row>
    <row r="26713" spans="45:45">
      <c r="AS26713" s="47"/>
    </row>
    <row r="26714" spans="45:45">
      <c r="AS26714" s="47"/>
    </row>
    <row r="26715" spans="45:45">
      <c r="AS26715" s="47"/>
    </row>
    <row r="26716" spans="45:45">
      <c r="AS26716" s="47"/>
    </row>
    <row r="26717" spans="45:45">
      <c r="AS26717" s="47"/>
    </row>
    <row r="26718" spans="45:45">
      <c r="AS26718" s="47"/>
    </row>
    <row r="26719" spans="45:45">
      <c r="AS26719" s="47"/>
    </row>
    <row r="26720" spans="45:45">
      <c r="AS26720" s="47"/>
    </row>
    <row r="26721" spans="45:45">
      <c r="AS26721" s="47"/>
    </row>
    <row r="26722" spans="45:45">
      <c r="AS26722" s="47"/>
    </row>
    <row r="26723" spans="45:45">
      <c r="AS26723" s="47"/>
    </row>
    <row r="26724" spans="45:45">
      <c r="AS26724" s="47"/>
    </row>
    <row r="26725" spans="45:45">
      <c r="AS26725" s="47"/>
    </row>
    <row r="26726" spans="45:45">
      <c r="AS26726" s="47"/>
    </row>
    <row r="26727" spans="45:45">
      <c r="AS26727" s="47"/>
    </row>
    <row r="26728" spans="45:45">
      <c r="AS26728" s="47"/>
    </row>
    <row r="26729" spans="45:45">
      <c r="AS26729" s="47"/>
    </row>
    <row r="26730" spans="45:45">
      <c r="AS26730" s="47"/>
    </row>
    <row r="26731" spans="45:45">
      <c r="AS26731" s="47"/>
    </row>
    <row r="26732" spans="45:45">
      <c r="AS26732" s="47"/>
    </row>
    <row r="26733" spans="45:45">
      <c r="AS26733" s="47"/>
    </row>
    <row r="26734" spans="45:45">
      <c r="AS26734" s="47"/>
    </row>
    <row r="26735" spans="45:45">
      <c r="AS26735" s="47"/>
    </row>
    <row r="26736" spans="45:45">
      <c r="AS26736" s="47"/>
    </row>
    <row r="26737" spans="45:45">
      <c r="AS26737" s="47"/>
    </row>
    <row r="26738" spans="45:45">
      <c r="AS26738" s="47"/>
    </row>
    <row r="26739" spans="45:45">
      <c r="AS26739" s="47"/>
    </row>
    <row r="26740" spans="45:45">
      <c r="AS26740" s="47"/>
    </row>
    <row r="26741" spans="45:45">
      <c r="AS26741" s="47"/>
    </row>
    <row r="26742" spans="45:45">
      <c r="AS26742" s="47"/>
    </row>
    <row r="26743" spans="45:45">
      <c r="AS26743" s="47"/>
    </row>
    <row r="26744" spans="45:45">
      <c r="AS26744" s="47"/>
    </row>
    <row r="26745" spans="45:45">
      <c r="AS26745" s="47"/>
    </row>
    <row r="26746" spans="45:45">
      <c r="AS26746" s="47"/>
    </row>
    <row r="26747" spans="45:45">
      <c r="AS26747" s="47"/>
    </row>
    <row r="26748" spans="45:45">
      <c r="AS26748" s="47"/>
    </row>
    <row r="26749" spans="45:45">
      <c r="AS26749" s="47"/>
    </row>
    <row r="26750" spans="45:45">
      <c r="AS26750" s="47"/>
    </row>
    <row r="26751" spans="45:45">
      <c r="AS26751" s="47"/>
    </row>
    <row r="26752" spans="45:45">
      <c r="AS26752" s="47"/>
    </row>
    <row r="26753" spans="45:45">
      <c r="AS26753" s="47"/>
    </row>
    <row r="26754" spans="45:45">
      <c r="AS26754" s="47"/>
    </row>
    <row r="26755" spans="45:45">
      <c r="AS26755" s="47"/>
    </row>
    <row r="26756" spans="45:45">
      <c r="AS26756" s="47"/>
    </row>
    <row r="26757" spans="45:45">
      <c r="AS26757" s="47"/>
    </row>
    <row r="26758" spans="45:45">
      <c r="AS26758" s="47"/>
    </row>
    <row r="26759" spans="45:45">
      <c r="AS26759" s="47"/>
    </row>
    <row r="26760" spans="45:45">
      <c r="AS26760" s="47"/>
    </row>
    <row r="26761" spans="45:45">
      <c r="AS26761" s="47"/>
    </row>
    <row r="26762" spans="45:45">
      <c r="AS26762" s="47"/>
    </row>
    <row r="26763" spans="45:45">
      <c r="AS26763" s="47"/>
    </row>
    <row r="26764" spans="45:45">
      <c r="AS26764" s="47"/>
    </row>
    <row r="26765" spans="45:45">
      <c r="AS26765" s="47"/>
    </row>
    <row r="26766" spans="45:45">
      <c r="AS26766" s="47"/>
    </row>
    <row r="26767" spans="45:45">
      <c r="AS26767" s="47"/>
    </row>
    <row r="26768" spans="45:45">
      <c r="AS26768" s="47"/>
    </row>
    <row r="26769" spans="45:45">
      <c r="AS26769" s="47"/>
    </row>
    <row r="26770" spans="45:45">
      <c r="AS26770" s="47"/>
    </row>
    <row r="26771" spans="45:45">
      <c r="AS26771" s="47"/>
    </row>
    <row r="26772" spans="45:45">
      <c r="AS26772" s="47"/>
    </row>
    <row r="26773" spans="45:45">
      <c r="AS26773" s="47"/>
    </row>
    <row r="26774" spans="45:45">
      <c r="AS26774" s="47"/>
    </row>
    <row r="26775" spans="45:45">
      <c r="AS26775" s="47"/>
    </row>
    <row r="26776" spans="45:45">
      <c r="AS26776" s="47"/>
    </row>
    <row r="26777" spans="45:45">
      <c r="AS26777" s="47"/>
    </row>
    <row r="26778" spans="45:45">
      <c r="AS26778" s="47"/>
    </row>
    <row r="26779" spans="45:45">
      <c r="AS26779" s="47"/>
    </row>
    <row r="26780" spans="45:45">
      <c r="AS26780" s="47"/>
    </row>
    <row r="26781" spans="45:45">
      <c r="AS26781" s="47"/>
    </row>
    <row r="26782" spans="45:45">
      <c r="AS26782" s="47"/>
    </row>
    <row r="26783" spans="45:45">
      <c r="AS26783" s="47"/>
    </row>
    <row r="26784" spans="45:45">
      <c r="AS26784" s="47"/>
    </row>
    <row r="26785" spans="45:45">
      <c r="AS26785" s="47"/>
    </row>
    <row r="26786" spans="45:45">
      <c r="AS26786" s="47"/>
    </row>
    <row r="26787" spans="45:45">
      <c r="AS26787" s="47"/>
    </row>
    <row r="26788" spans="45:45">
      <c r="AS26788" s="47"/>
    </row>
    <row r="26789" spans="45:45">
      <c r="AS26789" s="47"/>
    </row>
    <row r="26790" spans="45:45">
      <c r="AS26790" s="47"/>
    </row>
    <row r="26791" spans="45:45">
      <c r="AS26791" s="47"/>
    </row>
    <row r="26792" spans="45:45">
      <c r="AS26792" s="47"/>
    </row>
    <row r="26793" spans="45:45">
      <c r="AS26793" s="47"/>
    </row>
    <row r="26794" spans="45:45">
      <c r="AS26794" s="47"/>
    </row>
    <row r="26795" spans="45:45">
      <c r="AS26795" s="47"/>
    </row>
    <row r="26796" spans="45:45">
      <c r="AS26796" s="47"/>
    </row>
    <row r="26797" spans="45:45">
      <c r="AS26797" s="47"/>
    </row>
    <row r="26798" spans="45:45">
      <c r="AS26798" s="47"/>
    </row>
    <row r="26799" spans="45:45">
      <c r="AS26799" s="47"/>
    </row>
    <row r="26800" spans="45:45">
      <c r="AS26800" s="47"/>
    </row>
    <row r="26801" spans="45:45">
      <c r="AS26801" s="47"/>
    </row>
    <row r="26802" spans="45:45">
      <c r="AS26802" s="47"/>
    </row>
    <row r="26803" spans="45:45">
      <c r="AS26803" s="47"/>
    </row>
    <row r="26804" spans="45:45">
      <c r="AS26804" s="47"/>
    </row>
    <row r="26805" spans="45:45">
      <c r="AS26805" s="47"/>
    </row>
    <row r="26806" spans="45:45">
      <c r="AS26806" s="47"/>
    </row>
    <row r="26807" spans="45:45">
      <c r="AS26807" s="47"/>
    </row>
    <row r="26808" spans="45:45">
      <c r="AS26808" s="47"/>
    </row>
    <row r="26809" spans="45:45">
      <c r="AS26809" s="47"/>
    </row>
    <row r="26810" spans="45:45">
      <c r="AS26810" s="47"/>
    </row>
    <row r="26811" spans="45:45">
      <c r="AS26811" s="47"/>
    </row>
    <row r="26812" spans="45:45">
      <c r="AS26812" s="47"/>
    </row>
    <row r="26813" spans="45:45">
      <c r="AS26813" s="47"/>
    </row>
    <row r="26814" spans="45:45">
      <c r="AS26814" s="47"/>
    </row>
    <row r="26815" spans="45:45">
      <c r="AS26815" s="47"/>
    </row>
    <row r="26816" spans="45:45">
      <c r="AS26816" s="47"/>
    </row>
    <row r="26817" spans="45:45">
      <c r="AS26817" s="47"/>
    </row>
    <row r="26818" spans="45:45">
      <c r="AS26818" s="47"/>
    </row>
    <row r="26819" spans="45:45">
      <c r="AS26819" s="47"/>
    </row>
    <row r="26820" spans="45:45">
      <c r="AS26820" s="47"/>
    </row>
    <row r="26821" spans="45:45">
      <c r="AS26821" s="47"/>
    </row>
    <row r="26822" spans="45:45">
      <c r="AS26822" s="47"/>
    </row>
    <row r="26823" spans="45:45">
      <c r="AS26823" s="47"/>
    </row>
    <row r="26824" spans="45:45">
      <c r="AS26824" s="47"/>
    </row>
    <row r="26825" spans="45:45">
      <c r="AS26825" s="47"/>
    </row>
    <row r="26826" spans="45:45">
      <c r="AS26826" s="47"/>
    </row>
    <row r="26827" spans="45:45">
      <c r="AS26827" s="47"/>
    </row>
    <row r="26828" spans="45:45">
      <c r="AS26828" s="47"/>
    </row>
    <row r="26829" spans="45:45">
      <c r="AS26829" s="47"/>
    </row>
    <row r="26830" spans="45:45">
      <c r="AS26830" s="47"/>
    </row>
    <row r="26831" spans="45:45">
      <c r="AS26831" s="47"/>
    </row>
    <row r="26832" spans="45:45">
      <c r="AS26832" s="47"/>
    </row>
    <row r="26833" spans="45:45">
      <c r="AS26833" s="47"/>
    </row>
    <row r="26834" spans="45:45">
      <c r="AS26834" s="47"/>
    </row>
    <row r="26835" spans="45:45">
      <c r="AS26835" s="47"/>
    </row>
    <row r="26836" spans="45:45">
      <c r="AS26836" s="47"/>
    </row>
    <row r="26837" spans="45:45">
      <c r="AS26837" s="47"/>
    </row>
    <row r="26838" spans="45:45">
      <c r="AS26838" s="47"/>
    </row>
    <row r="26839" spans="45:45">
      <c r="AS26839" s="47"/>
    </row>
    <row r="26840" spans="45:45">
      <c r="AS26840" s="47"/>
    </row>
    <row r="26841" spans="45:45">
      <c r="AS26841" s="47"/>
    </row>
    <row r="26842" spans="45:45">
      <c r="AS26842" s="47"/>
    </row>
    <row r="26843" spans="45:45">
      <c r="AS26843" s="47"/>
    </row>
    <row r="26844" spans="45:45">
      <c r="AS26844" s="47"/>
    </row>
    <row r="26845" spans="45:45">
      <c r="AS26845" s="47"/>
    </row>
    <row r="26846" spans="45:45">
      <c r="AS26846" s="47"/>
    </row>
    <row r="26847" spans="45:45">
      <c r="AS26847" s="47"/>
    </row>
    <row r="26848" spans="45:45">
      <c r="AS26848" s="47"/>
    </row>
    <row r="26849" spans="45:45">
      <c r="AS26849" s="47"/>
    </row>
    <row r="26850" spans="45:45">
      <c r="AS26850" s="47"/>
    </row>
    <row r="26851" spans="45:45">
      <c r="AS26851" s="47"/>
    </row>
    <row r="26852" spans="45:45">
      <c r="AS26852" s="47"/>
    </row>
    <row r="26853" spans="45:45">
      <c r="AS26853" s="47"/>
    </row>
    <row r="26854" spans="45:45">
      <c r="AS26854" s="47"/>
    </row>
    <row r="26855" spans="45:45">
      <c r="AS26855" s="47"/>
    </row>
    <row r="26856" spans="45:45">
      <c r="AS26856" s="47"/>
    </row>
    <row r="26857" spans="45:45">
      <c r="AS26857" s="47"/>
    </row>
    <row r="26858" spans="45:45">
      <c r="AS26858" s="47"/>
    </row>
    <row r="26859" spans="45:45">
      <c r="AS26859" s="47"/>
    </row>
    <row r="26860" spans="45:45">
      <c r="AS26860" s="47"/>
    </row>
    <row r="26861" spans="45:45">
      <c r="AS26861" s="47"/>
    </row>
    <row r="26862" spans="45:45">
      <c r="AS26862" s="47"/>
    </row>
    <row r="26863" spans="45:45">
      <c r="AS26863" s="47"/>
    </row>
    <row r="26864" spans="45:45">
      <c r="AS26864" s="47"/>
    </row>
    <row r="26865" spans="45:45">
      <c r="AS26865" s="47"/>
    </row>
    <row r="26866" spans="45:45">
      <c r="AS26866" s="47"/>
    </row>
    <row r="26867" spans="45:45">
      <c r="AS26867" s="47"/>
    </row>
    <row r="26868" spans="45:45">
      <c r="AS26868" s="47"/>
    </row>
    <row r="26869" spans="45:45">
      <c r="AS26869" s="47"/>
    </row>
    <row r="26870" spans="45:45">
      <c r="AS26870" s="47"/>
    </row>
    <row r="26871" spans="45:45">
      <c r="AS26871" s="47"/>
    </row>
    <row r="26872" spans="45:45">
      <c r="AS26872" s="47"/>
    </row>
    <row r="26873" spans="45:45">
      <c r="AS26873" s="47"/>
    </row>
    <row r="26874" spans="45:45">
      <c r="AS26874" s="47"/>
    </row>
    <row r="26875" spans="45:45">
      <c r="AS26875" s="47"/>
    </row>
    <row r="26876" spans="45:45">
      <c r="AS26876" s="47"/>
    </row>
    <row r="26877" spans="45:45">
      <c r="AS26877" s="47"/>
    </row>
    <row r="26878" spans="45:45">
      <c r="AS26878" s="47"/>
    </row>
    <row r="26879" spans="45:45">
      <c r="AS26879" s="47"/>
    </row>
    <row r="26880" spans="45:45">
      <c r="AS26880" s="47"/>
    </row>
    <row r="26881" spans="45:45">
      <c r="AS26881" s="47"/>
    </row>
    <row r="26882" spans="45:45">
      <c r="AS26882" s="47"/>
    </row>
    <row r="26883" spans="45:45">
      <c r="AS26883" s="47"/>
    </row>
    <row r="26884" spans="45:45">
      <c r="AS26884" s="47"/>
    </row>
    <row r="26885" spans="45:45">
      <c r="AS26885" s="47"/>
    </row>
    <row r="26886" spans="45:45">
      <c r="AS26886" s="47"/>
    </row>
    <row r="26887" spans="45:45">
      <c r="AS26887" s="47"/>
    </row>
    <row r="26888" spans="45:45">
      <c r="AS26888" s="47"/>
    </row>
    <row r="26889" spans="45:45">
      <c r="AS26889" s="47"/>
    </row>
    <row r="26890" spans="45:45">
      <c r="AS26890" s="47"/>
    </row>
    <row r="26891" spans="45:45">
      <c r="AS26891" s="47"/>
    </row>
    <row r="26892" spans="45:45">
      <c r="AS26892" s="47"/>
    </row>
    <row r="26893" spans="45:45">
      <c r="AS26893" s="47"/>
    </row>
    <row r="26894" spans="45:45">
      <c r="AS26894" s="47"/>
    </row>
    <row r="26895" spans="45:45">
      <c r="AS26895" s="47"/>
    </row>
    <row r="26896" spans="45:45">
      <c r="AS26896" s="47"/>
    </row>
    <row r="26897" spans="45:45">
      <c r="AS26897" s="47"/>
    </row>
    <row r="26898" spans="45:45">
      <c r="AS26898" s="47"/>
    </row>
    <row r="26899" spans="45:45">
      <c r="AS26899" s="47"/>
    </row>
    <row r="26900" spans="45:45">
      <c r="AS26900" s="47"/>
    </row>
    <row r="26901" spans="45:45">
      <c r="AS26901" s="47"/>
    </row>
    <row r="26902" spans="45:45">
      <c r="AS26902" s="47"/>
    </row>
    <row r="26903" spans="45:45">
      <c r="AS26903" s="47"/>
    </row>
    <row r="26904" spans="45:45">
      <c r="AS26904" s="47"/>
    </row>
    <row r="26905" spans="45:45">
      <c r="AS26905" s="47"/>
    </row>
    <row r="26906" spans="45:45">
      <c r="AS26906" s="47"/>
    </row>
    <row r="26907" spans="45:45">
      <c r="AS26907" s="47"/>
    </row>
    <row r="26908" spans="45:45">
      <c r="AS26908" s="47"/>
    </row>
    <row r="26909" spans="45:45">
      <c r="AS26909" s="47"/>
    </row>
    <row r="26910" spans="45:45">
      <c r="AS26910" s="47"/>
    </row>
    <row r="26911" spans="45:45">
      <c r="AS26911" s="47"/>
    </row>
    <row r="26912" spans="45:45">
      <c r="AS26912" s="47"/>
    </row>
    <row r="26913" spans="45:45">
      <c r="AS26913" s="47"/>
    </row>
    <row r="26914" spans="45:45">
      <c r="AS26914" s="47"/>
    </row>
    <row r="26915" spans="45:45">
      <c r="AS26915" s="47"/>
    </row>
    <row r="26916" spans="45:45">
      <c r="AS26916" s="47"/>
    </row>
    <row r="26917" spans="45:45">
      <c r="AS26917" s="47"/>
    </row>
    <row r="26918" spans="45:45">
      <c r="AS26918" s="47"/>
    </row>
    <row r="26919" spans="45:45">
      <c r="AS26919" s="47"/>
    </row>
    <row r="26920" spans="45:45">
      <c r="AS26920" s="47"/>
    </row>
    <row r="26921" spans="45:45">
      <c r="AS26921" s="47"/>
    </row>
    <row r="26922" spans="45:45">
      <c r="AS26922" s="47"/>
    </row>
    <row r="26923" spans="45:45">
      <c r="AS26923" s="47"/>
    </row>
    <row r="26924" spans="45:45">
      <c r="AS26924" s="47"/>
    </row>
    <row r="26925" spans="45:45">
      <c r="AS26925" s="47"/>
    </row>
    <row r="26926" spans="45:45">
      <c r="AS26926" s="47"/>
    </row>
    <row r="26927" spans="45:45">
      <c r="AS26927" s="47"/>
    </row>
    <row r="26928" spans="45:45">
      <c r="AS26928" s="47"/>
    </row>
    <row r="26929" spans="45:45">
      <c r="AS26929" s="47"/>
    </row>
    <row r="26930" spans="45:45">
      <c r="AS26930" s="47"/>
    </row>
    <row r="26931" spans="45:45">
      <c r="AS26931" s="47"/>
    </row>
    <row r="26932" spans="45:45">
      <c r="AS26932" s="47"/>
    </row>
    <row r="26933" spans="45:45">
      <c r="AS26933" s="47"/>
    </row>
    <row r="26934" spans="45:45">
      <c r="AS26934" s="47"/>
    </row>
    <row r="26935" spans="45:45">
      <c r="AS26935" s="47"/>
    </row>
    <row r="26936" spans="45:45">
      <c r="AS26936" s="47"/>
    </row>
    <row r="26937" spans="45:45">
      <c r="AS26937" s="47"/>
    </row>
    <row r="26938" spans="45:45">
      <c r="AS26938" s="47"/>
    </row>
    <row r="26939" spans="45:45">
      <c r="AS26939" s="47"/>
    </row>
    <row r="26940" spans="45:45">
      <c r="AS26940" s="47"/>
    </row>
    <row r="26941" spans="45:45">
      <c r="AS26941" s="47"/>
    </row>
    <row r="26942" spans="45:45">
      <c r="AS26942" s="47"/>
    </row>
    <row r="26943" spans="45:45">
      <c r="AS26943" s="47"/>
    </row>
    <row r="26944" spans="45:45">
      <c r="AS26944" s="47"/>
    </row>
    <row r="26945" spans="45:45">
      <c r="AS26945" s="47"/>
    </row>
    <row r="26946" spans="45:45">
      <c r="AS26946" s="47"/>
    </row>
    <row r="26947" spans="45:45">
      <c r="AS26947" s="47"/>
    </row>
    <row r="26948" spans="45:45">
      <c r="AS26948" s="47"/>
    </row>
    <row r="26949" spans="45:45">
      <c r="AS26949" s="47"/>
    </row>
    <row r="26950" spans="45:45">
      <c r="AS26950" s="47"/>
    </row>
    <row r="26951" spans="45:45">
      <c r="AS26951" s="47"/>
    </row>
    <row r="26952" spans="45:45">
      <c r="AS26952" s="47"/>
    </row>
    <row r="26953" spans="45:45">
      <c r="AS26953" s="47"/>
    </row>
    <row r="26954" spans="45:45">
      <c r="AS26954" s="47"/>
    </row>
    <row r="26955" spans="45:45">
      <c r="AS26955" s="47"/>
    </row>
    <row r="26956" spans="45:45">
      <c r="AS26956" s="47"/>
    </row>
    <row r="26957" spans="45:45">
      <c r="AS26957" s="47"/>
    </row>
    <row r="26958" spans="45:45">
      <c r="AS26958" s="47"/>
    </row>
    <row r="26959" spans="45:45">
      <c r="AS26959" s="47"/>
    </row>
    <row r="26960" spans="45:45">
      <c r="AS26960" s="47"/>
    </row>
    <row r="26961" spans="45:45">
      <c r="AS26961" s="47"/>
    </row>
    <row r="26962" spans="45:45">
      <c r="AS26962" s="47"/>
    </row>
    <row r="26963" spans="45:45">
      <c r="AS26963" s="47"/>
    </row>
    <row r="26964" spans="45:45">
      <c r="AS26964" s="47"/>
    </row>
    <row r="26965" spans="45:45">
      <c r="AS26965" s="47"/>
    </row>
    <row r="26966" spans="45:45">
      <c r="AS26966" s="47"/>
    </row>
    <row r="26967" spans="45:45">
      <c r="AS26967" s="47"/>
    </row>
    <row r="26968" spans="45:45">
      <c r="AS26968" s="47"/>
    </row>
    <row r="26969" spans="45:45">
      <c r="AS26969" s="47"/>
    </row>
    <row r="26970" spans="45:45">
      <c r="AS26970" s="47"/>
    </row>
    <row r="26971" spans="45:45">
      <c r="AS26971" s="47"/>
    </row>
    <row r="26972" spans="45:45">
      <c r="AS26972" s="47"/>
    </row>
    <row r="26973" spans="45:45">
      <c r="AS26973" s="47"/>
    </row>
    <row r="26974" spans="45:45">
      <c r="AS26974" s="47"/>
    </row>
    <row r="26975" spans="45:45">
      <c r="AS26975" s="47"/>
    </row>
    <row r="26976" spans="45:45">
      <c r="AS26976" s="47"/>
    </row>
    <row r="26977" spans="45:45">
      <c r="AS26977" s="47"/>
    </row>
    <row r="26978" spans="45:45">
      <c r="AS26978" s="47"/>
    </row>
    <row r="26979" spans="45:45">
      <c r="AS26979" s="47"/>
    </row>
    <row r="26980" spans="45:45">
      <c r="AS26980" s="47"/>
    </row>
    <row r="26981" spans="45:45">
      <c r="AS26981" s="47"/>
    </row>
    <row r="26982" spans="45:45">
      <c r="AS26982" s="47"/>
    </row>
    <row r="26983" spans="45:45">
      <c r="AS26983" s="47"/>
    </row>
    <row r="26984" spans="45:45">
      <c r="AS26984" s="47"/>
    </row>
    <row r="26985" spans="45:45">
      <c r="AS26985" s="47"/>
    </row>
    <row r="26986" spans="45:45">
      <c r="AS26986" s="47"/>
    </row>
    <row r="26987" spans="45:45">
      <c r="AS26987" s="47"/>
    </row>
    <row r="26988" spans="45:45">
      <c r="AS26988" s="47"/>
    </row>
    <row r="26989" spans="45:45">
      <c r="AS26989" s="47"/>
    </row>
    <row r="26990" spans="45:45">
      <c r="AS26990" s="47"/>
    </row>
    <row r="26991" spans="45:45">
      <c r="AS26991" s="47"/>
    </row>
    <row r="26992" spans="45:45">
      <c r="AS26992" s="47"/>
    </row>
    <row r="26993" spans="45:45">
      <c r="AS26993" s="47"/>
    </row>
    <row r="26994" spans="45:45">
      <c r="AS26994" s="47"/>
    </row>
    <row r="26995" spans="45:45">
      <c r="AS26995" s="47"/>
    </row>
    <row r="26996" spans="45:45">
      <c r="AS26996" s="47"/>
    </row>
    <row r="26997" spans="45:45">
      <c r="AS26997" s="47"/>
    </row>
    <row r="26998" spans="45:45">
      <c r="AS26998" s="47"/>
    </row>
    <row r="26999" spans="45:45">
      <c r="AS26999" s="47"/>
    </row>
    <row r="27000" spans="45:45">
      <c r="AS27000" s="47"/>
    </row>
    <row r="27001" spans="45:45">
      <c r="AS27001" s="47"/>
    </row>
    <row r="27002" spans="45:45">
      <c r="AS27002" s="47"/>
    </row>
    <row r="27003" spans="45:45">
      <c r="AS27003" s="47"/>
    </row>
    <row r="27004" spans="45:45">
      <c r="AS27004" s="47"/>
    </row>
    <row r="27005" spans="45:45">
      <c r="AS27005" s="47"/>
    </row>
    <row r="27006" spans="45:45">
      <c r="AS27006" s="47"/>
    </row>
    <row r="27007" spans="45:45">
      <c r="AS27007" s="47"/>
    </row>
    <row r="27008" spans="45:45">
      <c r="AS27008" s="47"/>
    </row>
    <row r="27009" spans="45:45">
      <c r="AS27009" s="47"/>
    </row>
    <row r="27010" spans="45:45">
      <c r="AS27010" s="47"/>
    </row>
    <row r="27011" spans="45:45">
      <c r="AS27011" s="47"/>
    </row>
    <row r="27012" spans="45:45">
      <c r="AS27012" s="47"/>
    </row>
    <row r="27013" spans="45:45">
      <c r="AS27013" s="47"/>
    </row>
    <row r="27014" spans="45:45">
      <c r="AS27014" s="47"/>
    </row>
    <row r="27015" spans="45:45">
      <c r="AS27015" s="47"/>
    </row>
    <row r="27016" spans="45:45">
      <c r="AS27016" s="47"/>
    </row>
    <row r="27017" spans="45:45">
      <c r="AS27017" s="47"/>
    </row>
    <row r="27018" spans="45:45">
      <c r="AS27018" s="47"/>
    </row>
    <row r="27019" spans="45:45">
      <c r="AS27019" s="47"/>
    </row>
    <row r="27020" spans="45:45">
      <c r="AS27020" s="47"/>
    </row>
    <row r="27021" spans="45:45">
      <c r="AS27021" s="47"/>
    </row>
    <row r="27022" spans="45:45">
      <c r="AS27022" s="47"/>
    </row>
    <row r="27023" spans="45:45">
      <c r="AS27023" s="47"/>
    </row>
    <row r="27024" spans="45:45">
      <c r="AS27024" s="47"/>
    </row>
    <row r="27025" spans="45:45">
      <c r="AS27025" s="47"/>
    </row>
    <row r="27026" spans="45:45">
      <c r="AS27026" s="47"/>
    </row>
    <row r="27027" spans="45:45">
      <c r="AS27027" s="47"/>
    </row>
    <row r="27028" spans="45:45">
      <c r="AS27028" s="47"/>
    </row>
    <row r="27029" spans="45:45">
      <c r="AS27029" s="47"/>
    </row>
    <row r="27030" spans="45:45">
      <c r="AS27030" s="47"/>
    </row>
    <row r="27031" spans="45:45">
      <c r="AS27031" s="47"/>
    </row>
    <row r="27032" spans="45:45">
      <c r="AS27032" s="47"/>
    </row>
    <row r="27033" spans="45:45">
      <c r="AS27033" s="47"/>
    </row>
    <row r="27034" spans="45:45">
      <c r="AS27034" s="47"/>
    </row>
    <row r="27035" spans="45:45">
      <c r="AS27035" s="47"/>
    </row>
    <row r="27036" spans="45:45">
      <c r="AS27036" s="47"/>
    </row>
    <row r="27037" spans="45:45">
      <c r="AS27037" s="47"/>
    </row>
    <row r="27038" spans="45:45">
      <c r="AS27038" s="47"/>
    </row>
    <row r="27039" spans="45:45">
      <c r="AS27039" s="47"/>
    </row>
    <row r="27040" spans="45:45">
      <c r="AS27040" s="47"/>
    </row>
    <row r="27041" spans="45:45">
      <c r="AS27041" s="47"/>
    </row>
    <row r="27042" spans="45:45">
      <c r="AS27042" s="47"/>
    </row>
    <row r="27043" spans="45:45">
      <c r="AS27043" s="47"/>
    </row>
    <row r="27044" spans="45:45">
      <c r="AS27044" s="47"/>
    </row>
    <row r="27045" spans="45:45">
      <c r="AS27045" s="47"/>
    </row>
    <row r="27046" spans="45:45">
      <c r="AS27046" s="47"/>
    </row>
    <row r="27047" spans="45:45">
      <c r="AS27047" s="47"/>
    </row>
    <row r="27048" spans="45:45">
      <c r="AS27048" s="47"/>
    </row>
    <row r="27049" spans="45:45">
      <c r="AS27049" s="47"/>
    </row>
    <row r="27050" spans="45:45">
      <c r="AS27050" s="47"/>
    </row>
    <row r="27051" spans="45:45">
      <c r="AS27051" s="47"/>
    </row>
    <row r="27052" spans="45:45">
      <c r="AS27052" s="47"/>
    </row>
    <row r="27053" spans="45:45">
      <c r="AS27053" s="47"/>
    </row>
    <row r="27054" spans="45:45">
      <c r="AS27054" s="47"/>
    </row>
    <row r="27055" spans="45:45">
      <c r="AS27055" s="47"/>
    </row>
    <row r="27056" spans="45:45">
      <c r="AS27056" s="47"/>
    </row>
    <row r="27057" spans="45:45">
      <c r="AS27057" s="47"/>
    </row>
    <row r="27058" spans="45:45">
      <c r="AS27058" s="47"/>
    </row>
    <row r="27059" spans="45:45">
      <c r="AS27059" s="47"/>
    </row>
    <row r="27060" spans="45:45">
      <c r="AS27060" s="47"/>
    </row>
    <row r="27061" spans="45:45">
      <c r="AS27061" s="47"/>
    </row>
    <row r="27062" spans="45:45">
      <c r="AS27062" s="47"/>
    </row>
    <row r="27063" spans="45:45">
      <c r="AS27063" s="47"/>
    </row>
    <row r="27064" spans="45:45">
      <c r="AS27064" s="47"/>
    </row>
    <row r="27065" spans="45:45">
      <c r="AS27065" s="47"/>
    </row>
    <row r="27066" spans="45:45">
      <c r="AS27066" s="47"/>
    </row>
    <row r="27067" spans="45:45">
      <c r="AS27067" s="47"/>
    </row>
    <row r="27068" spans="45:45">
      <c r="AS27068" s="47"/>
    </row>
    <row r="27069" spans="45:45">
      <c r="AS27069" s="47"/>
    </row>
    <row r="27070" spans="45:45">
      <c r="AS27070" s="47"/>
    </row>
    <row r="27071" spans="45:45">
      <c r="AS27071" s="47"/>
    </row>
    <row r="27072" spans="45:45">
      <c r="AS27072" s="47"/>
    </row>
    <row r="27073" spans="45:45">
      <c r="AS27073" s="47"/>
    </row>
    <row r="27074" spans="45:45">
      <c r="AS27074" s="47"/>
    </row>
    <row r="27075" spans="45:45">
      <c r="AS27075" s="47"/>
    </row>
    <row r="27076" spans="45:45">
      <c r="AS27076" s="47"/>
    </row>
    <row r="27077" spans="45:45">
      <c r="AS27077" s="47"/>
    </row>
    <row r="27078" spans="45:45">
      <c r="AS27078" s="47"/>
    </row>
    <row r="27079" spans="45:45">
      <c r="AS27079" s="47"/>
    </row>
    <row r="27080" spans="45:45">
      <c r="AS27080" s="47"/>
    </row>
    <row r="27081" spans="45:45">
      <c r="AS27081" s="47"/>
    </row>
    <row r="27082" spans="45:45">
      <c r="AS27082" s="47"/>
    </row>
    <row r="27083" spans="45:45">
      <c r="AS27083" s="47"/>
    </row>
    <row r="27084" spans="45:45">
      <c r="AS27084" s="47"/>
    </row>
    <row r="27085" spans="45:45">
      <c r="AS27085" s="47"/>
    </row>
    <row r="27086" spans="45:45">
      <c r="AS27086" s="47"/>
    </row>
    <row r="27087" spans="45:45">
      <c r="AS27087" s="47"/>
    </row>
    <row r="27088" spans="45:45">
      <c r="AS27088" s="47"/>
    </row>
    <row r="27089" spans="45:45">
      <c r="AS27089" s="47"/>
    </row>
    <row r="27090" spans="45:45">
      <c r="AS27090" s="47"/>
    </row>
    <row r="27091" spans="45:45">
      <c r="AS27091" s="47"/>
    </row>
    <row r="27092" spans="45:45">
      <c r="AS27092" s="47"/>
    </row>
    <row r="27093" spans="45:45">
      <c r="AS27093" s="47"/>
    </row>
    <row r="27094" spans="45:45">
      <c r="AS27094" s="47"/>
    </row>
    <row r="27095" spans="45:45">
      <c r="AS27095" s="47"/>
    </row>
    <row r="27096" spans="45:45">
      <c r="AS27096" s="47"/>
    </row>
    <row r="27097" spans="45:45">
      <c r="AS27097" s="47"/>
    </row>
    <row r="27098" spans="45:45">
      <c r="AS27098" s="47"/>
    </row>
    <row r="27099" spans="45:45">
      <c r="AS27099" s="47"/>
    </row>
    <row r="27100" spans="45:45">
      <c r="AS27100" s="47"/>
    </row>
    <row r="27101" spans="45:45">
      <c r="AS27101" s="47"/>
    </row>
    <row r="27102" spans="45:45">
      <c r="AS27102" s="47"/>
    </row>
    <row r="27103" spans="45:45">
      <c r="AS27103" s="47"/>
    </row>
    <row r="27104" spans="45:45">
      <c r="AS27104" s="47"/>
    </row>
    <row r="27105" spans="45:45">
      <c r="AS27105" s="47"/>
    </row>
    <row r="27106" spans="45:45">
      <c r="AS27106" s="47"/>
    </row>
    <row r="27107" spans="45:45">
      <c r="AS27107" s="47"/>
    </row>
    <row r="27108" spans="45:45">
      <c r="AS27108" s="47"/>
    </row>
    <row r="27109" spans="45:45">
      <c r="AS27109" s="47"/>
    </row>
    <row r="27110" spans="45:45">
      <c r="AS27110" s="47"/>
    </row>
    <row r="27111" spans="45:45">
      <c r="AS27111" s="47"/>
    </row>
    <row r="27112" spans="45:45">
      <c r="AS27112" s="47"/>
    </row>
    <row r="27113" spans="45:45">
      <c r="AS27113" s="47"/>
    </row>
    <row r="27114" spans="45:45">
      <c r="AS27114" s="47"/>
    </row>
    <row r="27115" spans="45:45">
      <c r="AS27115" s="47"/>
    </row>
    <row r="27116" spans="45:45">
      <c r="AS27116" s="47"/>
    </row>
    <row r="27117" spans="45:45">
      <c r="AS27117" s="47"/>
    </row>
    <row r="27118" spans="45:45">
      <c r="AS27118" s="47"/>
    </row>
    <row r="27119" spans="45:45">
      <c r="AS27119" s="47"/>
    </row>
    <row r="27120" spans="45:45">
      <c r="AS27120" s="47"/>
    </row>
    <row r="27121" spans="45:45">
      <c r="AS27121" s="47"/>
    </row>
    <row r="27122" spans="45:45">
      <c r="AS27122" s="47"/>
    </row>
    <row r="27123" spans="45:45">
      <c r="AS27123" s="47"/>
    </row>
    <row r="27124" spans="45:45">
      <c r="AS27124" s="47"/>
    </row>
    <row r="27125" spans="45:45">
      <c r="AS27125" s="47"/>
    </row>
    <row r="27126" spans="45:45">
      <c r="AS27126" s="47"/>
    </row>
    <row r="27127" spans="45:45">
      <c r="AS27127" s="47"/>
    </row>
    <row r="27128" spans="45:45">
      <c r="AS27128" s="47"/>
    </row>
    <row r="27129" spans="45:45">
      <c r="AS27129" s="47"/>
    </row>
    <row r="27130" spans="45:45">
      <c r="AS27130" s="47"/>
    </row>
    <row r="27131" spans="45:45">
      <c r="AS27131" s="47"/>
    </row>
    <row r="27132" spans="45:45">
      <c r="AS27132" s="47"/>
    </row>
    <row r="27133" spans="45:45">
      <c r="AS27133" s="47"/>
    </row>
    <row r="27134" spans="45:45">
      <c r="AS27134" s="47"/>
    </row>
    <row r="27135" spans="45:45">
      <c r="AS27135" s="47"/>
    </row>
    <row r="27136" spans="45:45">
      <c r="AS27136" s="47"/>
    </row>
    <row r="27137" spans="45:45">
      <c r="AS27137" s="47"/>
    </row>
    <row r="27138" spans="45:45">
      <c r="AS27138" s="47"/>
    </row>
    <row r="27139" spans="45:45">
      <c r="AS27139" s="47"/>
    </row>
    <row r="27140" spans="45:45">
      <c r="AS27140" s="47"/>
    </row>
    <row r="27141" spans="45:45">
      <c r="AS27141" s="47"/>
    </row>
    <row r="27142" spans="45:45">
      <c r="AS27142" s="47"/>
    </row>
    <row r="27143" spans="45:45">
      <c r="AS27143" s="47"/>
    </row>
    <row r="27144" spans="45:45">
      <c r="AS27144" s="47"/>
    </row>
    <row r="27145" spans="45:45">
      <c r="AS27145" s="47"/>
    </row>
    <row r="27146" spans="45:45">
      <c r="AS27146" s="47"/>
    </row>
    <row r="27147" spans="45:45">
      <c r="AS27147" s="47"/>
    </row>
    <row r="27148" spans="45:45">
      <c r="AS27148" s="47"/>
    </row>
    <row r="27149" spans="45:45">
      <c r="AS27149" s="47"/>
    </row>
    <row r="27150" spans="45:45">
      <c r="AS27150" s="47"/>
    </row>
    <row r="27151" spans="45:45">
      <c r="AS27151" s="47"/>
    </row>
    <row r="27152" spans="45:45">
      <c r="AS27152" s="47"/>
    </row>
    <row r="27153" spans="45:45">
      <c r="AS27153" s="47"/>
    </row>
    <row r="27154" spans="45:45">
      <c r="AS27154" s="47"/>
    </row>
    <row r="27155" spans="45:45">
      <c r="AS27155" s="47"/>
    </row>
    <row r="27156" spans="45:45">
      <c r="AS27156" s="47"/>
    </row>
    <row r="27157" spans="45:45">
      <c r="AS27157" s="47"/>
    </row>
    <row r="27158" spans="45:45">
      <c r="AS27158" s="47"/>
    </row>
    <row r="27159" spans="45:45">
      <c r="AS27159" s="47"/>
    </row>
    <row r="27160" spans="45:45">
      <c r="AS27160" s="47"/>
    </row>
    <row r="27161" spans="45:45">
      <c r="AS27161" s="47"/>
    </row>
    <row r="27162" spans="45:45">
      <c r="AS27162" s="47"/>
    </row>
    <row r="27163" spans="45:45">
      <c r="AS27163" s="47"/>
    </row>
    <row r="27164" spans="45:45">
      <c r="AS27164" s="47"/>
    </row>
    <row r="27165" spans="45:45">
      <c r="AS27165" s="47"/>
    </row>
    <row r="27166" spans="45:45">
      <c r="AS27166" s="47"/>
    </row>
    <row r="27167" spans="45:45">
      <c r="AS27167" s="47"/>
    </row>
    <row r="27168" spans="45:45">
      <c r="AS27168" s="47"/>
    </row>
    <row r="27169" spans="45:45">
      <c r="AS27169" s="47"/>
    </row>
    <row r="27170" spans="45:45">
      <c r="AS27170" s="47"/>
    </row>
    <row r="27171" spans="45:45">
      <c r="AS27171" s="47"/>
    </row>
    <row r="27172" spans="45:45">
      <c r="AS27172" s="47"/>
    </row>
    <row r="27173" spans="45:45">
      <c r="AS27173" s="47"/>
    </row>
    <row r="27174" spans="45:45">
      <c r="AS27174" s="47"/>
    </row>
    <row r="27175" spans="45:45">
      <c r="AS27175" s="47"/>
    </row>
    <row r="27176" spans="45:45">
      <c r="AS27176" s="47"/>
    </row>
    <row r="27177" spans="45:45">
      <c r="AS27177" s="47"/>
    </row>
    <row r="27178" spans="45:45">
      <c r="AS27178" s="47"/>
    </row>
    <row r="27179" spans="45:45">
      <c r="AS27179" s="47"/>
    </row>
    <row r="27180" spans="45:45">
      <c r="AS27180" s="47"/>
    </row>
    <row r="27181" spans="45:45">
      <c r="AS27181" s="47"/>
    </row>
    <row r="27182" spans="45:45">
      <c r="AS27182" s="47"/>
    </row>
    <row r="27183" spans="45:45">
      <c r="AS27183" s="47"/>
    </row>
    <row r="27184" spans="45:45">
      <c r="AS27184" s="47"/>
    </row>
    <row r="27185" spans="45:45">
      <c r="AS27185" s="47"/>
    </row>
    <row r="27186" spans="45:45">
      <c r="AS27186" s="47"/>
    </row>
    <row r="27187" spans="45:45">
      <c r="AS27187" s="47"/>
    </row>
    <row r="27188" spans="45:45">
      <c r="AS27188" s="47"/>
    </row>
    <row r="27189" spans="45:45">
      <c r="AS27189" s="47"/>
    </row>
    <row r="27190" spans="45:45">
      <c r="AS27190" s="47"/>
    </row>
    <row r="27191" spans="45:45">
      <c r="AS27191" s="47"/>
    </row>
    <row r="27192" spans="45:45">
      <c r="AS27192" s="47"/>
    </row>
    <row r="27193" spans="45:45">
      <c r="AS27193" s="47"/>
    </row>
    <row r="27194" spans="45:45">
      <c r="AS27194" s="47"/>
    </row>
    <row r="27195" spans="45:45">
      <c r="AS27195" s="47"/>
    </row>
    <row r="27196" spans="45:45">
      <c r="AS27196" s="47"/>
    </row>
    <row r="27197" spans="45:45">
      <c r="AS27197" s="47"/>
    </row>
    <row r="27198" spans="45:45">
      <c r="AS27198" s="47"/>
    </row>
    <row r="27199" spans="45:45">
      <c r="AS27199" s="47"/>
    </row>
    <row r="27200" spans="45:45">
      <c r="AS27200" s="47"/>
    </row>
    <row r="27201" spans="45:45">
      <c r="AS27201" s="47"/>
    </row>
    <row r="27202" spans="45:45">
      <c r="AS27202" s="47"/>
    </row>
    <row r="27203" spans="45:45">
      <c r="AS27203" s="47"/>
    </row>
    <row r="27204" spans="45:45">
      <c r="AS27204" s="47"/>
    </row>
    <row r="27205" spans="45:45">
      <c r="AS27205" s="47"/>
    </row>
    <row r="27206" spans="45:45">
      <c r="AS27206" s="47"/>
    </row>
    <row r="27207" spans="45:45">
      <c r="AS27207" s="47"/>
    </row>
    <row r="27208" spans="45:45">
      <c r="AS27208" s="47"/>
    </row>
    <row r="27209" spans="45:45">
      <c r="AS27209" s="47"/>
    </row>
    <row r="27210" spans="45:45">
      <c r="AS27210" s="47"/>
    </row>
    <row r="27211" spans="45:45">
      <c r="AS27211" s="47"/>
    </row>
    <row r="27212" spans="45:45">
      <c r="AS27212" s="47"/>
    </row>
    <row r="27213" spans="45:45">
      <c r="AS27213" s="47"/>
    </row>
    <row r="27214" spans="45:45">
      <c r="AS27214" s="47"/>
    </row>
    <row r="27215" spans="45:45">
      <c r="AS27215" s="47"/>
    </row>
    <row r="27216" spans="45:45">
      <c r="AS27216" s="47"/>
    </row>
    <row r="27217" spans="45:45">
      <c r="AS27217" s="47"/>
    </row>
    <row r="27218" spans="45:45">
      <c r="AS27218" s="47"/>
    </row>
    <row r="27219" spans="45:45">
      <c r="AS27219" s="47"/>
    </row>
    <row r="27220" spans="45:45">
      <c r="AS27220" s="47"/>
    </row>
    <row r="27221" spans="45:45">
      <c r="AS27221" s="47"/>
    </row>
    <row r="27222" spans="45:45">
      <c r="AS27222" s="47"/>
    </row>
    <row r="27223" spans="45:45">
      <c r="AS27223" s="47"/>
    </row>
    <row r="27224" spans="45:45">
      <c r="AS27224" s="47"/>
    </row>
    <row r="27225" spans="45:45">
      <c r="AS27225" s="47"/>
    </row>
    <row r="27226" spans="45:45">
      <c r="AS27226" s="47"/>
    </row>
    <row r="27227" spans="45:45">
      <c r="AS27227" s="47"/>
    </row>
    <row r="27228" spans="45:45">
      <c r="AS27228" s="47"/>
    </row>
    <row r="27229" spans="45:45">
      <c r="AS27229" s="47"/>
    </row>
    <row r="27230" spans="45:45">
      <c r="AS27230" s="47"/>
    </row>
    <row r="27231" spans="45:45">
      <c r="AS27231" s="47"/>
    </row>
    <row r="27232" spans="45:45">
      <c r="AS27232" s="47"/>
    </row>
    <row r="27233" spans="45:45">
      <c r="AS27233" s="47"/>
    </row>
    <row r="27234" spans="45:45">
      <c r="AS27234" s="47"/>
    </row>
    <row r="27235" spans="45:45">
      <c r="AS27235" s="47"/>
    </row>
    <row r="27236" spans="45:45">
      <c r="AS27236" s="47"/>
    </row>
    <row r="27237" spans="45:45">
      <c r="AS27237" s="47"/>
    </row>
    <row r="27238" spans="45:45">
      <c r="AS27238" s="47"/>
    </row>
    <row r="27239" spans="45:45">
      <c r="AS27239" s="47"/>
    </row>
    <row r="27240" spans="45:45">
      <c r="AS27240" s="47"/>
    </row>
    <row r="27241" spans="45:45">
      <c r="AS27241" s="47"/>
    </row>
    <row r="27242" spans="45:45">
      <c r="AS27242" s="47"/>
    </row>
    <row r="27243" spans="45:45">
      <c r="AS27243" s="47"/>
    </row>
    <row r="27244" spans="45:45">
      <c r="AS27244" s="47"/>
    </row>
    <row r="27245" spans="45:45">
      <c r="AS27245" s="47"/>
    </row>
    <row r="27246" spans="45:45">
      <c r="AS27246" s="47"/>
    </row>
    <row r="27247" spans="45:45">
      <c r="AS27247" s="47"/>
    </row>
    <row r="27248" spans="45:45">
      <c r="AS27248" s="47"/>
    </row>
    <row r="27249" spans="45:45">
      <c r="AS27249" s="47"/>
    </row>
    <row r="27250" spans="45:45">
      <c r="AS27250" s="47"/>
    </row>
    <row r="27251" spans="45:45">
      <c r="AS27251" s="47"/>
    </row>
    <row r="27252" spans="45:45">
      <c r="AS27252" s="47"/>
    </row>
    <row r="27253" spans="45:45">
      <c r="AS27253" s="47"/>
    </row>
    <row r="27254" spans="45:45">
      <c r="AS27254" s="47"/>
    </row>
    <row r="27255" spans="45:45">
      <c r="AS27255" s="47"/>
    </row>
    <row r="27256" spans="45:45">
      <c r="AS27256" s="47"/>
    </row>
    <row r="27257" spans="45:45">
      <c r="AS27257" s="47"/>
    </row>
    <row r="27258" spans="45:45">
      <c r="AS27258" s="47"/>
    </row>
    <row r="27259" spans="45:45">
      <c r="AS27259" s="47"/>
    </row>
    <row r="27260" spans="45:45">
      <c r="AS27260" s="47"/>
    </row>
    <row r="27261" spans="45:45">
      <c r="AS27261" s="47"/>
    </row>
    <row r="27262" spans="45:45">
      <c r="AS27262" s="47"/>
    </row>
    <row r="27263" spans="45:45">
      <c r="AS27263" s="47"/>
    </row>
    <row r="27264" spans="45:45">
      <c r="AS27264" s="47"/>
    </row>
    <row r="27265" spans="45:45">
      <c r="AS27265" s="47"/>
    </row>
    <row r="27266" spans="45:45">
      <c r="AS27266" s="47"/>
    </row>
    <row r="27267" spans="45:45">
      <c r="AS27267" s="47"/>
    </row>
    <row r="27268" spans="45:45">
      <c r="AS27268" s="47"/>
    </row>
    <row r="27269" spans="45:45">
      <c r="AS27269" s="47"/>
    </row>
    <row r="27270" spans="45:45">
      <c r="AS27270" s="47"/>
    </row>
    <row r="27271" spans="45:45">
      <c r="AS27271" s="47"/>
    </row>
    <row r="27272" spans="45:45">
      <c r="AS27272" s="47"/>
    </row>
    <row r="27273" spans="45:45">
      <c r="AS27273" s="47"/>
    </row>
    <row r="27274" spans="45:45">
      <c r="AS27274" s="47"/>
    </row>
    <row r="27275" spans="45:45">
      <c r="AS27275" s="47"/>
    </row>
    <row r="27276" spans="45:45">
      <c r="AS27276" s="47"/>
    </row>
    <row r="27277" spans="45:45">
      <c r="AS27277" s="47"/>
    </row>
    <row r="27278" spans="45:45">
      <c r="AS27278" s="47"/>
    </row>
    <row r="27279" spans="45:45">
      <c r="AS27279" s="47"/>
    </row>
    <row r="27280" spans="45:45">
      <c r="AS27280" s="47"/>
    </row>
    <row r="27281" spans="45:45">
      <c r="AS27281" s="47"/>
    </row>
    <row r="27282" spans="45:45">
      <c r="AS27282" s="47"/>
    </row>
    <row r="27283" spans="45:45">
      <c r="AS27283" s="47"/>
    </row>
    <row r="27284" spans="45:45">
      <c r="AS27284" s="47"/>
    </row>
    <row r="27285" spans="45:45">
      <c r="AS27285" s="47"/>
    </row>
    <row r="27286" spans="45:45">
      <c r="AS27286" s="47"/>
    </row>
    <row r="27287" spans="45:45">
      <c r="AS27287" s="47"/>
    </row>
    <row r="27288" spans="45:45">
      <c r="AS27288" s="47"/>
    </row>
    <row r="27289" spans="45:45">
      <c r="AS27289" s="47"/>
    </row>
    <row r="27290" spans="45:45">
      <c r="AS27290" s="47"/>
    </row>
    <row r="27291" spans="45:45">
      <c r="AS27291" s="47"/>
    </row>
    <row r="27292" spans="45:45">
      <c r="AS27292" s="47"/>
    </row>
    <row r="27293" spans="45:45">
      <c r="AS27293" s="47"/>
    </row>
    <row r="27294" spans="45:45">
      <c r="AS27294" s="47"/>
    </row>
    <row r="27295" spans="45:45">
      <c r="AS27295" s="47"/>
    </row>
    <row r="27296" spans="45:45">
      <c r="AS27296" s="47"/>
    </row>
    <row r="27297" spans="45:45">
      <c r="AS27297" s="47"/>
    </row>
    <row r="27298" spans="45:45">
      <c r="AS27298" s="47"/>
    </row>
    <row r="27299" spans="45:45">
      <c r="AS27299" s="47"/>
    </row>
    <row r="27300" spans="45:45">
      <c r="AS27300" s="47"/>
    </row>
    <row r="27301" spans="45:45">
      <c r="AS27301" s="47"/>
    </row>
    <row r="27302" spans="45:45">
      <c r="AS27302" s="47"/>
    </row>
    <row r="27303" spans="45:45">
      <c r="AS27303" s="47"/>
    </row>
    <row r="27304" spans="45:45">
      <c r="AS27304" s="47"/>
    </row>
    <row r="27305" spans="45:45">
      <c r="AS27305" s="47"/>
    </row>
    <row r="27306" spans="45:45">
      <c r="AS27306" s="47"/>
    </row>
    <row r="27307" spans="45:45">
      <c r="AS27307" s="47"/>
    </row>
    <row r="27308" spans="45:45">
      <c r="AS27308" s="47"/>
    </row>
    <row r="27309" spans="45:45">
      <c r="AS27309" s="47"/>
    </row>
    <row r="27310" spans="45:45">
      <c r="AS27310" s="47"/>
    </row>
    <row r="27311" spans="45:45">
      <c r="AS27311" s="47"/>
    </row>
    <row r="27312" spans="45:45">
      <c r="AS27312" s="47"/>
    </row>
    <row r="27313" spans="45:45">
      <c r="AS27313" s="47"/>
    </row>
    <row r="27314" spans="45:45">
      <c r="AS27314" s="47"/>
    </row>
    <row r="27315" spans="45:45">
      <c r="AS27315" s="47"/>
    </row>
    <row r="27316" spans="45:45">
      <c r="AS27316" s="47"/>
    </row>
    <row r="27317" spans="45:45">
      <c r="AS27317" s="47"/>
    </row>
    <row r="27318" spans="45:45">
      <c r="AS27318" s="47"/>
    </row>
    <row r="27319" spans="45:45">
      <c r="AS27319" s="47"/>
    </row>
    <row r="27320" spans="45:45">
      <c r="AS27320" s="47"/>
    </row>
    <row r="27321" spans="45:45">
      <c r="AS27321" s="47"/>
    </row>
    <row r="27322" spans="45:45">
      <c r="AS27322" s="47"/>
    </row>
    <row r="27323" spans="45:45">
      <c r="AS27323" s="47"/>
    </row>
    <row r="27324" spans="45:45">
      <c r="AS27324" s="47"/>
    </row>
    <row r="27325" spans="45:45">
      <c r="AS27325" s="47"/>
    </row>
    <row r="27326" spans="45:45">
      <c r="AS27326" s="47"/>
    </row>
    <row r="27327" spans="45:45">
      <c r="AS27327" s="47"/>
    </row>
    <row r="27328" spans="45:45">
      <c r="AS27328" s="47"/>
    </row>
    <row r="27329" spans="45:45">
      <c r="AS27329" s="47"/>
    </row>
    <row r="27330" spans="45:45">
      <c r="AS27330" s="47"/>
    </row>
    <row r="27331" spans="45:45">
      <c r="AS27331" s="47"/>
    </row>
    <row r="27332" spans="45:45">
      <c r="AS27332" s="47"/>
    </row>
    <row r="27333" spans="45:45">
      <c r="AS27333" s="47"/>
    </row>
    <row r="27334" spans="45:45">
      <c r="AS27334" s="47"/>
    </row>
    <row r="27335" spans="45:45">
      <c r="AS27335" s="47"/>
    </row>
    <row r="27336" spans="45:45">
      <c r="AS27336" s="47"/>
    </row>
    <row r="27337" spans="45:45">
      <c r="AS27337" s="47"/>
    </row>
    <row r="27338" spans="45:45">
      <c r="AS27338" s="47"/>
    </row>
    <row r="27339" spans="45:45">
      <c r="AS27339" s="47"/>
    </row>
    <row r="27340" spans="45:45">
      <c r="AS27340" s="47"/>
    </row>
    <row r="27341" spans="45:45">
      <c r="AS27341" s="47"/>
    </row>
    <row r="27342" spans="45:45">
      <c r="AS27342" s="47"/>
    </row>
    <row r="27343" spans="45:45">
      <c r="AS27343" s="47"/>
    </row>
    <row r="27344" spans="45:45">
      <c r="AS27344" s="47"/>
    </row>
    <row r="27345" spans="45:45">
      <c r="AS27345" s="47"/>
    </row>
    <row r="27346" spans="45:45">
      <c r="AS27346" s="47"/>
    </row>
    <row r="27347" spans="45:45">
      <c r="AS27347" s="47"/>
    </row>
    <row r="27348" spans="45:45">
      <c r="AS27348" s="47"/>
    </row>
    <row r="27349" spans="45:45">
      <c r="AS27349" s="47"/>
    </row>
    <row r="27350" spans="45:45">
      <c r="AS27350" s="47"/>
    </row>
    <row r="27351" spans="45:45">
      <c r="AS27351" s="47"/>
    </row>
    <row r="27352" spans="45:45">
      <c r="AS27352" s="47"/>
    </row>
    <row r="27353" spans="45:45">
      <c r="AS27353" s="47"/>
    </row>
    <row r="27354" spans="45:45">
      <c r="AS27354" s="47"/>
    </row>
    <row r="27355" spans="45:45">
      <c r="AS27355" s="47"/>
    </row>
    <row r="27356" spans="45:45">
      <c r="AS27356" s="47"/>
    </row>
    <row r="27357" spans="45:45">
      <c r="AS27357" s="47"/>
    </row>
    <row r="27358" spans="45:45">
      <c r="AS27358" s="47"/>
    </row>
    <row r="27359" spans="45:45">
      <c r="AS27359" s="47"/>
    </row>
    <row r="27360" spans="45:45">
      <c r="AS27360" s="47"/>
    </row>
    <row r="27361" spans="45:45">
      <c r="AS27361" s="47"/>
    </row>
    <row r="27362" spans="45:45">
      <c r="AS27362" s="47"/>
    </row>
    <row r="27363" spans="45:45">
      <c r="AS27363" s="47"/>
    </row>
    <row r="27364" spans="45:45">
      <c r="AS27364" s="47"/>
    </row>
    <row r="27365" spans="45:45">
      <c r="AS27365" s="47"/>
    </row>
    <row r="27366" spans="45:45">
      <c r="AS27366" s="47"/>
    </row>
    <row r="27367" spans="45:45">
      <c r="AS27367" s="47"/>
    </row>
    <row r="27368" spans="45:45">
      <c r="AS27368" s="47"/>
    </row>
    <row r="27369" spans="45:45">
      <c r="AS27369" s="47"/>
    </row>
    <row r="27370" spans="45:45">
      <c r="AS27370" s="47"/>
    </row>
    <row r="27371" spans="45:45">
      <c r="AS27371" s="47"/>
    </row>
    <row r="27372" spans="45:45">
      <c r="AS27372" s="47"/>
    </row>
    <row r="27373" spans="45:45">
      <c r="AS27373" s="47"/>
    </row>
    <row r="27374" spans="45:45">
      <c r="AS27374" s="47"/>
    </row>
    <row r="27375" spans="45:45">
      <c r="AS27375" s="47"/>
    </row>
    <row r="27376" spans="45:45">
      <c r="AS27376" s="47"/>
    </row>
    <row r="27377" spans="45:45">
      <c r="AS27377" s="47"/>
    </row>
    <row r="27378" spans="45:45">
      <c r="AS27378" s="47"/>
    </row>
    <row r="27379" spans="45:45">
      <c r="AS27379" s="47"/>
    </row>
    <row r="27380" spans="45:45">
      <c r="AS27380" s="47"/>
    </row>
    <row r="27381" spans="45:45">
      <c r="AS27381" s="47"/>
    </row>
    <row r="27382" spans="45:45">
      <c r="AS27382" s="47"/>
    </row>
    <row r="27383" spans="45:45">
      <c r="AS27383" s="47"/>
    </row>
    <row r="27384" spans="45:45">
      <c r="AS27384" s="47"/>
    </row>
    <row r="27385" spans="45:45">
      <c r="AS27385" s="47"/>
    </row>
    <row r="27386" spans="45:45">
      <c r="AS27386" s="47"/>
    </row>
    <row r="27387" spans="45:45">
      <c r="AS27387" s="47"/>
    </row>
    <row r="27388" spans="45:45">
      <c r="AS27388" s="47"/>
    </row>
    <row r="27389" spans="45:45">
      <c r="AS27389" s="47"/>
    </row>
    <row r="27390" spans="45:45">
      <c r="AS27390" s="47"/>
    </row>
    <row r="27391" spans="45:45">
      <c r="AS27391" s="47"/>
    </row>
    <row r="27392" spans="45:45">
      <c r="AS27392" s="47"/>
    </row>
    <row r="27393" spans="45:45">
      <c r="AS27393" s="47"/>
    </row>
    <row r="27394" spans="45:45">
      <c r="AS27394" s="47"/>
    </row>
    <row r="27395" spans="45:45">
      <c r="AS27395" s="47"/>
    </row>
    <row r="27396" spans="45:45">
      <c r="AS27396" s="47"/>
    </row>
    <row r="27397" spans="45:45">
      <c r="AS27397" s="47"/>
    </row>
    <row r="27398" spans="45:45">
      <c r="AS27398" s="47"/>
    </row>
    <row r="27399" spans="45:45">
      <c r="AS27399" s="47"/>
    </row>
    <row r="27400" spans="45:45">
      <c r="AS27400" s="47"/>
    </row>
    <row r="27401" spans="45:45">
      <c r="AS27401" s="47"/>
    </row>
    <row r="27402" spans="45:45">
      <c r="AS27402" s="47"/>
    </row>
    <row r="27403" spans="45:45">
      <c r="AS27403" s="47"/>
    </row>
    <row r="27404" spans="45:45">
      <c r="AS27404" s="47"/>
    </row>
    <row r="27405" spans="45:45">
      <c r="AS27405" s="47"/>
    </row>
    <row r="27406" spans="45:45">
      <c r="AS27406" s="47"/>
    </row>
    <row r="27407" spans="45:45">
      <c r="AS27407" s="47"/>
    </row>
    <row r="27408" spans="45:45">
      <c r="AS27408" s="47"/>
    </row>
    <row r="27409" spans="45:45">
      <c r="AS27409" s="47"/>
    </row>
    <row r="27410" spans="45:45">
      <c r="AS27410" s="47"/>
    </row>
    <row r="27411" spans="45:45">
      <c r="AS27411" s="47"/>
    </row>
    <row r="27412" spans="45:45">
      <c r="AS27412" s="47"/>
    </row>
    <row r="27413" spans="45:45">
      <c r="AS27413" s="47"/>
    </row>
    <row r="27414" spans="45:45">
      <c r="AS27414" s="47"/>
    </row>
    <row r="27415" spans="45:45">
      <c r="AS27415" s="47"/>
    </row>
    <row r="27416" spans="45:45">
      <c r="AS27416" s="47"/>
    </row>
    <row r="27417" spans="45:45">
      <c r="AS27417" s="47"/>
    </row>
    <row r="27418" spans="45:45">
      <c r="AS27418" s="47"/>
    </row>
    <row r="27419" spans="45:45">
      <c r="AS27419" s="47"/>
    </row>
    <row r="27420" spans="45:45">
      <c r="AS27420" s="47"/>
    </row>
    <row r="27421" spans="45:45">
      <c r="AS27421" s="47"/>
    </row>
    <row r="27422" spans="45:45">
      <c r="AS27422" s="47"/>
    </row>
    <row r="27423" spans="45:45">
      <c r="AS27423" s="47"/>
    </row>
    <row r="27424" spans="45:45">
      <c r="AS27424" s="47"/>
    </row>
    <row r="27425" spans="45:45">
      <c r="AS27425" s="47"/>
    </row>
    <row r="27426" spans="45:45">
      <c r="AS27426" s="47"/>
    </row>
    <row r="27427" spans="45:45">
      <c r="AS27427" s="47"/>
    </row>
    <row r="27428" spans="45:45">
      <c r="AS27428" s="47"/>
    </row>
    <row r="27429" spans="45:45">
      <c r="AS27429" s="47"/>
    </row>
    <row r="27430" spans="45:45">
      <c r="AS27430" s="47"/>
    </row>
    <row r="27431" spans="45:45">
      <c r="AS27431" s="47"/>
    </row>
    <row r="27432" spans="45:45">
      <c r="AS27432" s="47"/>
    </row>
    <row r="27433" spans="45:45">
      <c r="AS27433" s="47"/>
    </row>
    <row r="27434" spans="45:45">
      <c r="AS27434" s="47"/>
    </row>
    <row r="27435" spans="45:45">
      <c r="AS27435" s="47"/>
    </row>
    <row r="27436" spans="45:45">
      <c r="AS27436" s="47"/>
    </row>
    <row r="27437" spans="45:45">
      <c r="AS27437" s="47"/>
    </row>
    <row r="27438" spans="45:45">
      <c r="AS27438" s="47"/>
    </row>
    <row r="27439" spans="45:45">
      <c r="AS27439" s="47"/>
    </row>
    <row r="27440" spans="45:45">
      <c r="AS27440" s="47"/>
    </row>
    <row r="27441" spans="45:45">
      <c r="AS27441" s="47"/>
    </row>
    <row r="27442" spans="45:45">
      <c r="AS27442" s="47"/>
    </row>
    <row r="27443" spans="45:45">
      <c r="AS27443" s="47"/>
    </row>
    <row r="27444" spans="45:45">
      <c r="AS27444" s="47"/>
    </row>
    <row r="27445" spans="45:45">
      <c r="AS27445" s="47"/>
    </row>
    <row r="27446" spans="45:45">
      <c r="AS27446" s="47"/>
    </row>
    <row r="27447" spans="45:45">
      <c r="AS27447" s="47"/>
    </row>
    <row r="27448" spans="45:45">
      <c r="AS27448" s="47"/>
    </row>
    <row r="27449" spans="45:45">
      <c r="AS27449" s="47"/>
    </row>
    <row r="27450" spans="45:45">
      <c r="AS27450" s="47"/>
    </row>
    <row r="27451" spans="45:45">
      <c r="AS27451" s="47"/>
    </row>
    <row r="27452" spans="45:45">
      <c r="AS27452" s="47"/>
    </row>
    <row r="27453" spans="45:45">
      <c r="AS27453" s="47"/>
    </row>
    <row r="27454" spans="45:45">
      <c r="AS27454" s="47"/>
    </row>
    <row r="27455" spans="45:45">
      <c r="AS27455" s="47"/>
    </row>
    <row r="27456" spans="45:45">
      <c r="AS27456" s="47"/>
    </row>
    <row r="27457" spans="45:45">
      <c r="AS27457" s="47"/>
    </row>
    <row r="27458" spans="45:45">
      <c r="AS27458" s="47"/>
    </row>
    <row r="27459" spans="45:45">
      <c r="AS27459" s="47"/>
    </row>
    <row r="27460" spans="45:45">
      <c r="AS27460" s="47"/>
    </row>
    <row r="27461" spans="45:45">
      <c r="AS27461" s="47"/>
    </row>
    <row r="27462" spans="45:45">
      <c r="AS27462" s="47"/>
    </row>
    <row r="27463" spans="45:45">
      <c r="AS27463" s="47"/>
    </row>
    <row r="27464" spans="45:45">
      <c r="AS27464" s="47"/>
    </row>
    <row r="27465" spans="45:45">
      <c r="AS27465" s="47"/>
    </row>
    <row r="27466" spans="45:45">
      <c r="AS27466" s="47"/>
    </row>
    <row r="27467" spans="45:45">
      <c r="AS27467" s="47"/>
    </row>
    <row r="27468" spans="45:45">
      <c r="AS27468" s="47"/>
    </row>
    <row r="27469" spans="45:45">
      <c r="AS27469" s="47"/>
    </row>
    <row r="27470" spans="45:45">
      <c r="AS27470" s="47"/>
    </row>
    <row r="27471" spans="45:45">
      <c r="AS27471" s="47"/>
    </row>
    <row r="27472" spans="45:45">
      <c r="AS27472" s="47"/>
    </row>
    <row r="27473" spans="45:45">
      <c r="AS27473" s="47"/>
    </row>
    <row r="27474" spans="45:45">
      <c r="AS27474" s="47"/>
    </row>
    <row r="27475" spans="45:45">
      <c r="AS27475" s="47"/>
    </row>
    <row r="27476" spans="45:45">
      <c r="AS27476" s="47"/>
    </row>
    <row r="27477" spans="45:45">
      <c r="AS27477" s="47"/>
    </row>
    <row r="27478" spans="45:45">
      <c r="AS27478" s="47"/>
    </row>
    <row r="27479" spans="45:45">
      <c r="AS27479" s="47"/>
    </row>
    <row r="27480" spans="45:45">
      <c r="AS27480" s="47"/>
    </row>
    <row r="27481" spans="45:45">
      <c r="AS27481" s="47"/>
    </row>
    <row r="27482" spans="45:45">
      <c r="AS27482" s="47"/>
    </row>
    <row r="27483" spans="45:45">
      <c r="AS27483" s="47"/>
    </row>
    <row r="27484" spans="45:45">
      <c r="AS27484" s="47"/>
    </row>
    <row r="27485" spans="45:45">
      <c r="AS27485" s="47"/>
    </row>
    <row r="27486" spans="45:45">
      <c r="AS27486" s="47"/>
    </row>
    <row r="27487" spans="45:45">
      <c r="AS27487" s="47"/>
    </row>
    <row r="27488" spans="45:45">
      <c r="AS27488" s="47"/>
    </row>
    <row r="27489" spans="45:45">
      <c r="AS27489" s="47"/>
    </row>
    <row r="27490" spans="45:45">
      <c r="AS27490" s="47"/>
    </row>
    <row r="27491" spans="45:45">
      <c r="AS27491" s="47"/>
    </row>
    <row r="27492" spans="45:45">
      <c r="AS27492" s="47"/>
    </row>
    <row r="27493" spans="45:45">
      <c r="AS27493" s="47"/>
    </row>
    <row r="27494" spans="45:45">
      <c r="AS27494" s="47"/>
    </row>
    <row r="27495" spans="45:45">
      <c r="AS27495" s="47"/>
    </row>
    <row r="27496" spans="45:45">
      <c r="AS27496" s="47"/>
    </row>
    <row r="27497" spans="45:45">
      <c r="AS27497" s="47"/>
    </row>
    <row r="27498" spans="45:45">
      <c r="AS27498" s="47"/>
    </row>
    <row r="27499" spans="45:45">
      <c r="AS27499" s="47"/>
    </row>
    <row r="27500" spans="45:45">
      <c r="AS27500" s="47"/>
    </row>
    <row r="27501" spans="45:45">
      <c r="AS27501" s="47"/>
    </row>
    <row r="27502" spans="45:45">
      <c r="AS27502" s="47"/>
    </row>
    <row r="27503" spans="45:45">
      <c r="AS27503" s="47"/>
    </row>
    <row r="27504" spans="45:45">
      <c r="AS27504" s="47"/>
    </row>
    <row r="27505" spans="45:45">
      <c r="AS27505" s="47"/>
    </row>
    <row r="27506" spans="45:45">
      <c r="AS27506" s="47"/>
    </row>
    <row r="27507" spans="45:45">
      <c r="AS27507" s="47"/>
    </row>
    <row r="27508" spans="45:45">
      <c r="AS27508" s="47"/>
    </row>
    <row r="27509" spans="45:45">
      <c r="AS27509" s="47"/>
    </row>
    <row r="27510" spans="45:45">
      <c r="AS27510" s="47"/>
    </row>
    <row r="27511" spans="45:45">
      <c r="AS27511" s="47"/>
    </row>
    <row r="27512" spans="45:45">
      <c r="AS27512" s="47"/>
    </row>
    <row r="27513" spans="45:45">
      <c r="AS27513" s="47"/>
    </row>
    <row r="27514" spans="45:45">
      <c r="AS27514" s="47"/>
    </row>
    <row r="27515" spans="45:45">
      <c r="AS27515" s="47"/>
    </row>
    <row r="27516" spans="45:45">
      <c r="AS27516" s="47"/>
    </row>
    <row r="27517" spans="45:45">
      <c r="AS27517" s="47"/>
    </row>
    <row r="27518" spans="45:45">
      <c r="AS27518" s="47"/>
    </row>
    <row r="27519" spans="45:45">
      <c r="AS27519" s="47"/>
    </row>
    <row r="27520" spans="45:45">
      <c r="AS27520" s="47"/>
    </row>
    <row r="27521" spans="45:45">
      <c r="AS27521" s="47"/>
    </row>
    <row r="27522" spans="45:45">
      <c r="AS27522" s="47"/>
    </row>
    <row r="27523" spans="45:45">
      <c r="AS27523" s="47"/>
    </row>
    <row r="27524" spans="45:45">
      <c r="AS27524" s="47"/>
    </row>
    <row r="27525" spans="45:45">
      <c r="AS27525" s="47"/>
    </row>
    <row r="27526" spans="45:45">
      <c r="AS27526" s="47"/>
    </row>
    <row r="27527" spans="45:45">
      <c r="AS27527" s="47"/>
    </row>
    <row r="27528" spans="45:45">
      <c r="AS27528" s="47"/>
    </row>
    <row r="27529" spans="45:45">
      <c r="AS27529" s="47"/>
    </row>
    <row r="27530" spans="45:45">
      <c r="AS27530" s="47"/>
    </row>
    <row r="27531" spans="45:45">
      <c r="AS27531" s="47"/>
    </row>
    <row r="27532" spans="45:45">
      <c r="AS27532" s="47"/>
    </row>
    <row r="27533" spans="45:45">
      <c r="AS27533" s="47"/>
    </row>
    <row r="27534" spans="45:45">
      <c r="AS27534" s="47"/>
    </row>
    <row r="27535" spans="45:45">
      <c r="AS27535" s="47"/>
    </row>
    <row r="27536" spans="45:45">
      <c r="AS27536" s="47"/>
    </row>
    <row r="27537" spans="45:45">
      <c r="AS27537" s="47"/>
    </row>
    <row r="27538" spans="45:45">
      <c r="AS27538" s="47"/>
    </row>
    <row r="27539" spans="45:45">
      <c r="AS27539" s="47"/>
    </row>
    <row r="27540" spans="45:45">
      <c r="AS27540" s="47"/>
    </row>
    <row r="27541" spans="45:45">
      <c r="AS27541" s="47"/>
    </row>
    <row r="27542" spans="45:45">
      <c r="AS27542" s="47"/>
    </row>
    <row r="27543" spans="45:45">
      <c r="AS27543" s="47"/>
    </row>
    <row r="27544" spans="45:45">
      <c r="AS27544" s="47"/>
    </row>
    <row r="27545" spans="45:45">
      <c r="AS27545" s="47"/>
    </row>
    <row r="27546" spans="45:45">
      <c r="AS27546" s="47"/>
    </row>
    <row r="27547" spans="45:45">
      <c r="AS27547" s="47"/>
    </row>
    <row r="27548" spans="45:45">
      <c r="AS27548" s="47"/>
    </row>
    <row r="27549" spans="45:45">
      <c r="AS27549" s="47"/>
    </row>
    <row r="27550" spans="45:45">
      <c r="AS27550" s="47"/>
    </row>
    <row r="27551" spans="45:45">
      <c r="AS27551" s="47"/>
    </row>
    <row r="27552" spans="45:45">
      <c r="AS27552" s="47"/>
    </row>
    <row r="27553" spans="45:45">
      <c r="AS27553" s="47"/>
    </row>
    <row r="27554" spans="45:45">
      <c r="AS27554" s="47"/>
    </row>
    <row r="27555" spans="45:45">
      <c r="AS27555" s="47"/>
    </row>
    <row r="27556" spans="45:45">
      <c r="AS27556" s="47"/>
    </row>
    <row r="27557" spans="45:45">
      <c r="AS27557" s="47"/>
    </row>
    <row r="27558" spans="45:45">
      <c r="AS27558" s="47"/>
    </row>
    <row r="27559" spans="45:45">
      <c r="AS27559" s="47"/>
    </row>
    <row r="27560" spans="45:45">
      <c r="AS27560" s="47"/>
    </row>
    <row r="27561" spans="45:45">
      <c r="AS27561" s="47"/>
    </row>
    <row r="27562" spans="45:45">
      <c r="AS27562" s="47"/>
    </row>
    <row r="27563" spans="45:45">
      <c r="AS27563" s="47"/>
    </row>
    <row r="27564" spans="45:45">
      <c r="AS27564" s="47"/>
    </row>
    <row r="27565" spans="45:45">
      <c r="AS27565" s="47"/>
    </row>
    <row r="27566" spans="45:45">
      <c r="AS27566" s="47"/>
    </row>
    <row r="27567" spans="45:45">
      <c r="AS27567" s="47"/>
    </row>
    <row r="27568" spans="45:45">
      <c r="AS27568" s="47"/>
    </row>
    <row r="27569" spans="45:45">
      <c r="AS27569" s="47"/>
    </row>
    <row r="27570" spans="45:45">
      <c r="AS27570" s="47"/>
    </row>
    <row r="27571" spans="45:45">
      <c r="AS27571" s="47"/>
    </row>
    <row r="27572" spans="45:45">
      <c r="AS27572" s="47"/>
    </row>
    <row r="27573" spans="45:45">
      <c r="AS27573" s="47"/>
    </row>
    <row r="27574" spans="45:45">
      <c r="AS27574" s="47"/>
    </row>
    <row r="27575" spans="45:45">
      <c r="AS27575" s="47"/>
    </row>
    <row r="27576" spans="45:45">
      <c r="AS27576" s="47"/>
    </row>
    <row r="27577" spans="45:45">
      <c r="AS27577" s="47"/>
    </row>
    <row r="27578" spans="45:45">
      <c r="AS27578" s="47"/>
    </row>
    <row r="27579" spans="45:45">
      <c r="AS27579" s="47"/>
    </row>
    <row r="27580" spans="45:45">
      <c r="AS27580" s="47"/>
    </row>
    <row r="27581" spans="45:45">
      <c r="AS27581" s="47"/>
    </row>
    <row r="27582" spans="45:45">
      <c r="AS27582" s="47"/>
    </row>
    <row r="27583" spans="45:45">
      <c r="AS27583" s="47"/>
    </row>
    <row r="27584" spans="45:45">
      <c r="AS27584" s="47"/>
    </row>
    <row r="27585" spans="45:45">
      <c r="AS27585" s="47"/>
    </row>
    <row r="27586" spans="45:45">
      <c r="AS27586" s="47"/>
    </row>
    <row r="27587" spans="45:45">
      <c r="AS27587" s="47"/>
    </row>
    <row r="27588" spans="45:45">
      <c r="AS27588" s="47"/>
    </row>
    <row r="27589" spans="45:45">
      <c r="AS27589" s="47"/>
    </row>
    <row r="27590" spans="45:45">
      <c r="AS27590" s="47"/>
    </row>
    <row r="27591" spans="45:45">
      <c r="AS27591" s="47"/>
    </row>
    <row r="27592" spans="45:45">
      <c r="AS27592" s="47"/>
    </row>
    <row r="27593" spans="45:45">
      <c r="AS27593" s="47"/>
    </row>
    <row r="27594" spans="45:45">
      <c r="AS27594" s="47"/>
    </row>
    <row r="27595" spans="45:45">
      <c r="AS27595" s="47"/>
    </row>
    <row r="27596" spans="45:45">
      <c r="AS27596" s="47"/>
    </row>
    <row r="27597" spans="45:45">
      <c r="AS27597" s="47"/>
    </row>
    <row r="27598" spans="45:45">
      <c r="AS27598" s="47"/>
    </row>
    <row r="27599" spans="45:45">
      <c r="AS27599" s="47"/>
    </row>
    <row r="27600" spans="45:45">
      <c r="AS27600" s="47"/>
    </row>
    <row r="27601" spans="45:45">
      <c r="AS27601" s="47"/>
    </row>
    <row r="27602" spans="45:45">
      <c r="AS27602" s="47"/>
    </row>
    <row r="27603" spans="45:45">
      <c r="AS27603" s="47"/>
    </row>
    <row r="27604" spans="45:45">
      <c r="AS27604" s="47"/>
    </row>
    <row r="27605" spans="45:45">
      <c r="AS27605" s="47"/>
    </row>
    <row r="27606" spans="45:45">
      <c r="AS27606" s="47"/>
    </row>
    <row r="27607" spans="45:45">
      <c r="AS27607" s="47"/>
    </row>
    <row r="27608" spans="45:45">
      <c r="AS27608" s="47"/>
    </row>
    <row r="27609" spans="45:45">
      <c r="AS27609" s="47"/>
    </row>
    <row r="27610" spans="45:45">
      <c r="AS27610" s="47"/>
    </row>
    <row r="27611" spans="45:45">
      <c r="AS27611" s="47"/>
    </row>
    <row r="27612" spans="45:45">
      <c r="AS27612" s="47"/>
    </row>
    <row r="27613" spans="45:45">
      <c r="AS27613" s="47"/>
    </row>
    <row r="27614" spans="45:45">
      <c r="AS27614" s="47"/>
    </row>
    <row r="27615" spans="45:45">
      <c r="AS27615" s="47"/>
    </row>
    <row r="27616" spans="45:45">
      <c r="AS27616" s="47"/>
    </row>
    <row r="27617" spans="45:45">
      <c r="AS27617" s="47"/>
    </row>
    <row r="27618" spans="45:45">
      <c r="AS27618" s="47"/>
    </row>
    <row r="27619" spans="45:45">
      <c r="AS27619" s="47"/>
    </row>
    <row r="27620" spans="45:45">
      <c r="AS27620" s="47"/>
    </row>
    <row r="27621" spans="45:45">
      <c r="AS27621" s="47"/>
    </row>
    <row r="27622" spans="45:45">
      <c r="AS27622" s="47"/>
    </row>
    <row r="27623" spans="45:45">
      <c r="AS27623" s="47"/>
    </row>
    <row r="27624" spans="45:45">
      <c r="AS27624" s="47"/>
    </row>
    <row r="27625" spans="45:45">
      <c r="AS27625" s="47"/>
    </row>
    <row r="27626" spans="45:45">
      <c r="AS27626" s="47"/>
    </row>
    <row r="27627" spans="45:45">
      <c r="AS27627" s="47"/>
    </row>
    <row r="27628" spans="45:45">
      <c r="AS27628" s="47"/>
    </row>
    <row r="27629" spans="45:45">
      <c r="AS27629" s="47"/>
    </row>
    <row r="27630" spans="45:45">
      <c r="AS27630" s="47"/>
    </row>
    <row r="27631" spans="45:45">
      <c r="AS27631" s="47"/>
    </row>
    <row r="27632" spans="45:45">
      <c r="AS27632" s="47"/>
    </row>
    <row r="27633" spans="45:45">
      <c r="AS27633" s="47"/>
    </row>
    <row r="27634" spans="45:45">
      <c r="AS27634" s="47"/>
    </row>
    <row r="27635" spans="45:45">
      <c r="AS27635" s="47"/>
    </row>
    <row r="27636" spans="45:45">
      <c r="AS27636" s="47"/>
    </row>
    <row r="27637" spans="45:45">
      <c r="AS27637" s="47"/>
    </row>
    <row r="27638" spans="45:45">
      <c r="AS27638" s="47"/>
    </row>
    <row r="27639" spans="45:45">
      <c r="AS27639" s="47"/>
    </row>
    <row r="27640" spans="45:45">
      <c r="AS27640" s="47"/>
    </row>
    <row r="27641" spans="45:45">
      <c r="AS27641" s="47"/>
    </row>
    <row r="27642" spans="45:45">
      <c r="AS27642" s="47"/>
    </row>
    <row r="27643" spans="45:45">
      <c r="AS27643" s="47"/>
    </row>
    <row r="27644" spans="45:45">
      <c r="AS27644" s="47"/>
    </row>
    <row r="27645" spans="45:45">
      <c r="AS27645" s="47"/>
    </row>
    <row r="27646" spans="45:45">
      <c r="AS27646" s="47"/>
    </row>
    <row r="27647" spans="45:45">
      <c r="AS27647" s="47"/>
    </row>
    <row r="27648" spans="45:45">
      <c r="AS27648" s="47"/>
    </row>
    <row r="27649" spans="45:45">
      <c r="AS27649" s="47"/>
    </row>
    <row r="27650" spans="45:45">
      <c r="AS27650" s="47"/>
    </row>
    <row r="27651" spans="45:45">
      <c r="AS27651" s="47"/>
    </row>
    <row r="27652" spans="45:45">
      <c r="AS27652" s="47"/>
    </row>
    <row r="27653" spans="45:45">
      <c r="AS27653" s="47"/>
    </row>
    <row r="27654" spans="45:45">
      <c r="AS27654" s="47"/>
    </row>
    <row r="27655" spans="45:45">
      <c r="AS27655" s="47"/>
    </row>
    <row r="27656" spans="45:45">
      <c r="AS27656" s="47"/>
    </row>
    <row r="27657" spans="45:45">
      <c r="AS27657" s="47"/>
    </row>
    <row r="27658" spans="45:45">
      <c r="AS27658" s="47"/>
    </row>
    <row r="27659" spans="45:45">
      <c r="AS27659" s="47"/>
    </row>
    <row r="27660" spans="45:45">
      <c r="AS27660" s="47"/>
    </row>
    <row r="27661" spans="45:45">
      <c r="AS27661" s="47"/>
    </row>
    <row r="27662" spans="45:45">
      <c r="AS27662" s="47"/>
    </row>
    <row r="27663" spans="45:45">
      <c r="AS27663" s="47"/>
    </row>
    <row r="27664" spans="45:45">
      <c r="AS27664" s="47"/>
    </row>
    <row r="27665" spans="45:45">
      <c r="AS27665" s="47"/>
    </row>
    <row r="27666" spans="45:45">
      <c r="AS27666" s="47"/>
    </row>
    <row r="27667" spans="45:45">
      <c r="AS27667" s="47"/>
    </row>
    <row r="27668" spans="45:45">
      <c r="AS27668" s="47"/>
    </row>
    <row r="27669" spans="45:45">
      <c r="AS27669" s="47"/>
    </row>
    <row r="27670" spans="45:45">
      <c r="AS27670" s="47"/>
    </row>
    <row r="27671" spans="45:45">
      <c r="AS27671" s="47"/>
    </row>
    <row r="27672" spans="45:45">
      <c r="AS27672" s="47"/>
    </row>
    <row r="27673" spans="45:45">
      <c r="AS27673" s="47"/>
    </row>
    <row r="27674" spans="45:45">
      <c r="AS27674" s="47"/>
    </row>
    <row r="27675" spans="45:45">
      <c r="AS27675" s="47"/>
    </row>
    <row r="27676" spans="45:45">
      <c r="AS27676" s="47"/>
    </row>
    <row r="27677" spans="45:45">
      <c r="AS27677" s="47"/>
    </row>
    <row r="27678" spans="45:45">
      <c r="AS27678" s="47"/>
    </row>
    <row r="27679" spans="45:45">
      <c r="AS27679" s="47"/>
    </row>
    <row r="27680" spans="45:45">
      <c r="AS27680" s="47"/>
    </row>
    <row r="27681" spans="45:45">
      <c r="AS27681" s="47"/>
    </row>
    <row r="27682" spans="45:45">
      <c r="AS27682" s="47"/>
    </row>
    <row r="27683" spans="45:45">
      <c r="AS27683" s="47"/>
    </row>
    <row r="27684" spans="45:45">
      <c r="AS27684" s="47"/>
    </row>
    <row r="27685" spans="45:45">
      <c r="AS27685" s="47"/>
    </row>
    <row r="27686" spans="45:45">
      <c r="AS27686" s="47"/>
    </row>
    <row r="27687" spans="45:45">
      <c r="AS27687" s="47"/>
    </row>
    <row r="27688" spans="45:45">
      <c r="AS27688" s="47"/>
    </row>
    <row r="27689" spans="45:45">
      <c r="AS27689" s="47"/>
    </row>
    <row r="27690" spans="45:45">
      <c r="AS27690" s="47"/>
    </row>
    <row r="27691" spans="45:45">
      <c r="AS27691" s="47"/>
    </row>
    <row r="27692" spans="45:45">
      <c r="AS27692" s="47"/>
    </row>
    <row r="27693" spans="45:45">
      <c r="AS27693" s="47"/>
    </row>
    <row r="27694" spans="45:45">
      <c r="AS27694" s="47"/>
    </row>
    <row r="27695" spans="45:45">
      <c r="AS27695" s="47"/>
    </row>
    <row r="27696" spans="45:45">
      <c r="AS27696" s="47"/>
    </row>
    <row r="27697" spans="45:45">
      <c r="AS27697" s="47"/>
    </row>
    <row r="27698" spans="45:45">
      <c r="AS27698" s="47"/>
    </row>
    <row r="27699" spans="45:45">
      <c r="AS27699" s="47"/>
    </row>
    <row r="27700" spans="45:45">
      <c r="AS27700" s="47"/>
    </row>
    <row r="27701" spans="45:45">
      <c r="AS27701" s="47"/>
    </row>
    <row r="27702" spans="45:45">
      <c r="AS27702" s="47"/>
    </row>
    <row r="27703" spans="45:45">
      <c r="AS27703" s="47"/>
    </row>
    <row r="27704" spans="45:45">
      <c r="AS27704" s="47"/>
    </row>
    <row r="27705" spans="45:45">
      <c r="AS27705" s="47"/>
    </row>
    <row r="27706" spans="45:45">
      <c r="AS27706" s="47"/>
    </row>
    <row r="27707" spans="45:45">
      <c r="AS27707" s="47"/>
    </row>
    <row r="27708" spans="45:45">
      <c r="AS27708" s="47"/>
    </row>
    <row r="27709" spans="45:45">
      <c r="AS27709" s="47"/>
    </row>
    <row r="27710" spans="45:45">
      <c r="AS27710" s="47"/>
    </row>
    <row r="27711" spans="45:45">
      <c r="AS27711" s="47"/>
    </row>
    <row r="27712" spans="45:45">
      <c r="AS27712" s="47"/>
    </row>
    <row r="27713" spans="45:45">
      <c r="AS27713" s="47"/>
    </row>
    <row r="27714" spans="45:45">
      <c r="AS27714" s="47"/>
    </row>
    <row r="27715" spans="45:45">
      <c r="AS27715" s="47"/>
    </row>
    <row r="27716" spans="45:45">
      <c r="AS27716" s="47"/>
    </row>
    <row r="27717" spans="45:45">
      <c r="AS27717" s="47"/>
    </row>
    <row r="27718" spans="45:45">
      <c r="AS27718" s="47"/>
    </row>
    <row r="27719" spans="45:45">
      <c r="AS27719" s="47"/>
    </row>
    <row r="27720" spans="45:45">
      <c r="AS27720" s="47"/>
    </row>
    <row r="27721" spans="45:45">
      <c r="AS27721" s="47"/>
    </row>
    <row r="27722" spans="45:45">
      <c r="AS27722" s="47"/>
    </row>
    <row r="27723" spans="45:45">
      <c r="AS27723" s="47"/>
    </row>
    <row r="27724" spans="45:45">
      <c r="AS27724" s="47"/>
    </row>
    <row r="27725" spans="45:45">
      <c r="AS27725" s="47"/>
    </row>
    <row r="27726" spans="45:45">
      <c r="AS27726" s="47"/>
    </row>
    <row r="27727" spans="45:45">
      <c r="AS27727" s="47"/>
    </row>
    <row r="27728" spans="45:45">
      <c r="AS27728" s="47"/>
    </row>
    <row r="27729" spans="45:45">
      <c r="AS27729" s="47"/>
    </row>
    <row r="27730" spans="45:45">
      <c r="AS27730" s="47"/>
    </row>
    <row r="27731" spans="45:45">
      <c r="AS27731" s="47"/>
    </row>
    <row r="27732" spans="45:45">
      <c r="AS27732" s="47"/>
    </row>
    <row r="27733" spans="45:45">
      <c r="AS27733" s="47"/>
    </row>
    <row r="27734" spans="45:45">
      <c r="AS27734" s="47"/>
    </row>
    <row r="27735" spans="45:45">
      <c r="AS27735" s="47"/>
    </row>
    <row r="27736" spans="45:45">
      <c r="AS27736" s="47"/>
    </row>
    <row r="27737" spans="45:45">
      <c r="AS27737" s="47"/>
    </row>
    <row r="27738" spans="45:45">
      <c r="AS27738" s="47"/>
    </row>
    <row r="27739" spans="45:45">
      <c r="AS27739" s="47"/>
    </row>
    <row r="27740" spans="45:45">
      <c r="AS27740" s="47"/>
    </row>
    <row r="27741" spans="45:45">
      <c r="AS27741" s="47"/>
    </row>
    <row r="27742" spans="45:45">
      <c r="AS27742" s="47"/>
    </row>
    <row r="27743" spans="45:45">
      <c r="AS27743" s="47"/>
    </row>
    <row r="27744" spans="45:45">
      <c r="AS27744" s="47"/>
    </row>
    <row r="27745" spans="45:45">
      <c r="AS27745" s="47"/>
    </row>
    <row r="27746" spans="45:45">
      <c r="AS27746" s="47"/>
    </row>
    <row r="27747" spans="45:45">
      <c r="AS27747" s="47"/>
    </row>
    <row r="27748" spans="45:45">
      <c r="AS27748" s="47"/>
    </row>
    <row r="27749" spans="45:45">
      <c r="AS27749" s="47"/>
    </row>
    <row r="27750" spans="45:45">
      <c r="AS27750" s="47"/>
    </row>
    <row r="27751" spans="45:45">
      <c r="AS27751" s="47"/>
    </row>
    <row r="27752" spans="45:45">
      <c r="AS27752" s="47"/>
    </row>
    <row r="27753" spans="45:45">
      <c r="AS27753" s="47"/>
    </row>
    <row r="27754" spans="45:45">
      <c r="AS27754" s="47"/>
    </row>
    <row r="27755" spans="45:45">
      <c r="AS27755" s="47"/>
    </row>
    <row r="27756" spans="45:45">
      <c r="AS27756" s="47"/>
    </row>
    <row r="27757" spans="45:45">
      <c r="AS27757" s="47"/>
    </row>
    <row r="27758" spans="45:45">
      <c r="AS27758" s="47"/>
    </row>
    <row r="27759" spans="45:45">
      <c r="AS27759" s="47"/>
    </row>
    <row r="27760" spans="45:45">
      <c r="AS27760" s="47"/>
    </row>
    <row r="27761" spans="45:45">
      <c r="AS27761" s="47"/>
    </row>
    <row r="27762" spans="45:45">
      <c r="AS27762" s="47"/>
    </row>
    <row r="27763" spans="45:45">
      <c r="AS27763" s="47"/>
    </row>
    <row r="27764" spans="45:45">
      <c r="AS27764" s="47"/>
    </row>
    <row r="27765" spans="45:45">
      <c r="AS27765" s="47"/>
    </row>
    <row r="27766" spans="45:45">
      <c r="AS27766" s="47"/>
    </row>
    <row r="27767" spans="45:45">
      <c r="AS27767" s="47"/>
    </row>
    <row r="27768" spans="45:45">
      <c r="AS27768" s="47"/>
    </row>
    <row r="27769" spans="45:45">
      <c r="AS27769" s="47"/>
    </row>
    <row r="27770" spans="45:45">
      <c r="AS27770" s="47"/>
    </row>
    <row r="27771" spans="45:45">
      <c r="AS27771" s="47"/>
    </row>
    <row r="27772" spans="45:45">
      <c r="AS27772" s="47"/>
    </row>
    <row r="27773" spans="45:45">
      <c r="AS27773" s="47"/>
    </row>
    <row r="27774" spans="45:45">
      <c r="AS27774" s="47"/>
    </row>
    <row r="27775" spans="45:45">
      <c r="AS27775" s="47"/>
    </row>
    <row r="27776" spans="45:45">
      <c r="AS27776" s="47"/>
    </row>
    <row r="27777" spans="45:45">
      <c r="AS27777" s="47"/>
    </row>
    <row r="27778" spans="45:45">
      <c r="AS27778" s="47"/>
    </row>
    <row r="27779" spans="45:45">
      <c r="AS27779" s="47"/>
    </row>
    <row r="27780" spans="45:45">
      <c r="AS27780" s="47"/>
    </row>
    <row r="27781" spans="45:45">
      <c r="AS27781" s="47"/>
    </row>
    <row r="27782" spans="45:45">
      <c r="AS27782" s="47"/>
    </row>
    <row r="27783" spans="45:45">
      <c r="AS27783" s="47"/>
    </row>
    <row r="27784" spans="45:45">
      <c r="AS27784" s="47"/>
    </row>
    <row r="27785" spans="45:45">
      <c r="AS27785" s="47"/>
    </row>
    <row r="27786" spans="45:45">
      <c r="AS27786" s="47"/>
    </row>
    <row r="27787" spans="45:45">
      <c r="AS27787" s="47"/>
    </row>
    <row r="27788" spans="45:45">
      <c r="AS27788" s="47"/>
    </row>
    <row r="27789" spans="45:45">
      <c r="AS27789" s="47"/>
    </row>
    <row r="27790" spans="45:45">
      <c r="AS27790" s="47"/>
    </row>
    <row r="27791" spans="45:45">
      <c r="AS27791" s="47"/>
    </row>
    <row r="27792" spans="45:45">
      <c r="AS27792" s="47"/>
    </row>
    <row r="27793" spans="45:45">
      <c r="AS27793" s="47"/>
    </row>
    <row r="27794" spans="45:45">
      <c r="AS27794" s="47"/>
    </row>
    <row r="27795" spans="45:45">
      <c r="AS27795" s="47"/>
    </row>
    <row r="27796" spans="45:45">
      <c r="AS27796" s="47"/>
    </row>
    <row r="27797" spans="45:45">
      <c r="AS27797" s="47"/>
    </row>
    <row r="27798" spans="45:45">
      <c r="AS27798" s="47"/>
    </row>
    <row r="27799" spans="45:45">
      <c r="AS27799" s="47"/>
    </row>
    <row r="27800" spans="45:45">
      <c r="AS27800" s="47"/>
    </row>
    <row r="27801" spans="45:45">
      <c r="AS27801" s="47"/>
    </row>
    <row r="27802" spans="45:45">
      <c r="AS27802" s="47"/>
    </row>
    <row r="27803" spans="45:45">
      <c r="AS27803" s="47"/>
    </row>
    <row r="27804" spans="45:45">
      <c r="AS27804" s="47"/>
    </row>
    <row r="27805" spans="45:45">
      <c r="AS27805" s="47"/>
    </row>
    <row r="27806" spans="45:45">
      <c r="AS27806" s="47"/>
    </row>
    <row r="27807" spans="45:45">
      <c r="AS27807" s="47"/>
    </row>
    <row r="27808" spans="45:45">
      <c r="AS27808" s="47"/>
    </row>
    <row r="27809" spans="45:45">
      <c r="AS27809" s="47"/>
    </row>
    <row r="27810" spans="45:45">
      <c r="AS27810" s="47"/>
    </row>
    <row r="27811" spans="45:45">
      <c r="AS27811" s="47"/>
    </row>
    <row r="27812" spans="45:45">
      <c r="AS27812" s="47"/>
    </row>
    <row r="27813" spans="45:45">
      <c r="AS27813" s="47"/>
    </row>
    <row r="27814" spans="45:45">
      <c r="AS27814" s="47"/>
    </row>
    <row r="27815" spans="45:45">
      <c r="AS27815" s="47"/>
    </row>
    <row r="27816" spans="45:45">
      <c r="AS27816" s="47"/>
    </row>
    <row r="27817" spans="45:45">
      <c r="AS27817" s="47"/>
    </row>
    <row r="27818" spans="45:45">
      <c r="AS27818" s="47"/>
    </row>
    <row r="27819" spans="45:45">
      <c r="AS27819" s="47"/>
    </row>
    <row r="27820" spans="45:45">
      <c r="AS27820" s="47"/>
    </row>
    <row r="27821" spans="45:45">
      <c r="AS27821" s="47"/>
    </row>
    <row r="27822" spans="45:45">
      <c r="AS27822" s="47"/>
    </row>
    <row r="27823" spans="45:45">
      <c r="AS27823" s="47"/>
    </row>
    <row r="27824" spans="45:45">
      <c r="AS27824" s="47"/>
    </row>
    <row r="27825" spans="45:45">
      <c r="AS27825" s="47"/>
    </row>
    <row r="27826" spans="45:45">
      <c r="AS27826" s="47"/>
    </row>
    <row r="27827" spans="45:45">
      <c r="AS27827" s="47"/>
    </row>
    <row r="27828" spans="45:45">
      <c r="AS27828" s="47"/>
    </row>
    <row r="27829" spans="45:45">
      <c r="AS27829" s="47"/>
    </row>
    <row r="27830" spans="45:45">
      <c r="AS27830" s="47"/>
    </row>
    <row r="27831" spans="45:45">
      <c r="AS27831" s="47"/>
    </row>
    <row r="27832" spans="45:45">
      <c r="AS27832" s="47"/>
    </row>
    <row r="27833" spans="45:45">
      <c r="AS27833" s="47"/>
    </row>
    <row r="27834" spans="45:45">
      <c r="AS27834" s="47"/>
    </row>
    <row r="27835" spans="45:45">
      <c r="AS27835" s="47"/>
    </row>
    <row r="27836" spans="45:45">
      <c r="AS27836" s="47"/>
    </row>
    <row r="27837" spans="45:45">
      <c r="AS27837" s="47"/>
    </row>
    <row r="27838" spans="45:45">
      <c r="AS27838" s="47"/>
    </row>
    <row r="27839" spans="45:45">
      <c r="AS27839" s="47"/>
    </row>
    <row r="27840" spans="45:45">
      <c r="AS27840" s="47"/>
    </row>
    <row r="27841" spans="45:45">
      <c r="AS27841" s="47"/>
    </row>
    <row r="27842" spans="45:45">
      <c r="AS27842" s="47"/>
    </row>
    <row r="27843" spans="45:45">
      <c r="AS27843" s="47"/>
    </row>
    <row r="27844" spans="45:45">
      <c r="AS27844" s="47"/>
    </row>
    <row r="27845" spans="45:45">
      <c r="AS27845" s="47"/>
    </row>
    <row r="27846" spans="45:45">
      <c r="AS27846" s="47"/>
    </row>
    <row r="27847" spans="45:45">
      <c r="AS27847" s="47"/>
    </row>
    <row r="27848" spans="45:45">
      <c r="AS27848" s="47"/>
    </row>
    <row r="27849" spans="45:45">
      <c r="AS27849" s="47"/>
    </row>
    <row r="27850" spans="45:45">
      <c r="AS27850" s="47"/>
    </row>
    <row r="27851" spans="45:45">
      <c r="AS27851" s="47"/>
    </row>
    <row r="27852" spans="45:45">
      <c r="AS27852" s="47"/>
    </row>
    <row r="27853" spans="45:45">
      <c r="AS27853" s="47"/>
    </row>
    <row r="27854" spans="45:45">
      <c r="AS27854" s="47"/>
    </row>
    <row r="27855" spans="45:45">
      <c r="AS27855" s="47"/>
    </row>
    <row r="27856" spans="45:45">
      <c r="AS27856" s="47"/>
    </row>
    <row r="27857" spans="45:45">
      <c r="AS27857" s="47"/>
    </row>
    <row r="27858" spans="45:45">
      <c r="AS27858" s="47"/>
    </row>
    <row r="27859" spans="45:45">
      <c r="AS27859" s="47"/>
    </row>
    <row r="27860" spans="45:45">
      <c r="AS27860" s="47"/>
    </row>
    <row r="27861" spans="45:45">
      <c r="AS27861" s="47"/>
    </row>
    <row r="27862" spans="45:45">
      <c r="AS27862" s="47"/>
    </row>
    <row r="27863" spans="45:45">
      <c r="AS27863" s="47"/>
    </row>
    <row r="27864" spans="45:45">
      <c r="AS27864" s="47"/>
    </row>
    <row r="27865" spans="45:45">
      <c r="AS27865" s="47"/>
    </row>
    <row r="27866" spans="45:45">
      <c r="AS27866" s="47"/>
    </row>
    <row r="27867" spans="45:45">
      <c r="AS27867" s="47"/>
    </row>
    <row r="27868" spans="45:45">
      <c r="AS27868" s="47"/>
    </row>
    <row r="27869" spans="45:45">
      <c r="AS27869" s="47"/>
    </row>
    <row r="27870" spans="45:45">
      <c r="AS27870" s="47"/>
    </row>
    <row r="27871" spans="45:45">
      <c r="AS27871" s="47"/>
    </row>
    <row r="27872" spans="45:45">
      <c r="AS27872" s="47"/>
    </row>
    <row r="27873" spans="45:45">
      <c r="AS27873" s="47"/>
    </row>
    <row r="27874" spans="45:45">
      <c r="AS27874" s="47"/>
    </row>
    <row r="27875" spans="45:45">
      <c r="AS27875" s="47"/>
    </row>
    <row r="27876" spans="45:45">
      <c r="AS27876" s="47"/>
    </row>
    <row r="27877" spans="45:45">
      <c r="AS27877" s="47"/>
    </row>
    <row r="27878" spans="45:45">
      <c r="AS27878" s="47"/>
    </row>
    <row r="27879" spans="45:45">
      <c r="AS27879" s="47"/>
    </row>
    <row r="27880" spans="45:45">
      <c r="AS27880" s="47"/>
    </row>
    <row r="27881" spans="45:45">
      <c r="AS27881" s="47"/>
    </row>
    <row r="27882" spans="45:45">
      <c r="AS27882" s="47"/>
    </row>
    <row r="27883" spans="45:45">
      <c r="AS27883" s="47"/>
    </row>
    <row r="27884" spans="45:45">
      <c r="AS27884" s="47"/>
    </row>
    <row r="27885" spans="45:45">
      <c r="AS27885" s="47"/>
    </row>
    <row r="27886" spans="45:45">
      <c r="AS27886" s="47"/>
    </row>
    <row r="27887" spans="45:45">
      <c r="AS27887" s="47"/>
    </row>
    <row r="27888" spans="45:45">
      <c r="AS27888" s="47"/>
    </row>
    <row r="27889" spans="45:45">
      <c r="AS27889" s="47"/>
    </row>
    <row r="27890" spans="45:45">
      <c r="AS27890" s="47"/>
    </row>
    <row r="27891" spans="45:45">
      <c r="AS27891" s="47"/>
    </row>
    <row r="27892" spans="45:45">
      <c r="AS27892" s="47"/>
    </row>
    <row r="27893" spans="45:45">
      <c r="AS27893" s="47"/>
    </row>
    <row r="27894" spans="45:45">
      <c r="AS27894" s="47"/>
    </row>
    <row r="27895" spans="45:45">
      <c r="AS27895" s="47"/>
    </row>
    <row r="27896" spans="45:45">
      <c r="AS27896" s="47"/>
    </row>
    <row r="27897" spans="45:45">
      <c r="AS27897" s="47"/>
    </row>
    <row r="27898" spans="45:45">
      <c r="AS27898" s="47"/>
    </row>
    <row r="27899" spans="45:45">
      <c r="AS27899" s="47"/>
    </row>
    <row r="27900" spans="45:45">
      <c r="AS27900" s="47"/>
    </row>
    <row r="27901" spans="45:45">
      <c r="AS27901" s="47"/>
    </row>
    <row r="27902" spans="45:45">
      <c r="AS27902" s="47"/>
    </row>
    <row r="27903" spans="45:45">
      <c r="AS27903" s="47"/>
    </row>
    <row r="27904" spans="45:45">
      <c r="AS27904" s="47"/>
    </row>
    <row r="27905" spans="45:45">
      <c r="AS27905" s="47"/>
    </row>
    <row r="27906" spans="45:45">
      <c r="AS27906" s="47"/>
    </row>
    <row r="27907" spans="45:45">
      <c r="AS27907" s="47"/>
    </row>
    <row r="27908" spans="45:45">
      <c r="AS27908" s="47"/>
    </row>
    <row r="27909" spans="45:45">
      <c r="AS27909" s="47"/>
    </row>
    <row r="27910" spans="45:45">
      <c r="AS27910" s="47"/>
    </row>
    <row r="27911" spans="45:45">
      <c r="AS27911" s="47"/>
    </row>
    <row r="27912" spans="45:45">
      <c r="AS27912" s="47"/>
    </row>
    <row r="27913" spans="45:45">
      <c r="AS27913" s="47"/>
    </row>
    <row r="27914" spans="45:45">
      <c r="AS27914" s="47"/>
    </row>
    <row r="27915" spans="45:45">
      <c r="AS27915" s="47"/>
    </row>
    <row r="27916" spans="45:45">
      <c r="AS27916" s="47"/>
    </row>
    <row r="27917" spans="45:45">
      <c r="AS27917" s="47"/>
    </row>
    <row r="27918" spans="45:45">
      <c r="AS27918" s="47"/>
    </row>
    <row r="27919" spans="45:45">
      <c r="AS27919" s="47"/>
    </row>
    <row r="27920" spans="45:45">
      <c r="AS27920" s="47"/>
    </row>
    <row r="27921" spans="45:45">
      <c r="AS27921" s="47"/>
    </row>
    <row r="27922" spans="45:45">
      <c r="AS27922" s="47"/>
    </row>
    <row r="27923" spans="45:45">
      <c r="AS27923" s="47"/>
    </row>
    <row r="27924" spans="45:45">
      <c r="AS27924" s="47"/>
    </row>
    <row r="27925" spans="45:45">
      <c r="AS27925" s="47"/>
    </row>
    <row r="27926" spans="45:45">
      <c r="AS27926" s="47"/>
    </row>
    <row r="27927" spans="45:45">
      <c r="AS27927" s="47"/>
    </row>
    <row r="27928" spans="45:45">
      <c r="AS27928" s="47"/>
    </row>
    <row r="27929" spans="45:45">
      <c r="AS27929" s="47"/>
    </row>
    <row r="27930" spans="45:45">
      <c r="AS27930" s="47"/>
    </row>
    <row r="27931" spans="45:45">
      <c r="AS27931" s="47"/>
    </row>
    <row r="27932" spans="45:45">
      <c r="AS27932" s="47"/>
    </row>
    <row r="27933" spans="45:45">
      <c r="AS27933" s="47"/>
    </row>
    <row r="27934" spans="45:45">
      <c r="AS27934" s="47"/>
    </row>
    <row r="27935" spans="45:45">
      <c r="AS27935" s="47"/>
    </row>
    <row r="27936" spans="45:45">
      <c r="AS27936" s="47"/>
    </row>
    <row r="27937" spans="45:45">
      <c r="AS27937" s="47"/>
    </row>
    <row r="27938" spans="45:45">
      <c r="AS27938" s="47"/>
    </row>
    <row r="27939" spans="45:45">
      <c r="AS27939" s="47"/>
    </row>
    <row r="27940" spans="45:45">
      <c r="AS27940" s="47"/>
    </row>
    <row r="27941" spans="45:45">
      <c r="AS27941" s="47"/>
    </row>
    <row r="27942" spans="45:45">
      <c r="AS27942" s="47"/>
    </row>
    <row r="27943" spans="45:45">
      <c r="AS27943" s="47"/>
    </row>
    <row r="27944" spans="45:45">
      <c r="AS27944" s="47"/>
    </row>
    <row r="27945" spans="45:45">
      <c r="AS27945" s="47"/>
    </row>
    <row r="27946" spans="45:45">
      <c r="AS27946" s="47"/>
    </row>
    <row r="27947" spans="45:45">
      <c r="AS27947" s="47"/>
    </row>
    <row r="27948" spans="45:45">
      <c r="AS27948" s="47"/>
    </row>
    <row r="27949" spans="45:45">
      <c r="AS27949" s="47"/>
    </row>
    <row r="27950" spans="45:45">
      <c r="AS27950" s="47"/>
    </row>
    <row r="27951" spans="45:45">
      <c r="AS27951" s="47"/>
    </row>
    <row r="27952" spans="45:45">
      <c r="AS27952" s="47"/>
    </row>
    <row r="27953" spans="45:45">
      <c r="AS27953" s="47"/>
    </row>
    <row r="27954" spans="45:45">
      <c r="AS27954" s="47"/>
    </row>
    <row r="27955" spans="45:45">
      <c r="AS27955" s="47"/>
    </row>
    <row r="27956" spans="45:45">
      <c r="AS27956" s="47"/>
    </row>
    <row r="27957" spans="45:45">
      <c r="AS27957" s="47"/>
    </row>
    <row r="27958" spans="45:45">
      <c r="AS27958" s="47"/>
    </row>
    <row r="27959" spans="45:45">
      <c r="AS27959" s="47"/>
    </row>
    <row r="27960" spans="45:45">
      <c r="AS27960" s="47"/>
    </row>
    <row r="27961" spans="45:45">
      <c r="AS27961" s="47"/>
    </row>
    <row r="27962" spans="45:45">
      <c r="AS27962" s="47"/>
    </row>
    <row r="27963" spans="45:45">
      <c r="AS27963" s="47"/>
    </row>
    <row r="27964" spans="45:45">
      <c r="AS27964" s="47"/>
    </row>
    <row r="27965" spans="45:45">
      <c r="AS27965" s="47"/>
    </row>
    <row r="27966" spans="45:45">
      <c r="AS27966" s="47"/>
    </row>
    <row r="27967" spans="45:45">
      <c r="AS27967" s="47"/>
    </row>
    <row r="27968" spans="45:45">
      <c r="AS27968" s="47"/>
    </row>
    <row r="27969" spans="45:45">
      <c r="AS27969" s="47"/>
    </row>
    <row r="27970" spans="45:45">
      <c r="AS27970" s="47"/>
    </row>
    <row r="27971" spans="45:45">
      <c r="AS27971" s="47"/>
    </row>
    <row r="27972" spans="45:45">
      <c r="AS27972" s="47"/>
    </row>
    <row r="27973" spans="45:45">
      <c r="AS27973" s="47"/>
    </row>
    <row r="27974" spans="45:45">
      <c r="AS27974" s="47"/>
    </row>
    <row r="27975" spans="45:45">
      <c r="AS27975" s="47"/>
    </row>
    <row r="27976" spans="45:45">
      <c r="AS27976" s="47"/>
    </row>
    <row r="27977" spans="45:45">
      <c r="AS27977" s="47"/>
    </row>
    <row r="27978" spans="45:45">
      <c r="AS27978" s="47"/>
    </row>
    <row r="27979" spans="45:45">
      <c r="AS27979" s="47"/>
    </row>
    <row r="27980" spans="45:45">
      <c r="AS27980" s="47"/>
    </row>
    <row r="27981" spans="45:45">
      <c r="AS27981" s="47"/>
    </row>
    <row r="27982" spans="45:45">
      <c r="AS27982" s="47"/>
    </row>
    <row r="27983" spans="45:45">
      <c r="AS27983" s="47"/>
    </row>
    <row r="27984" spans="45:45">
      <c r="AS27984" s="47"/>
    </row>
    <row r="27985" spans="45:45">
      <c r="AS27985" s="47"/>
    </row>
    <row r="27986" spans="45:45">
      <c r="AS27986" s="47"/>
    </row>
    <row r="27987" spans="45:45">
      <c r="AS27987" s="47"/>
    </row>
    <row r="27988" spans="45:45">
      <c r="AS27988" s="47"/>
    </row>
    <row r="27989" spans="45:45">
      <c r="AS27989" s="47"/>
    </row>
    <row r="27990" spans="45:45">
      <c r="AS27990" s="47"/>
    </row>
    <row r="27991" spans="45:45">
      <c r="AS27991" s="47"/>
    </row>
    <row r="27992" spans="45:45">
      <c r="AS27992" s="47"/>
    </row>
    <row r="27993" spans="45:45">
      <c r="AS27993" s="47"/>
    </row>
    <row r="27994" spans="45:45">
      <c r="AS27994" s="47"/>
    </row>
    <row r="27995" spans="45:45">
      <c r="AS27995" s="47"/>
    </row>
    <row r="27996" spans="45:45">
      <c r="AS27996" s="47"/>
    </row>
    <row r="27997" spans="45:45">
      <c r="AS27997" s="47"/>
    </row>
    <row r="27998" spans="45:45">
      <c r="AS27998" s="47"/>
    </row>
    <row r="27999" spans="45:45">
      <c r="AS27999" s="47"/>
    </row>
    <row r="28000" spans="45:45">
      <c r="AS28000" s="47"/>
    </row>
    <row r="28001" spans="45:45">
      <c r="AS28001" s="47"/>
    </row>
    <row r="28002" spans="45:45">
      <c r="AS28002" s="47"/>
    </row>
    <row r="28003" spans="45:45">
      <c r="AS28003" s="47"/>
    </row>
    <row r="28004" spans="45:45">
      <c r="AS28004" s="47"/>
    </row>
    <row r="28005" spans="45:45">
      <c r="AS28005" s="47"/>
    </row>
    <row r="28006" spans="45:45">
      <c r="AS28006" s="47"/>
    </row>
    <row r="28007" spans="45:45">
      <c r="AS28007" s="47"/>
    </row>
    <row r="28008" spans="45:45">
      <c r="AS28008" s="47"/>
    </row>
    <row r="28009" spans="45:45">
      <c r="AS28009" s="47"/>
    </row>
    <row r="28010" spans="45:45">
      <c r="AS28010" s="47"/>
    </row>
    <row r="28011" spans="45:45">
      <c r="AS28011" s="47"/>
    </row>
    <row r="28012" spans="45:45">
      <c r="AS28012" s="47"/>
    </row>
    <row r="28013" spans="45:45">
      <c r="AS28013" s="47"/>
    </row>
    <row r="28014" spans="45:45">
      <c r="AS28014" s="47"/>
    </row>
    <row r="28015" spans="45:45">
      <c r="AS28015" s="47"/>
    </row>
    <row r="28016" spans="45:45">
      <c r="AS28016" s="47"/>
    </row>
    <row r="28017" spans="45:45">
      <c r="AS28017" s="47"/>
    </row>
    <row r="28018" spans="45:45">
      <c r="AS28018" s="47"/>
    </row>
    <row r="28019" spans="45:45">
      <c r="AS28019" s="47"/>
    </row>
    <row r="28020" spans="45:45">
      <c r="AS28020" s="47"/>
    </row>
    <row r="28021" spans="45:45">
      <c r="AS28021" s="47"/>
    </row>
    <row r="28022" spans="45:45">
      <c r="AS28022" s="47"/>
    </row>
    <row r="28023" spans="45:45">
      <c r="AS28023" s="47"/>
    </row>
    <row r="28024" spans="45:45">
      <c r="AS28024" s="47"/>
    </row>
    <row r="28025" spans="45:45">
      <c r="AS28025" s="47"/>
    </row>
    <row r="28026" spans="45:45">
      <c r="AS28026" s="47"/>
    </row>
    <row r="28027" spans="45:45">
      <c r="AS28027" s="47"/>
    </row>
    <row r="28028" spans="45:45">
      <c r="AS28028" s="47"/>
    </row>
    <row r="28029" spans="45:45">
      <c r="AS28029" s="47"/>
    </row>
    <row r="28030" spans="45:45">
      <c r="AS28030" s="47"/>
    </row>
    <row r="28031" spans="45:45">
      <c r="AS28031" s="47"/>
    </row>
    <row r="28032" spans="45:45">
      <c r="AS28032" s="47"/>
    </row>
    <row r="28033" spans="45:45">
      <c r="AS28033" s="47"/>
    </row>
    <row r="28034" spans="45:45">
      <c r="AS28034" s="47"/>
    </row>
    <row r="28035" spans="45:45">
      <c r="AS28035" s="47"/>
    </row>
    <row r="28036" spans="45:45">
      <c r="AS28036" s="47"/>
    </row>
    <row r="28037" spans="45:45">
      <c r="AS28037" s="47"/>
    </row>
    <row r="28038" spans="45:45">
      <c r="AS28038" s="47"/>
    </row>
    <row r="28039" spans="45:45">
      <c r="AS28039" s="47"/>
    </row>
    <row r="28040" spans="45:45">
      <c r="AS28040" s="47"/>
    </row>
    <row r="28041" spans="45:45">
      <c r="AS28041" s="47"/>
    </row>
    <row r="28042" spans="45:45">
      <c r="AS28042" s="47"/>
    </row>
    <row r="28043" spans="45:45">
      <c r="AS28043" s="47"/>
    </row>
    <row r="28044" spans="45:45">
      <c r="AS28044" s="47"/>
    </row>
    <row r="28045" spans="45:45">
      <c r="AS28045" s="47"/>
    </row>
    <row r="28046" spans="45:45">
      <c r="AS28046" s="47"/>
    </row>
    <row r="28047" spans="45:45">
      <c r="AS28047" s="47"/>
    </row>
    <row r="28048" spans="45:45">
      <c r="AS28048" s="47"/>
    </row>
    <row r="28049" spans="45:45">
      <c r="AS28049" s="47"/>
    </row>
    <row r="28050" spans="45:45">
      <c r="AS28050" s="47"/>
    </row>
    <row r="28051" spans="45:45">
      <c r="AS28051" s="47"/>
    </row>
    <row r="28052" spans="45:45">
      <c r="AS28052" s="47"/>
    </row>
    <row r="28053" spans="45:45">
      <c r="AS28053" s="47"/>
    </row>
    <row r="28054" spans="45:45">
      <c r="AS28054" s="47"/>
    </row>
    <row r="28055" spans="45:45">
      <c r="AS28055" s="47"/>
    </row>
    <row r="28056" spans="45:45">
      <c r="AS28056" s="47"/>
    </row>
    <row r="28057" spans="45:45">
      <c r="AS28057" s="47"/>
    </row>
    <row r="28058" spans="45:45">
      <c r="AS28058" s="47"/>
    </row>
    <row r="28059" spans="45:45">
      <c r="AS28059" s="47"/>
    </row>
    <row r="28060" spans="45:45">
      <c r="AS28060" s="47"/>
    </row>
    <row r="28061" spans="45:45">
      <c r="AS28061" s="47"/>
    </row>
    <row r="28062" spans="45:45">
      <c r="AS28062" s="47"/>
    </row>
    <row r="28063" spans="45:45">
      <c r="AS28063" s="47"/>
    </row>
    <row r="28064" spans="45:45">
      <c r="AS28064" s="47"/>
    </row>
    <row r="28065" spans="45:45">
      <c r="AS28065" s="47"/>
    </row>
    <row r="28066" spans="45:45">
      <c r="AS28066" s="47"/>
    </row>
    <row r="28067" spans="45:45">
      <c r="AS28067" s="47"/>
    </row>
    <row r="28068" spans="45:45">
      <c r="AS28068" s="47"/>
    </row>
    <row r="28069" spans="45:45">
      <c r="AS28069" s="47"/>
    </row>
    <row r="28070" spans="45:45">
      <c r="AS28070" s="47"/>
    </row>
    <row r="28071" spans="45:45">
      <c r="AS28071" s="47"/>
    </row>
    <row r="28072" spans="45:45">
      <c r="AS28072" s="47"/>
    </row>
    <row r="28073" spans="45:45">
      <c r="AS28073" s="47"/>
    </row>
    <row r="28074" spans="45:45">
      <c r="AS28074" s="47"/>
    </row>
    <row r="28075" spans="45:45">
      <c r="AS28075" s="47"/>
    </row>
    <row r="28076" spans="45:45">
      <c r="AS28076" s="47"/>
    </row>
    <row r="28077" spans="45:45">
      <c r="AS28077" s="47"/>
    </row>
    <row r="28078" spans="45:45">
      <c r="AS28078" s="47"/>
    </row>
    <row r="28079" spans="45:45">
      <c r="AS28079" s="47"/>
    </row>
    <row r="28080" spans="45:45">
      <c r="AS28080" s="47"/>
    </row>
    <row r="28081" spans="45:45">
      <c r="AS28081" s="47"/>
    </row>
    <row r="28082" spans="45:45">
      <c r="AS28082" s="47"/>
    </row>
    <row r="28083" spans="45:45">
      <c r="AS28083" s="47"/>
    </row>
    <row r="28084" spans="45:45">
      <c r="AS28084" s="47"/>
    </row>
    <row r="28085" spans="45:45">
      <c r="AS28085" s="47"/>
    </row>
    <row r="28086" spans="45:45">
      <c r="AS28086" s="47"/>
    </row>
    <row r="28087" spans="45:45">
      <c r="AS28087" s="47"/>
    </row>
    <row r="28088" spans="45:45">
      <c r="AS28088" s="47"/>
    </row>
    <row r="28089" spans="45:45">
      <c r="AS28089" s="47"/>
    </row>
    <row r="28090" spans="45:45">
      <c r="AS28090" s="47"/>
    </row>
    <row r="28091" spans="45:45">
      <c r="AS28091" s="47"/>
    </row>
    <row r="28092" spans="45:45">
      <c r="AS28092" s="47"/>
    </row>
    <row r="28093" spans="45:45">
      <c r="AS28093" s="47"/>
    </row>
    <row r="28094" spans="45:45">
      <c r="AS28094" s="47"/>
    </row>
    <row r="28095" spans="45:45">
      <c r="AS28095" s="47"/>
    </row>
    <row r="28096" spans="45:45">
      <c r="AS28096" s="47"/>
    </row>
    <row r="28097" spans="45:45">
      <c r="AS28097" s="47"/>
    </row>
    <row r="28098" spans="45:45">
      <c r="AS28098" s="47"/>
    </row>
    <row r="28099" spans="45:45">
      <c r="AS28099" s="47"/>
    </row>
    <row r="28100" spans="45:45">
      <c r="AS28100" s="47"/>
    </row>
    <row r="28101" spans="45:45">
      <c r="AS28101" s="47"/>
    </row>
    <row r="28102" spans="45:45">
      <c r="AS28102" s="47"/>
    </row>
    <row r="28103" spans="45:45">
      <c r="AS28103" s="47"/>
    </row>
    <row r="28104" spans="45:45">
      <c r="AS28104" s="47"/>
    </row>
    <row r="28105" spans="45:45">
      <c r="AS28105" s="47"/>
    </row>
    <row r="28106" spans="45:45">
      <c r="AS28106" s="47"/>
    </row>
    <row r="28107" spans="45:45">
      <c r="AS28107" s="47"/>
    </row>
    <row r="28108" spans="45:45">
      <c r="AS28108" s="47"/>
    </row>
    <row r="28109" spans="45:45">
      <c r="AS28109" s="47"/>
    </row>
    <row r="28110" spans="45:45">
      <c r="AS28110" s="47"/>
    </row>
    <row r="28111" spans="45:45">
      <c r="AS28111" s="47"/>
    </row>
    <row r="28112" spans="45:45">
      <c r="AS28112" s="47"/>
    </row>
    <row r="28113" spans="45:45">
      <c r="AS28113" s="47"/>
    </row>
    <row r="28114" spans="45:45">
      <c r="AS28114" s="47"/>
    </row>
    <row r="28115" spans="45:45">
      <c r="AS28115" s="47"/>
    </row>
    <row r="28116" spans="45:45">
      <c r="AS28116" s="47"/>
    </row>
    <row r="28117" spans="45:45">
      <c r="AS28117" s="47"/>
    </row>
    <row r="28118" spans="45:45">
      <c r="AS28118" s="47"/>
    </row>
    <row r="28119" spans="45:45">
      <c r="AS28119" s="47"/>
    </row>
    <row r="28120" spans="45:45">
      <c r="AS28120" s="47"/>
    </row>
    <row r="28121" spans="45:45">
      <c r="AS28121" s="47"/>
    </row>
    <row r="28122" spans="45:45">
      <c r="AS28122" s="47"/>
    </row>
    <row r="28123" spans="45:45">
      <c r="AS28123" s="47"/>
    </row>
    <row r="28124" spans="45:45">
      <c r="AS28124" s="47"/>
    </row>
    <row r="28125" spans="45:45">
      <c r="AS28125" s="47"/>
    </row>
    <row r="28126" spans="45:45">
      <c r="AS28126" s="47"/>
    </row>
    <row r="28127" spans="45:45">
      <c r="AS28127" s="47"/>
    </row>
    <row r="28128" spans="45:45">
      <c r="AS28128" s="47"/>
    </row>
    <row r="28129" spans="45:45">
      <c r="AS28129" s="47"/>
    </row>
    <row r="28130" spans="45:45">
      <c r="AS28130" s="47"/>
    </row>
    <row r="28131" spans="45:45">
      <c r="AS28131" s="47"/>
    </row>
    <row r="28132" spans="45:45">
      <c r="AS28132" s="47"/>
    </row>
    <row r="28133" spans="45:45">
      <c r="AS28133" s="47"/>
    </row>
    <row r="28134" spans="45:45">
      <c r="AS28134" s="47"/>
    </row>
    <row r="28135" spans="45:45">
      <c r="AS28135" s="47"/>
    </row>
    <row r="28136" spans="45:45">
      <c r="AS28136" s="47"/>
    </row>
    <row r="28137" spans="45:45">
      <c r="AS28137" s="47"/>
    </row>
    <row r="28138" spans="45:45">
      <c r="AS28138" s="47"/>
    </row>
    <row r="28139" spans="45:45">
      <c r="AS28139" s="47"/>
    </row>
    <row r="28140" spans="45:45">
      <c r="AS28140" s="47"/>
    </row>
    <row r="28141" spans="45:45">
      <c r="AS28141" s="47"/>
    </row>
    <row r="28142" spans="45:45">
      <c r="AS28142" s="47"/>
    </row>
    <row r="28143" spans="45:45">
      <c r="AS28143" s="47"/>
    </row>
    <row r="28144" spans="45:45">
      <c r="AS28144" s="47"/>
    </row>
    <row r="28145" spans="45:45">
      <c r="AS28145" s="47"/>
    </row>
    <row r="28146" spans="45:45">
      <c r="AS28146" s="47"/>
    </row>
    <row r="28147" spans="45:45">
      <c r="AS28147" s="47"/>
    </row>
    <row r="28148" spans="45:45">
      <c r="AS28148" s="47"/>
    </row>
    <row r="28149" spans="45:45">
      <c r="AS28149" s="47"/>
    </row>
    <row r="28150" spans="45:45">
      <c r="AS28150" s="47"/>
    </row>
    <row r="28151" spans="45:45">
      <c r="AS28151" s="47"/>
    </row>
    <row r="28152" spans="45:45">
      <c r="AS28152" s="47"/>
    </row>
    <row r="28153" spans="45:45">
      <c r="AS28153" s="47"/>
    </row>
    <row r="28154" spans="45:45">
      <c r="AS28154" s="47"/>
    </row>
    <row r="28155" spans="45:45">
      <c r="AS28155" s="47"/>
    </row>
    <row r="28156" spans="45:45">
      <c r="AS28156" s="47"/>
    </row>
    <row r="28157" spans="45:45">
      <c r="AS28157" s="47"/>
    </row>
    <row r="28158" spans="45:45">
      <c r="AS28158" s="47"/>
    </row>
    <row r="28159" spans="45:45">
      <c r="AS28159" s="47"/>
    </row>
    <row r="28160" spans="45:45">
      <c r="AS28160" s="47"/>
    </row>
    <row r="28161" spans="45:45">
      <c r="AS28161" s="47"/>
    </row>
    <row r="28162" spans="45:45">
      <c r="AS28162" s="47"/>
    </row>
    <row r="28163" spans="45:45">
      <c r="AS28163" s="47"/>
    </row>
    <row r="28164" spans="45:45">
      <c r="AS28164" s="47"/>
    </row>
    <row r="28165" spans="45:45">
      <c r="AS28165" s="47"/>
    </row>
    <row r="28166" spans="45:45">
      <c r="AS28166" s="47"/>
    </row>
    <row r="28167" spans="45:45">
      <c r="AS28167" s="47"/>
    </row>
    <row r="28168" spans="45:45">
      <c r="AS28168" s="47"/>
    </row>
    <row r="28169" spans="45:45">
      <c r="AS28169" s="47"/>
    </row>
    <row r="28170" spans="45:45">
      <c r="AS28170" s="47"/>
    </row>
    <row r="28171" spans="45:45">
      <c r="AS28171" s="47"/>
    </row>
    <row r="28172" spans="45:45">
      <c r="AS28172" s="47"/>
    </row>
    <row r="28173" spans="45:45">
      <c r="AS28173" s="47"/>
    </row>
    <row r="28174" spans="45:45">
      <c r="AS28174" s="47"/>
    </row>
    <row r="28175" spans="45:45">
      <c r="AS28175" s="47"/>
    </row>
    <row r="28176" spans="45:45">
      <c r="AS28176" s="47"/>
    </row>
    <row r="28177" spans="45:45">
      <c r="AS28177" s="47"/>
    </row>
    <row r="28178" spans="45:45">
      <c r="AS28178" s="47"/>
    </row>
    <row r="28179" spans="45:45">
      <c r="AS28179" s="47"/>
    </row>
    <row r="28180" spans="45:45">
      <c r="AS28180" s="47"/>
    </row>
    <row r="28181" spans="45:45">
      <c r="AS28181" s="47"/>
    </row>
    <row r="28182" spans="45:45">
      <c r="AS28182" s="47"/>
    </row>
    <row r="28183" spans="45:45">
      <c r="AS28183" s="47"/>
    </row>
    <row r="28184" spans="45:45">
      <c r="AS28184" s="47"/>
    </row>
    <row r="28185" spans="45:45">
      <c r="AS28185" s="47"/>
    </row>
    <row r="28186" spans="45:45">
      <c r="AS28186" s="47"/>
    </row>
    <row r="28187" spans="45:45">
      <c r="AS28187" s="47"/>
    </row>
    <row r="28188" spans="45:45">
      <c r="AS28188" s="47"/>
    </row>
    <row r="28189" spans="45:45">
      <c r="AS28189" s="47"/>
    </row>
    <row r="28190" spans="45:45">
      <c r="AS28190" s="47"/>
    </row>
    <row r="28191" spans="45:45">
      <c r="AS28191" s="47"/>
    </row>
    <row r="28192" spans="45:45">
      <c r="AS28192" s="47"/>
    </row>
    <row r="28193" spans="45:45">
      <c r="AS28193" s="47"/>
    </row>
    <row r="28194" spans="45:45">
      <c r="AS28194" s="47"/>
    </row>
    <row r="28195" spans="45:45">
      <c r="AS28195" s="47"/>
    </row>
    <row r="28196" spans="45:45">
      <c r="AS28196" s="47"/>
    </row>
    <row r="28197" spans="45:45">
      <c r="AS28197" s="47"/>
    </row>
    <row r="28198" spans="45:45">
      <c r="AS28198" s="47"/>
    </row>
    <row r="28199" spans="45:45">
      <c r="AS28199" s="47"/>
    </row>
    <row r="28200" spans="45:45">
      <c r="AS28200" s="47"/>
    </row>
    <row r="28201" spans="45:45">
      <c r="AS28201" s="47"/>
    </row>
    <row r="28202" spans="45:45">
      <c r="AS28202" s="47"/>
    </row>
    <row r="28203" spans="45:45">
      <c r="AS28203" s="47"/>
    </row>
    <row r="28204" spans="45:45">
      <c r="AS28204" s="47"/>
    </row>
    <row r="28205" spans="45:45">
      <c r="AS28205" s="47"/>
    </row>
    <row r="28206" spans="45:45">
      <c r="AS28206" s="47"/>
    </row>
    <row r="28207" spans="45:45">
      <c r="AS28207" s="47"/>
    </row>
    <row r="28208" spans="45:45">
      <c r="AS28208" s="47"/>
    </row>
    <row r="28209" spans="45:45">
      <c r="AS28209" s="47"/>
    </row>
    <row r="28210" spans="45:45">
      <c r="AS28210" s="47"/>
    </row>
    <row r="28211" spans="45:45">
      <c r="AS28211" s="47"/>
    </row>
    <row r="28212" spans="45:45">
      <c r="AS28212" s="47"/>
    </row>
    <row r="28213" spans="45:45">
      <c r="AS28213" s="47"/>
    </row>
    <row r="28214" spans="45:45">
      <c r="AS28214" s="47"/>
    </row>
    <row r="28215" spans="45:45">
      <c r="AS28215" s="47"/>
    </row>
    <row r="28216" spans="45:45">
      <c r="AS28216" s="47"/>
    </row>
    <row r="28217" spans="45:45">
      <c r="AS28217" s="47"/>
    </row>
    <row r="28218" spans="45:45">
      <c r="AS28218" s="47"/>
    </row>
    <row r="28219" spans="45:45">
      <c r="AS28219" s="47"/>
    </row>
    <row r="28220" spans="45:45">
      <c r="AS28220" s="47"/>
    </row>
    <row r="28221" spans="45:45">
      <c r="AS28221" s="47"/>
    </row>
    <row r="28222" spans="45:45">
      <c r="AS28222" s="47"/>
    </row>
    <row r="28223" spans="45:45">
      <c r="AS28223" s="47"/>
    </row>
    <row r="28224" spans="45:45">
      <c r="AS28224" s="47"/>
    </row>
    <row r="28225" spans="45:45">
      <c r="AS28225" s="47"/>
    </row>
    <row r="28226" spans="45:45">
      <c r="AS28226" s="47"/>
    </row>
    <row r="28227" spans="45:45">
      <c r="AS28227" s="47"/>
    </row>
    <row r="28228" spans="45:45">
      <c r="AS28228" s="47"/>
    </row>
    <row r="28229" spans="45:45">
      <c r="AS28229" s="47"/>
    </row>
    <row r="28230" spans="45:45">
      <c r="AS28230" s="47"/>
    </row>
    <row r="28231" spans="45:45">
      <c r="AS28231" s="47"/>
    </row>
    <row r="28232" spans="45:45">
      <c r="AS28232" s="47"/>
    </row>
    <row r="28233" spans="45:45">
      <c r="AS28233" s="47"/>
    </row>
    <row r="28234" spans="45:45">
      <c r="AS28234" s="47"/>
    </row>
    <row r="28235" spans="45:45">
      <c r="AS28235" s="47"/>
    </row>
    <row r="28236" spans="45:45">
      <c r="AS28236" s="47"/>
    </row>
    <row r="28237" spans="45:45">
      <c r="AS28237" s="47"/>
    </row>
    <row r="28238" spans="45:45">
      <c r="AS28238" s="47"/>
    </row>
    <row r="28239" spans="45:45">
      <c r="AS28239" s="47"/>
    </row>
    <row r="28240" spans="45:45">
      <c r="AS28240" s="47"/>
    </row>
    <row r="28241" spans="45:45">
      <c r="AS28241" s="47"/>
    </row>
    <row r="28242" spans="45:45">
      <c r="AS28242" s="47"/>
    </row>
    <row r="28243" spans="45:45">
      <c r="AS28243" s="47"/>
    </row>
    <row r="28244" spans="45:45">
      <c r="AS28244" s="47"/>
    </row>
    <row r="28245" spans="45:45">
      <c r="AS28245" s="47"/>
    </row>
    <row r="28246" spans="45:45">
      <c r="AS28246" s="47"/>
    </row>
    <row r="28247" spans="45:45">
      <c r="AS28247" s="47"/>
    </row>
    <row r="28248" spans="45:45">
      <c r="AS28248" s="47"/>
    </row>
    <row r="28249" spans="45:45">
      <c r="AS28249" s="47"/>
    </row>
    <row r="28250" spans="45:45">
      <c r="AS28250" s="47"/>
    </row>
    <row r="28251" spans="45:45">
      <c r="AS28251" s="47"/>
    </row>
    <row r="28252" spans="45:45">
      <c r="AS28252" s="47"/>
    </row>
    <row r="28253" spans="45:45">
      <c r="AS28253" s="47"/>
    </row>
    <row r="28254" spans="45:45">
      <c r="AS28254" s="47"/>
    </row>
    <row r="28255" spans="45:45">
      <c r="AS28255" s="47"/>
    </row>
    <row r="28256" spans="45:45">
      <c r="AS28256" s="47"/>
    </row>
    <row r="28257" spans="45:45">
      <c r="AS28257" s="47"/>
    </row>
    <row r="28258" spans="45:45">
      <c r="AS28258" s="47"/>
    </row>
    <row r="28259" spans="45:45">
      <c r="AS28259" s="47"/>
    </row>
    <row r="28260" spans="45:45">
      <c r="AS28260" s="47"/>
    </row>
    <row r="28261" spans="45:45">
      <c r="AS28261" s="47"/>
    </row>
    <row r="28262" spans="45:45">
      <c r="AS28262" s="47"/>
    </row>
    <row r="28263" spans="45:45">
      <c r="AS28263" s="47"/>
    </row>
    <row r="28264" spans="45:45">
      <c r="AS28264" s="47"/>
    </row>
    <row r="28265" spans="45:45">
      <c r="AS28265" s="47"/>
    </row>
    <row r="28266" spans="45:45">
      <c r="AS28266" s="47"/>
    </row>
    <row r="28267" spans="45:45">
      <c r="AS28267" s="47"/>
    </row>
    <row r="28268" spans="45:45">
      <c r="AS28268" s="47"/>
    </row>
    <row r="28269" spans="45:45">
      <c r="AS28269" s="47"/>
    </row>
    <row r="28270" spans="45:45">
      <c r="AS28270" s="47"/>
    </row>
    <row r="28271" spans="45:45">
      <c r="AS28271" s="47"/>
    </row>
    <row r="28272" spans="45:45">
      <c r="AS28272" s="47"/>
    </row>
    <row r="28273" spans="45:45">
      <c r="AS28273" s="47"/>
    </row>
    <row r="28274" spans="45:45">
      <c r="AS28274" s="47"/>
    </row>
    <row r="28275" spans="45:45">
      <c r="AS28275" s="47"/>
    </row>
    <row r="28276" spans="45:45">
      <c r="AS28276" s="47"/>
    </row>
    <row r="28277" spans="45:45">
      <c r="AS28277" s="47"/>
    </row>
    <row r="28278" spans="45:45">
      <c r="AS28278" s="47"/>
    </row>
    <row r="28279" spans="45:45">
      <c r="AS28279" s="47"/>
    </row>
    <row r="28280" spans="45:45">
      <c r="AS28280" s="47"/>
    </row>
    <row r="28281" spans="45:45">
      <c r="AS28281" s="47"/>
    </row>
    <row r="28282" spans="45:45">
      <c r="AS28282" s="47"/>
    </row>
    <row r="28283" spans="45:45">
      <c r="AS28283" s="47"/>
    </row>
    <row r="28284" spans="45:45">
      <c r="AS28284" s="47"/>
    </row>
    <row r="28285" spans="45:45">
      <c r="AS28285" s="47"/>
    </row>
    <row r="28286" spans="45:45">
      <c r="AS28286" s="47"/>
    </row>
    <row r="28287" spans="45:45">
      <c r="AS28287" s="47"/>
    </row>
    <row r="28288" spans="45:45">
      <c r="AS28288" s="47"/>
    </row>
    <row r="28289" spans="45:45">
      <c r="AS28289" s="47"/>
    </row>
    <row r="28290" spans="45:45">
      <c r="AS28290" s="47"/>
    </row>
    <row r="28291" spans="45:45">
      <c r="AS28291" s="47"/>
    </row>
    <row r="28292" spans="45:45">
      <c r="AS28292" s="47"/>
    </row>
    <row r="28293" spans="45:45">
      <c r="AS28293" s="47"/>
    </row>
    <row r="28294" spans="45:45">
      <c r="AS28294" s="47"/>
    </row>
    <row r="28295" spans="45:45">
      <c r="AS28295" s="47"/>
    </row>
    <row r="28296" spans="45:45">
      <c r="AS28296" s="47"/>
    </row>
    <row r="28297" spans="45:45">
      <c r="AS28297" s="47"/>
    </row>
    <row r="28298" spans="45:45">
      <c r="AS28298" s="47"/>
    </row>
    <row r="28299" spans="45:45">
      <c r="AS28299" s="47"/>
    </row>
    <row r="28300" spans="45:45">
      <c r="AS28300" s="47"/>
    </row>
    <row r="28301" spans="45:45">
      <c r="AS28301" s="47"/>
    </row>
    <row r="28302" spans="45:45">
      <c r="AS28302" s="47"/>
    </row>
    <row r="28303" spans="45:45">
      <c r="AS28303" s="47"/>
    </row>
    <row r="28304" spans="45:45">
      <c r="AS28304" s="47"/>
    </row>
    <row r="28305" spans="45:45">
      <c r="AS28305" s="47"/>
    </row>
    <row r="28306" spans="45:45">
      <c r="AS28306" s="47"/>
    </row>
    <row r="28307" spans="45:45">
      <c r="AS28307" s="47"/>
    </row>
    <row r="28308" spans="45:45">
      <c r="AS28308" s="47"/>
    </row>
    <row r="28309" spans="45:45">
      <c r="AS28309" s="47"/>
    </row>
    <row r="28310" spans="45:45">
      <c r="AS28310" s="47"/>
    </row>
    <row r="28311" spans="45:45">
      <c r="AS28311" s="47"/>
    </row>
    <row r="28312" spans="45:45">
      <c r="AS28312" s="47"/>
    </row>
    <row r="28313" spans="45:45">
      <c r="AS28313" s="47"/>
    </row>
    <row r="28314" spans="45:45">
      <c r="AS28314" s="47"/>
    </row>
    <row r="28315" spans="45:45">
      <c r="AS28315" s="47"/>
    </row>
    <row r="28316" spans="45:45">
      <c r="AS28316" s="47"/>
    </row>
    <row r="28317" spans="45:45">
      <c r="AS28317" s="47"/>
    </row>
    <row r="28318" spans="45:45">
      <c r="AS28318" s="47"/>
    </row>
    <row r="28319" spans="45:45">
      <c r="AS28319" s="47"/>
    </row>
    <row r="28320" spans="45:45">
      <c r="AS28320" s="47"/>
    </row>
    <row r="28321" spans="45:45">
      <c r="AS28321" s="47"/>
    </row>
    <row r="28322" spans="45:45">
      <c r="AS28322" s="47"/>
    </row>
    <row r="28323" spans="45:45">
      <c r="AS28323" s="47"/>
    </row>
    <row r="28324" spans="45:45">
      <c r="AS28324" s="47"/>
    </row>
    <row r="28325" spans="45:45">
      <c r="AS28325" s="47"/>
    </row>
    <row r="28326" spans="45:45">
      <c r="AS28326" s="47"/>
    </row>
    <row r="28327" spans="45:45">
      <c r="AS28327" s="47"/>
    </row>
    <row r="28328" spans="45:45">
      <c r="AS28328" s="47"/>
    </row>
    <row r="28329" spans="45:45">
      <c r="AS28329" s="47"/>
    </row>
    <row r="28330" spans="45:45">
      <c r="AS28330" s="47"/>
    </row>
    <row r="28331" spans="45:45">
      <c r="AS28331" s="47"/>
    </row>
    <row r="28332" spans="45:45">
      <c r="AS28332" s="47"/>
    </row>
    <row r="28333" spans="45:45">
      <c r="AS28333" s="47"/>
    </row>
    <row r="28334" spans="45:45">
      <c r="AS28334" s="47"/>
    </row>
    <row r="28335" spans="45:45">
      <c r="AS28335" s="47"/>
    </row>
    <row r="28336" spans="45:45">
      <c r="AS28336" s="47"/>
    </row>
    <row r="28337" spans="45:45">
      <c r="AS28337" s="47"/>
    </row>
    <row r="28338" spans="45:45">
      <c r="AS28338" s="47"/>
    </row>
    <row r="28339" spans="45:45">
      <c r="AS28339" s="47"/>
    </row>
    <row r="28340" spans="45:45">
      <c r="AS28340" s="47"/>
    </row>
    <row r="28341" spans="45:45">
      <c r="AS28341" s="47"/>
    </row>
    <row r="28342" spans="45:45">
      <c r="AS28342" s="47"/>
    </row>
    <row r="28343" spans="45:45">
      <c r="AS28343" s="47"/>
    </row>
    <row r="28344" spans="45:45">
      <c r="AS28344" s="47"/>
    </row>
    <row r="28345" spans="45:45">
      <c r="AS28345" s="47"/>
    </row>
    <row r="28346" spans="45:45">
      <c r="AS28346" s="47"/>
    </row>
    <row r="28347" spans="45:45">
      <c r="AS28347" s="47"/>
    </row>
    <row r="28348" spans="45:45">
      <c r="AS28348" s="47"/>
    </row>
    <row r="28349" spans="45:45">
      <c r="AS28349" s="47"/>
    </row>
    <row r="28350" spans="45:45">
      <c r="AS28350" s="47"/>
    </row>
    <row r="28351" spans="45:45">
      <c r="AS28351" s="47"/>
    </row>
    <row r="28352" spans="45:45">
      <c r="AS28352" s="47"/>
    </row>
    <row r="28353" spans="45:45">
      <c r="AS28353" s="47"/>
    </row>
    <row r="28354" spans="45:45">
      <c r="AS28354" s="47"/>
    </row>
    <row r="28355" spans="45:45">
      <c r="AS28355" s="47"/>
    </row>
    <row r="28356" spans="45:45">
      <c r="AS28356" s="47"/>
    </row>
    <row r="28357" spans="45:45">
      <c r="AS28357" s="47"/>
    </row>
    <row r="28358" spans="45:45">
      <c r="AS28358" s="47"/>
    </row>
    <row r="28359" spans="45:45">
      <c r="AS28359" s="47"/>
    </row>
    <row r="28360" spans="45:45">
      <c r="AS28360" s="47"/>
    </row>
    <row r="28361" spans="45:45">
      <c r="AS28361" s="47"/>
    </row>
    <row r="28362" spans="45:45">
      <c r="AS28362" s="47"/>
    </row>
    <row r="28363" spans="45:45">
      <c r="AS28363" s="47"/>
    </row>
    <row r="28364" spans="45:45">
      <c r="AS28364" s="47"/>
    </row>
    <row r="28365" spans="45:45">
      <c r="AS28365" s="47"/>
    </row>
    <row r="28366" spans="45:45">
      <c r="AS28366" s="47"/>
    </row>
    <row r="28367" spans="45:45">
      <c r="AS28367" s="47"/>
    </row>
    <row r="28368" spans="45:45">
      <c r="AS28368" s="47"/>
    </row>
    <row r="28369" spans="45:45">
      <c r="AS28369" s="47"/>
    </row>
    <row r="28370" spans="45:45">
      <c r="AS28370" s="47"/>
    </row>
    <row r="28371" spans="45:45">
      <c r="AS28371" s="47"/>
    </row>
    <row r="28372" spans="45:45">
      <c r="AS28372" s="47"/>
    </row>
    <row r="28373" spans="45:45">
      <c r="AS28373" s="47"/>
    </row>
    <row r="28374" spans="45:45">
      <c r="AS28374" s="47"/>
    </row>
    <row r="28375" spans="45:45">
      <c r="AS28375" s="47"/>
    </row>
    <row r="28376" spans="45:45">
      <c r="AS28376" s="47"/>
    </row>
    <row r="28377" spans="45:45">
      <c r="AS28377" s="47"/>
    </row>
    <row r="28378" spans="45:45">
      <c r="AS28378" s="47"/>
    </row>
    <row r="28379" spans="45:45">
      <c r="AS28379" s="47"/>
    </row>
    <row r="28380" spans="45:45">
      <c r="AS28380" s="47"/>
    </row>
    <row r="28381" spans="45:45">
      <c r="AS28381" s="47"/>
    </row>
    <row r="28382" spans="45:45">
      <c r="AS28382" s="47"/>
    </row>
    <row r="28383" spans="45:45">
      <c r="AS28383" s="47"/>
    </row>
    <row r="28384" spans="45:45">
      <c r="AS28384" s="47"/>
    </row>
    <row r="28385" spans="45:45">
      <c r="AS28385" s="47"/>
    </row>
    <row r="28386" spans="45:45">
      <c r="AS28386" s="47"/>
    </row>
    <row r="28387" spans="45:45">
      <c r="AS28387" s="47"/>
    </row>
    <row r="28388" spans="45:45">
      <c r="AS28388" s="47"/>
    </row>
    <row r="28389" spans="45:45">
      <c r="AS28389" s="47"/>
    </row>
    <row r="28390" spans="45:45">
      <c r="AS28390" s="47"/>
    </row>
    <row r="28391" spans="45:45">
      <c r="AS28391" s="47"/>
    </row>
    <row r="28392" spans="45:45">
      <c r="AS28392" s="47"/>
    </row>
    <row r="28393" spans="45:45">
      <c r="AS28393" s="47"/>
    </row>
    <row r="28394" spans="45:45">
      <c r="AS28394" s="47"/>
    </row>
    <row r="28395" spans="45:45">
      <c r="AS28395" s="47"/>
    </row>
    <row r="28396" spans="45:45">
      <c r="AS28396" s="47"/>
    </row>
    <row r="28397" spans="45:45">
      <c r="AS28397" s="47"/>
    </row>
    <row r="28398" spans="45:45">
      <c r="AS28398" s="47"/>
    </row>
    <row r="28399" spans="45:45">
      <c r="AS28399" s="47"/>
    </row>
    <row r="28400" spans="45:45">
      <c r="AS28400" s="47"/>
    </row>
    <row r="28401" spans="45:45">
      <c r="AS28401" s="47"/>
    </row>
    <row r="28402" spans="45:45">
      <c r="AS28402" s="47"/>
    </row>
    <row r="28403" spans="45:45">
      <c r="AS28403" s="47"/>
    </row>
    <row r="28404" spans="45:45">
      <c r="AS28404" s="47"/>
    </row>
    <row r="28405" spans="45:45">
      <c r="AS28405" s="47"/>
    </row>
    <row r="28406" spans="45:45">
      <c r="AS28406" s="47"/>
    </row>
    <row r="28407" spans="45:45">
      <c r="AS28407" s="47"/>
    </row>
    <row r="28408" spans="45:45">
      <c r="AS28408" s="47"/>
    </row>
    <row r="28409" spans="45:45">
      <c r="AS28409" s="47"/>
    </row>
    <row r="28410" spans="45:45">
      <c r="AS28410" s="47"/>
    </row>
    <row r="28411" spans="45:45">
      <c r="AS28411" s="47"/>
    </row>
    <row r="28412" spans="45:45">
      <c r="AS28412" s="47"/>
    </row>
    <row r="28413" spans="45:45">
      <c r="AS28413" s="47"/>
    </row>
    <row r="28414" spans="45:45">
      <c r="AS28414" s="47"/>
    </row>
    <row r="28415" spans="45:45">
      <c r="AS28415" s="47"/>
    </row>
    <row r="28416" spans="45:45">
      <c r="AS28416" s="47"/>
    </row>
    <row r="28417" spans="45:45">
      <c r="AS28417" s="47"/>
    </row>
    <row r="28418" spans="45:45">
      <c r="AS28418" s="47"/>
    </row>
    <row r="28419" spans="45:45">
      <c r="AS28419" s="47"/>
    </row>
    <row r="28420" spans="45:45">
      <c r="AS28420" s="47"/>
    </row>
    <row r="28421" spans="45:45">
      <c r="AS28421" s="47"/>
    </row>
    <row r="28422" spans="45:45">
      <c r="AS28422" s="47"/>
    </row>
    <row r="28423" spans="45:45">
      <c r="AS28423" s="47"/>
    </row>
    <row r="28424" spans="45:45">
      <c r="AS28424" s="47"/>
    </row>
    <row r="28425" spans="45:45">
      <c r="AS28425" s="47"/>
    </row>
    <row r="28426" spans="45:45">
      <c r="AS28426" s="47"/>
    </row>
    <row r="28427" spans="45:45">
      <c r="AS28427" s="47"/>
    </row>
    <row r="28428" spans="45:45">
      <c r="AS28428" s="47"/>
    </row>
    <row r="28429" spans="45:45">
      <c r="AS28429" s="47"/>
    </row>
    <row r="28430" spans="45:45">
      <c r="AS28430" s="47"/>
    </row>
    <row r="28431" spans="45:45">
      <c r="AS28431" s="47"/>
    </row>
    <row r="28432" spans="45:45">
      <c r="AS28432" s="47"/>
    </row>
    <row r="28433" spans="45:45">
      <c r="AS28433" s="47"/>
    </row>
    <row r="28434" spans="45:45">
      <c r="AS28434" s="47"/>
    </row>
    <row r="28435" spans="45:45">
      <c r="AS28435" s="47"/>
    </row>
    <row r="28436" spans="45:45">
      <c r="AS28436" s="47"/>
    </row>
    <row r="28437" spans="45:45">
      <c r="AS28437" s="47"/>
    </row>
    <row r="28438" spans="45:45">
      <c r="AS28438" s="47"/>
    </row>
    <row r="28439" spans="45:45">
      <c r="AS28439" s="47"/>
    </row>
    <row r="28440" spans="45:45">
      <c r="AS28440" s="47"/>
    </row>
    <row r="28441" spans="45:45">
      <c r="AS28441" s="47"/>
    </row>
    <row r="28442" spans="45:45">
      <c r="AS28442" s="47"/>
    </row>
    <row r="28443" spans="45:45">
      <c r="AS28443" s="47"/>
    </row>
    <row r="28444" spans="45:45">
      <c r="AS28444" s="47"/>
    </row>
    <row r="28445" spans="45:45">
      <c r="AS28445" s="47"/>
    </row>
    <row r="28446" spans="45:45">
      <c r="AS28446" s="47"/>
    </row>
    <row r="28447" spans="45:45">
      <c r="AS28447" s="47"/>
    </row>
    <row r="28448" spans="45:45">
      <c r="AS28448" s="47"/>
    </row>
    <row r="28449" spans="45:45">
      <c r="AS28449" s="47"/>
    </row>
    <row r="28450" spans="45:45">
      <c r="AS28450" s="47"/>
    </row>
    <row r="28451" spans="45:45">
      <c r="AS28451" s="47"/>
    </row>
    <row r="28452" spans="45:45">
      <c r="AS28452" s="47"/>
    </row>
    <row r="28453" spans="45:45">
      <c r="AS28453" s="47"/>
    </row>
    <row r="28454" spans="45:45">
      <c r="AS28454" s="47"/>
    </row>
    <row r="28455" spans="45:45">
      <c r="AS28455" s="47"/>
    </row>
    <row r="28456" spans="45:45">
      <c r="AS28456" s="47"/>
    </row>
    <row r="28457" spans="45:45">
      <c r="AS28457" s="47"/>
    </row>
    <row r="28458" spans="45:45">
      <c r="AS28458" s="47"/>
    </row>
    <row r="28459" spans="45:45">
      <c r="AS28459" s="47"/>
    </row>
    <row r="28460" spans="45:45">
      <c r="AS28460" s="47"/>
    </row>
    <row r="28461" spans="45:45">
      <c r="AS28461" s="47"/>
    </row>
    <row r="28462" spans="45:45">
      <c r="AS28462" s="47"/>
    </row>
    <row r="28463" spans="45:45">
      <c r="AS28463" s="47"/>
    </row>
    <row r="28464" spans="45:45">
      <c r="AS28464" s="47"/>
    </row>
    <row r="28465" spans="45:45">
      <c r="AS28465" s="47"/>
    </row>
    <row r="28466" spans="45:45">
      <c r="AS28466" s="47"/>
    </row>
    <row r="28467" spans="45:45">
      <c r="AS28467" s="47"/>
    </row>
    <row r="28468" spans="45:45">
      <c r="AS28468" s="47"/>
    </row>
    <row r="28469" spans="45:45">
      <c r="AS28469" s="47"/>
    </row>
    <row r="28470" spans="45:45">
      <c r="AS28470" s="47"/>
    </row>
    <row r="28471" spans="45:45">
      <c r="AS28471" s="47"/>
    </row>
    <row r="28472" spans="45:45">
      <c r="AS28472" s="47"/>
    </row>
    <row r="28473" spans="45:45">
      <c r="AS28473" s="47"/>
    </row>
    <row r="28474" spans="45:45">
      <c r="AS28474" s="47"/>
    </row>
    <row r="28475" spans="45:45">
      <c r="AS28475" s="47"/>
    </row>
    <row r="28476" spans="45:45">
      <c r="AS28476" s="47"/>
    </row>
    <row r="28477" spans="45:45">
      <c r="AS28477" s="47"/>
    </row>
    <row r="28478" spans="45:45">
      <c r="AS28478" s="47"/>
    </row>
    <row r="28479" spans="45:45">
      <c r="AS28479" s="47"/>
    </row>
    <row r="28480" spans="45:45">
      <c r="AS28480" s="47"/>
    </row>
    <row r="28481" spans="45:45">
      <c r="AS28481" s="47"/>
    </row>
    <row r="28482" spans="45:45">
      <c r="AS28482" s="47"/>
    </row>
    <row r="28483" spans="45:45">
      <c r="AS28483" s="47"/>
    </row>
    <row r="28484" spans="45:45">
      <c r="AS28484" s="47"/>
    </row>
    <row r="28485" spans="45:45">
      <c r="AS28485" s="47"/>
    </row>
    <row r="28486" spans="45:45">
      <c r="AS28486" s="47"/>
    </row>
    <row r="28487" spans="45:45">
      <c r="AS28487" s="47"/>
    </row>
    <row r="28488" spans="45:45">
      <c r="AS28488" s="47"/>
    </row>
    <row r="28489" spans="45:45">
      <c r="AS28489" s="47"/>
    </row>
    <row r="28490" spans="45:45">
      <c r="AS28490" s="47"/>
    </row>
    <row r="28491" spans="45:45">
      <c r="AS28491" s="47"/>
    </row>
    <row r="28492" spans="45:45">
      <c r="AS28492" s="47"/>
    </row>
    <row r="28493" spans="45:45">
      <c r="AS28493" s="47"/>
    </row>
    <row r="28494" spans="45:45">
      <c r="AS28494" s="47"/>
    </row>
    <row r="28495" spans="45:45">
      <c r="AS28495" s="47"/>
    </row>
    <row r="28496" spans="45:45">
      <c r="AS28496" s="47"/>
    </row>
    <row r="28497" spans="45:45">
      <c r="AS28497" s="47"/>
    </row>
    <row r="28498" spans="45:45">
      <c r="AS28498" s="47"/>
    </row>
    <row r="28499" spans="45:45">
      <c r="AS28499" s="47"/>
    </row>
    <row r="28500" spans="45:45">
      <c r="AS28500" s="47"/>
    </row>
    <row r="28501" spans="45:45">
      <c r="AS28501" s="47"/>
    </row>
    <row r="28502" spans="45:45">
      <c r="AS28502" s="47"/>
    </row>
    <row r="28503" spans="45:45">
      <c r="AS28503" s="47"/>
    </row>
    <row r="28504" spans="45:45">
      <c r="AS28504" s="47"/>
    </row>
    <row r="28505" spans="45:45">
      <c r="AS28505" s="47"/>
    </row>
    <row r="28506" spans="45:45">
      <c r="AS28506" s="47"/>
    </row>
    <row r="28507" spans="45:45">
      <c r="AS28507" s="47"/>
    </row>
    <row r="28508" spans="45:45">
      <c r="AS28508" s="47"/>
    </row>
    <row r="28509" spans="45:45">
      <c r="AS28509" s="47"/>
    </row>
    <row r="28510" spans="45:45">
      <c r="AS28510" s="47"/>
    </row>
    <row r="28511" spans="45:45">
      <c r="AS28511" s="47"/>
    </row>
    <row r="28512" spans="45:45">
      <c r="AS28512" s="47"/>
    </row>
    <row r="28513" spans="45:45">
      <c r="AS28513" s="47"/>
    </row>
    <row r="28514" spans="45:45">
      <c r="AS28514" s="47"/>
    </row>
    <row r="28515" spans="45:45">
      <c r="AS28515" s="47"/>
    </row>
    <row r="28516" spans="45:45">
      <c r="AS28516" s="47"/>
    </row>
    <row r="28517" spans="45:45">
      <c r="AS28517" s="47"/>
    </row>
    <row r="28518" spans="45:45">
      <c r="AS28518" s="47"/>
    </row>
    <row r="28519" spans="45:45">
      <c r="AS28519" s="47"/>
    </row>
    <row r="28520" spans="45:45">
      <c r="AS28520" s="47"/>
    </row>
    <row r="28521" spans="45:45">
      <c r="AS28521" s="47"/>
    </row>
    <row r="28522" spans="45:45">
      <c r="AS28522" s="47"/>
    </row>
    <row r="28523" spans="45:45">
      <c r="AS28523" s="47"/>
    </row>
    <row r="28524" spans="45:45">
      <c r="AS28524" s="47"/>
    </row>
    <row r="28525" spans="45:45">
      <c r="AS28525" s="47"/>
    </row>
    <row r="28526" spans="45:45">
      <c r="AS28526" s="47"/>
    </row>
    <row r="28527" spans="45:45">
      <c r="AS28527" s="47"/>
    </row>
    <row r="28528" spans="45:45">
      <c r="AS28528" s="47"/>
    </row>
    <row r="28529" spans="45:45">
      <c r="AS28529" s="47"/>
    </row>
    <row r="28530" spans="45:45">
      <c r="AS28530" s="47"/>
    </row>
    <row r="28531" spans="45:45">
      <c r="AS28531" s="47"/>
    </row>
    <row r="28532" spans="45:45">
      <c r="AS28532" s="47"/>
    </row>
    <row r="28533" spans="45:45">
      <c r="AS28533" s="47"/>
    </row>
    <row r="28534" spans="45:45">
      <c r="AS28534" s="47"/>
    </row>
    <row r="28535" spans="45:45">
      <c r="AS28535" s="47"/>
    </row>
    <row r="28536" spans="45:45">
      <c r="AS28536" s="47"/>
    </row>
    <row r="28537" spans="45:45">
      <c r="AS28537" s="47"/>
    </row>
    <row r="28538" spans="45:45">
      <c r="AS28538" s="47"/>
    </row>
    <row r="28539" spans="45:45">
      <c r="AS28539" s="47"/>
    </row>
    <row r="28540" spans="45:45">
      <c r="AS28540" s="47"/>
    </row>
    <row r="28541" spans="45:45">
      <c r="AS28541" s="47"/>
    </row>
    <row r="28542" spans="45:45">
      <c r="AS28542" s="47"/>
    </row>
    <row r="28543" spans="45:45">
      <c r="AS28543" s="47"/>
    </row>
    <row r="28544" spans="45:45">
      <c r="AS28544" s="47"/>
    </row>
    <row r="28545" spans="45:45">
      <c r="AS28545" s="47"/>
    </row>
    <row r="28546" spans="45:45">
      <c r="AS28546" s="47"/>
    </row>
    <row r="28547" spans="45:45">
      <c r="AS28547" s="47"/>
    </row>
    <row r="28548" spans="45:45">
      <c r="AS28548" s="47"/>
    </row>
    <row r="28549" spans="45:45">
      <c r="AS28549" s="47"/>
    </row>
    <row r="28550" spans="45:45">
      <c r="AS28550" s="47"/>
    </row>
    <row r="28551" spans="45:45">
      <c r="AS28551" s="47"/>
    </row>
    <row r="28552" spans="45:45">
      <c r="AS28552" s="47"/>
    </row>
    <row r="28553" spans="45:45">
      <c r="AS28553" s="47"/>
    </row>
    <row r="28554" spans="45:45">
      <c r="AS28554" s="47"/>
    </row>
    <row r="28555" spans="45:45">
      <c r="AS28555" s="47"/>
    </row>
    <row r="28556" spans="45:45">
      <c r="AS28556" s="47"/>
    </row>
    <row r="28557" spans="45:45">
      <c r="AS28557" s="47"/>
    </row>
    <row r="28558" spans="45:45">
      <c r="AS28558" s="47"/>
    </row>
    <row r="28559" spans="45:45">
      <c r="AS28559" s="47"/>
    </row>
    <row r="28560" spans="45:45">
      <c r="AS28560" s="47"/>
    </row>
    <row r="28561" spans="45:45">
      <c r="AS28561" s="47"/>
    </row>
    <row r="28562" spans="45:45">
      <c r="AS28562" s="47"/>
    </row>
    <row r="28563" spans="45:45">
      <c r="AS28563" s="47"/>
    </row>
    <row r="28564" spans="45:45">
      <c r="AS28564" s="47"/>
    </row>
    <row r="28565" spans="45:45">
      <c r="AS28565" s="47"/>
    </row>
    <row r="28566" spans="45:45">
      <c r="AS28566" s="47"/>
    </row>
    <row r="28567" spans="45:45">
      <c r="AS28567" s="47"/>
    </row>
    <row r="28568" spans="45:45">
      <c r="AS28568" s="47"/>
    </row>
    <row r="28569" spans="45:45">
      <c r="AS28569" s="47"/>
    </row>
    <row r="28570" spans="45:45">
      <c r="AS28570" s="47"/>
    </row>
    <row r="28571" spans="45:45">
      <c r="AS28571" s="47"/>
    </row>
    <row r="28572" spans="45:45">
      <c r="AS28572" s="47"/>
    </row>
    <row r="28573" spans="45:45">
      <c r="AS28573" s="47"/>
    </row>
    <row r="28574" spans="45:45">
      <c r="AS28574" s="47"/>
    </row>
    <row r="28575" spans="45:45">
      <c r="AS28575" s="47"/>
    </row>
    <row r="28576" spans="45:45">
      <c r="AS28576" s="47"/>
    </row>
    <row r="28577" spans="45:45">
      <c r="AS28577" s="47"/>
    </row>
    <row r="28578" spans="45:45">
      <c r="AS28578" s="47"/>
    </row>
    <row r="28579" spans="45:45">
      <c r="AS28579" s="47"/>
    </row>
    <row r="28580" spans="45:45">
      <c r="AS28580" s="47"/>
    </row>
    <row r="28581" spans="45:45">
      <c r="AS28581" s="47"/>
    </row>
    <row r="28582" spans="45:45">
      <c r="AS28582" s="47"/>
    </row>
    <row r="28583" spans="45:45">
      <c r="AS28583" s="47"/>
    </row>
    <row r="28584" spans="45:45">
      <c r="AS28584" s="47"/>
    </row>
    <row r="28585" spans="45:45">
      <c r="AS28585" s="47"/>
    </row>
    <row r="28586" spans="45:45">
      <c r="AS28586" s="47"/>
    </row>
    <row r="28587" spans="45:45">
      <c r="AS28587" s="47"/>
    </row>
    <row r="28588" spans="45:45">
      <c r="AS28588" s="47"/>
    </row>
    <row r="28589" spans="45:45">
      <c r="AS28589" s="47"/>
    </row>
    <row r="28590" spans="45:45">
      <c r="AS28590" s="47"/>
    </row>
    <row r="28591" spans="45:45">
      <c r="AS28591" s="47"/>
    </row>
    <row r="28592" spans="45:45">
      <c r="AS28592" s="47"/>
    </row>
    <row r="28593" spans="45:45">
      <c r="AS28593" s="47"/>
    </row>
    <row r="28594" spans="45:45">
      <c r="AS28594" s="47"/>
    </row>
    <row r="28595" spans="45:45">
      <c r="AS28595" s="47"/>
    </row>
    <row r="28596" spans="45:45">
      <c r="AS28596" s="47"/>
    </row>
    <row r="28597" spans="45:45">
      <c r="AS28597" s="47"/>
    </row>
    <row r="28598" spans="45:45">
      <c r="AS28598" s="47"/>
    </row>
    <row r="28599" spans="45:45">
      <c r="AS28599" s="47"/>
    </row>
    <row r="28600" spans="45:45">
      <c r="AS28600" s="47"/>
    </row>
    <row r="28601" spans="45:45">
      <c r="AS28601" s="47"/>
    </row>
    <row r="28602" spans="45:45">
      <c r="AS28602" s="47"/>
    </row>
    <row r="28603" spans="45:45">
      <c r="AS28603" s="47"/>
    </row>
    <row r="28604" spans="45:45">
      <c r="AS28604" s="47"/>
    </row>
    <row r="28605" spans="45:45">
      <c r="AS28605" s="47"/>
    </row>
    <row r="28606" spans="45:45">
      <c r="AS28606" s="47"/>
    </row>
    <row r="28607" spans="45:45">
      <c r="AS28607" s="47"/>
    </row>
    <row r="28608" spans="45:45">
      <c r="AS28608" s="47"/>
    </row>
    <row r="28609" spans="45:45">
      <c r="AS28609" s="47"/>
    </row>
    <row r="28610" spans="45:45">
      <c r="AS28610" s="47"/>
    </row>
    <row r="28611" spans="45:45">
      <c r="AS28611" s="47"/>
    </row>
    <row r="28612" spans="45:45">
      <c r="AS28612" s="47"/>
    </row>
    <row r="28613" spans="45:45">
      <c r="AS28613" s="47"/>
    </row>
    <row r="28614" spans="45:45">
      <c r="AS28614" s="47"/>
    </row>
    <row r="28615" spans="45:45">
      <c r="AS28615" s="47"/>
    </row>
    <row r="28616" spans="45:45">
      <c r="AS28616" s="47"/>
    </row>
    <row r="28617" spans="45:45">
      <c r="AS28617" s="47"/>
    </row>
    <row r="28618" spans="45:45">
      <c r="AS28618" s="47"/>
    </row>
    <row r="28619" spans="45:45">
      <c r="AS28619" s="47"/>
    </row>
    <row r="28620" spans="45:45">
      <c r="AS28620" s="47"/>
    </row>
    <row r="28621" spans="45:45">
      <c r="AS28621" s="47"/>
    </row>
    <row r="28622" spans="45:45">
      <c r="AS28622" s="47"/>
    </row>
    <row r="28623" spans="45:45">
      <c r="AS28623" s="47"/>
    </row>
    <row r="28624" spans="45:45">
      <c r="AS28624" s="47"/>
    </row>
    <row r="28625" spans="45:45">
      <c r="AS28625" s="47"/>
    </row>
    <row r="28626" spans="45:45">
      <c r="AS28626" s="47"/>
    </row>
    <row r="28627" spans="45:45">
      <c r="AS28627" s="47"/>
    </row>
    <row r="28628" spans="45:45">
      <c r="AS28628" s="47"/>
    </row>
    <row r="28629" spans="45:45">
      <c r="AS28629" s="47"/>
    </row>
    <row r="28630" spans="45:45">
      <c r="AS28630" s="47"/>
    </row>
    <row r="28631" spans="45:45">
      <c r="AS28631" s="47"/>
    </row>
    <row r="28632" spans="45:45">
      <c r="AS28632" s="47"/>
    </row>
    <row r="28633" spans="45:45">
      <c r="AS28633" s="47"/>
    </row>
    <row r="28634" spans="45:45">
      <c r="AS28634" s="47"/>
    </row>
    <row r="28635" spans="45:45">
      <c r="AS28635" s="47"/>
    </row>
    <row r="28636" spans="45:45">
      <c r="AS28636" s="47"/>
    </row>
    <row r="28637" spans="45:45">
      <c r="AS28637" s="47"/>
    </row>
    <row r="28638" spans="45:45">
      <c r="AS28638" s="47"/>
    </row>
    <row r="28639" spans="45:45">
      <c r="AS28639" s="47"/>
    </row>
    <row r="28640" spans="45:45">
      <c r="AS28640" s="47"/>
    </row>
    <row r="28641" spans="45:45">
      <c r="AS28641" s="47"/>
    </row>
    <row r="28642" spans="45:45">
      <c r="AS28642" s="47"/>
    </row>
    <row r="28643" spans="45:45">
      <c r="AS28643" s="47"/>
    </row>
    <row r="28644" spans="45:45">
      <c r="AS28644" s="47"/>
    </row>
    <row r="28645" spans="45:45">
      <c r="AS28645" s="47"/>
    </row>
    <row r="28646" spans="45:45">
      <c r="AS28646" s="47"/>
    </row>
    <row r="28647" spans="45:45">
      <c r="AS28647" s="47"/>
    </row>
    <row r="28648" spans="45:45">
      <c r="AS28648" s="47"/>
    </row>
    <row r="28649" spans="45:45">
      <c r="AS28649" s="47"/>
    </row>
    <row r="28650" spans="45:45">
      <c r="AS28650" s="47"/>
    </row>
    <row r="28651" spans="45:45">
      <c r="AS28651" s="47"/>
    </row>
    <row r="28652" spans="45:45">
      <c r="AS28652" s="47"/>
    </row>
    <row r="28653" spans="45:45">
      <c r="AS28653" s="47"/>
    </row>
    <row r="28654" spans="45:45">
      <c r="AS28654" s="47"/>
    </row>
    <row r="28655" spans="45:45">
      <c r="AS28655" s="47"/>
    </row>
    <row r="28656" spans="45:45">
      <c r="AS28656" s="47"/>
    </row>
    <row r="28657" spans="45:45">
      <c r="AS28657" s="47"/>
    </row>
    <row r="28658" spans="45:45">
      <c r="AS28658" s="47"/>
    </row>
    <row r="28659" spans="45:45">
      <c r="AS28659" s="47"/>
    </row>
    <row r="28660" spans="45:45">
      <c r="AS28660" s="47"/>
    </row>
    <row r="28661" spans="45:45">
      <c r="AS28661" s="47"/>
    </row>
    <row r="28662" spans="45:45">
      <c r="AS28662" s="47"/>
    </row>
    <row r="28663" spans="45:45">
      <c r="AS28663" s="47"/>
    </row>
    <row r="28664" spans="45:45">
      <c r="AS28664" s="47"/>
    </row>
    <row r="28665" spans="45:45">
      <c r="AS28665" s="47"/>
    </row>
    <row r="28666" spans="45:45">
      <c r="AS28666" s="47"/>
    </row>
    <row r="28667" spans="45:45">
      <c r="AS28667" s="47"/>
    </row>
    <row r="28668" spans="45:45">
      <c r="AS28668" s="47"/>
    </row>
    <row r="28669" spans="45:45">
      <c r="AS28669" s="47"/>
    </row>
    <row r="28670" spans="45:45">
      <c r="AS28670" s="47"/>
    </row>
    <row r="28671" spans="45:45">
      <c r="AS28671" s="47"/>
    </row>
    <row r="28672" spans="45:45">
      <c r="AS28672" s="47"/>
    </row>
    <row r="28673" spans="45:45">
      <c r="AS28673" s="47"/>
    </row>
    <row r="28674" spans="45:45">
      <c r="AS28674" s="47"/>
    </row>
    <row r="28675" spans="45:45">
      <c r="AS28675" s="47"/>
    </row>
    <row r="28676" spans="45:45">
      <c r="AS28676" s="47"/>
    </row>
    <row r="28677" spans="45:45">
      <c r="AS28677" s="47"/>
    </row>
    <row r="28678" spans="45:45">
      <c r="AS28678" s="47"/>
    </row>
    <row r="28679" spans="45:45">
      <c r="AS28679" s="47"/>
    </row>
    <row r="28680" spans="45:45">
      <c r="AS28680" s="47"/>
    </row>
    <row r="28681" spans="45:45">
      <c r="AS28681" s="47"/>
    </row>
    <row r="28682" spans="45:45">
      <c r="AS28682" s="47"/>
    </row>
    <row r="28683" spans="45:45">
      <c r="AS28683" s="47"/>
    </row>
    <row r="28684" spans="45:45">
      <c r="AS28684" s="47"/>
    </row>
    <row r="28685" spans="45:45">
      <c r="AS28685" s="47"/>
    </row>
    <row r="28686" spans="45:45">
      <c r="AS28686" s="47"/>
    </row>
    <row r="28687" spans="45:45">
      <c r="AS28687" s="47"/>
    </row>
    <row r="28688" spans="45:45">
      <c r="AS28688" s="47"/>
    </row>
    <row r="28689" spans="45:45">
      <c r="AS28689" s="47"/>
    </row>
    <row r="28690" spans="45:45">
      <c r="AS28690" s="47"/>
    </row>
    <row r="28691" spans="45:45">
      <c r="AS28691" s="47"/>
    </row>
    <row r="28692" spans="45:45">
      <c r="AS28692" s="47"/>
    </row>
    <row r="28693" spans="45:45">
      <c r="AS28693" s="47"/>
    </row>
    <row r="28694" spans="45:45">
      <c r="AS28694" s="47"/>
    </row>
    <row r="28695" spans="45:45">
      <c r="AS28695" s="47"/>
    </row>
    <row r="28696" spans="45:45">
      <c r="AS28696" s="47"/>
    </row>
    <row r="28697" spans="45:45">
      <c r="AS28697" s="47"/>
    </row>
    <row r="28698" spans="45:45">
      <c r="AS28698" s="47"/>
    </row>
    <row r="28699" spans="45:45">
      <c r="AS28699" s="47"/>
    </row>
    <row r="28700" spans="45:45">
      <c r="AS28700" s="47"/>
    </row>
    <row r="28701" spans="45:45">
      <c r="AS28701" s="47"/>
    </row>
    <row r="28702" spans="45:45">
      <c r="AS28702" s="47"/>
    </row>
    <row r="28703" spans="45:45">
      <c r="AS28703" s="47"/>
    </row>
    <row r="28704" spans="45:45">
      <c r="AS28704" s="47"/>
    </row>
    <row r="28705" spans="45:45">
      <c r="AS28705" s="47"/>
    </row>
    <row r="28706" spans="45:45">
      <c r="AS28706" s="47"/>
    </row>
    <row r="28707" spans="45:45">
      <c r="AS28707" s="47"/>
    </row>
    <row r="28708" spans="45:45">
      <c r="AS28708" s="47"/>
    </row>
    <row r="28709" spans="45:45">
      <c r="AS28709" s="47"/>
    </row>
    <row r="28710" spans="45:45">
      <c r="AS28710" s="47"/>
    </row>
    <row r="28711" spans="45:45">
      <c r="AS28711" s="47"/>
    </row>
    <row r="28712" spans="45:45">
      <c r="AS28712" s="47"/>
    </row>
    <row r="28713" spans="45:45">
      <c r="AS28713" s="47"/>
    </row>
    <row r="28714" spans="45:45">
      <c r="AS28714" s="47"/>
    </row>
    <row r="28715" spans="45:45">
      <c r="AS28715" s="47"/>
    </row>
    <row r="28716" spans="45:45">
      <c r="AS28716" s="47"/>
    </row>
    <row r="28717" spans="45:45">
      <c r="AS28717" s="47"/>
    </row>
    <row r="28718" spans="45:45">
      <c r="AS28718" s="47"/>
    </row>
    <row r="28719" spans="45:45">
      <c r="AS28719" s="47"/>
    </row>
    <row r="28720" spans="45:45">
      <c r="AS28720" s="47"/>
    </row>
    <row r="28721" spans="45:45">
      <c r="AS28721" s="47"/>
    </row>
    <row r="28722" spans="45:45">
      <c r="AS28722" s="47"/>
    </row>
    <row r="28723" spans="45:45">
      <c r="AS28723" s="47"/>
    </row>
    <row r="28724" spans="45:45">
      <c r="AS28724" s="47"/>
    </row>
    <row r="28725" spans="45:45">
      <c r="AS28725" s="47"/>
    </row>
    <row r="28726" spans="45:45">
      <c r="AS28726" s="47"/>
    </row>
    <row r="28727" spans="45:45">
      <c r="AS28727" s="47"/>
    </row>
    <row r="28728" spans="45:45">
      <c r="AS28728" s="47"/>
    </row>
    <row r="28729" spans="45:45">
      <c r="AS28729" s="47"/>
    </row>
    <row r="28730" spans="45:45">
      <c r="AS28730" s="47"/>
    </row>
    <row r="28731" spans="45:45">
      <c r="AS28731" s="47"/>
    </row>
    <row r="28732" spans="45:45">
      <c r="AS28732" s="47"/>
    </row>
    <row r="28733" spans="45:45">
      <c r="AS28733" s="47"/>
    </row>
    <row r="28734" spans="45:45">
      <c r="AS28734" s="47"/>
    </row>
    <row r="28735" spans="45:45">
      <c r="AS28735" s="47"/>
    </row>
    <row r="28736" spans="45:45">
      <c r="AS28736" s="47"/>
    </row>
    <row r="28737" spans="45:45">
      <c r="AS28737" s="47"/>
    </row>
    <row r="28738" spans="45:45">
      <c r="AS28738" s="47"/>
    </row>
    <row r="28739" spans="45:45">
      <c r="AS28739" s="47"/>
    </row>
    <row r="28740" spans="45:45">
      <c r="AS28740" s="47"/>
    </row>
    <row r="28741" spans="45:45">
      <c r="AS28741" s="47"/>
    </row>
    <row r="28742" spans="45:45">
      <c r="AS28742" s="47"/>
    </row>
    <row r="28743" spans="45:45">
      <c r="AS28743" s="47"/>
    </row>
    <row r="28744" spans="45:45">
      <c r="AS28744" s="47"/>
    </row>
    <row r="28745" spans="45:45">
      <c r="AS28745" s="47"/>
    </row>
    <row r="28746" spans="45:45">
      <c r="AS28746" s="47"/>
    </row>
    <row r="28747" spans="45:45">
      <c r="AS28747" s="47"/>
    </row>
    <row r="28748" spans="45:45">
      <c r="AS28748" s="47"/>
    </row>
    <row r="28749" spans="45:45">
      <c r="AS28749" s="47"/>
    </row>
    <row r="28750" spans="45:45">
      <c r="AS28750" s="47"/>
    </row>
    <row r="28751" spans="45:45">
      <c r="AS28751" s="47"/>
    </row>
    <row r="28752" spans="45:45">
      <c r="AS28752" s="47"/>
    </row>
    <row r="28753" spans="45:45">
      <c r="AS28753" s="47"/>
    </row>
    <row r="28754" spans="45:45">
      <c r="AS28754" s="47"/>
    </row>
    <row r="28755" spans="45:45">
      <c r="AS28755" s="47"/>
    </row>
    <row r="28756" spans="45:45">
      <c r="AS28756" s="47"/>
    </row>
    <row r="28757" spans="45:45">
      <c r="AS28757" s="47"/>
    </row>
    <row r="28758" spans="45:45">
      <c r="AS28758" s="47"/>
    </row>
    <row r="28759" spans="45:45">
      <c r="AS28759" s="47"/>
    </row>
    <row r="28760" spans="45:45">
      <c r="AS28760" s="47"/>
    </row>
    <row r="28761" spans="45:45">
      <c r="AS28761" s="47"/>
    </row>
    <row r="28762" spans="45:45">
      <c r="AS28762" s="47"/>
    </row>
    <row r="28763" spans="45:45">
      <c r="AS28763" s="47"/>
    </row>
    <row r="28764" spans="45:45">
      <c r="AS28764" s="47"/>
    </row>
    <row r="28765" spans="45:45">
      <c r="AS28765" s="47"/>
    </row>
    <row r="28766" spans="45:45">
      <c r="AS28766" s="47"/>
    </row>
    <row r="28767" spans="45:45">
      <c r="AS28767" s="47"/>
    </row>
    <row r="28768" spans="45:45">
      <c r="AS28768" s="47"/>
    </row>
    <row r="28769" spans="45:45">
      <c r="AS28769" s="47"/>
    </row>
    <row r="28770" spans="45:45">
      <c r="AS28770" s="47"/>
    </row>
    <row r="28771" spans="45:45">
      <c r="AS28771" s="47"/>
    </row>
    <row r="28772" spans="45:45">
      <c r="AS28772" s="47"/>
    </row>
    <row r="28773" spans="45:45">
      <c r="AS28773" s="47"/>
    </row>
    <row r="28774" spans="45:45">
      <c r="AS28774" s="47"/>
    </row>
    <row r="28775" spans="45:45">
      <c r="AS28775" s="47"/>
    </row>
    <row r="28776" spans="45:45">
      <c r="AS28776" s="47"/>
    </row>
    <row r="28777" spans="45:45">
      <c r="AS28777" s="47"/>
    </row>
    <row r="28778" spans="45:45">
      <c r="AS28778" s="47"/>
    </row>
    <row r="28779" spans="45:45">
      <c r="AS28779" s="47"/>
    </row>
    <row r="28780" spans="45:45">
      <c r="AS28780" s="47"/>
    </row>
    <row r="28781" spans="45:45">
      <c r="AS28781" s="47"/>
    </row>
    <row r="28782" spans="45:45">
      <c r="AS28782" s="47"/>
    </row>
    <row r="28783" spans="45:45">
      <c r="AS28783" s="47"/>
    </row>
    <row r="28784" spans="45:45">
      <c r="AS28784" s="47"/>
    </row>
    <row r="28785" spans="45:45">
      <c r="AS28785" s="47"/>
    </row>
    <row r="28786" spans="45:45">
      <c r="AS28786" s="47"/>
    </row>
    <row r="28787" spans="45:45">
      <c r="AS28787" s="47"/>
    </row>
    <row r="28788" spans="45:45">
      <c r="AS28788" s="47"/>
    </row>
    <row r="28789" spans="45:45">
      <c r="AS28789" s="47"/>
    </row>
    <row r="28790" spans="45:45">
      <c r="AS28790" s="47"/>
    </row>
    <row r="28791" spans="45:45">
      <c r="AS28791" s="47"/>
    </row>
    <row r="28792" spans="45:45">
      <c r="AS28792" s="47"/>
    </row>
    <row r="28793" spans="45:45">
      <c r="AS28793" s="47"/>
    </row>
    <row r="28794" spans="45:45">
      <c r="AS28794" s="47"/>
    </row>
    <row r="28795" spans="45:45">
      <c r="AS28795" s="47"/>
    </row>
    <row r="28796" spans="45:45">
      <c r="AS28796" s="47"/>
    </row>
    <row r="28797" spans="45:45">
      <c r="AS28797" s="47"/>
    </row>
    <row r="28798" spans="45:45">
      <c r="AS28798" s="47"/>
    </row>
    <row r="28799" spans="45:45">
      <c r="AS28799" s="47"/>
    </row>
    <row r="28800" spans="45:45">
      <c r="AS28800" s="47"/>
    </row>
    <row r="28801" spans="45:45">
      <c r="AS28801" s="47"/>
    </row>
    <row r="28802" spans="45:45">
      <c r="AS28802" s="47"/>
    </row>
    <row r="28803" spans="45:45">
      <c r="AS28803" s="47"/>
    </row>
    <row r="28804" spans="45:45">
      <c r="AS28804" s="47"/>
    </row>
    <row r="28805" spans="45:45">
      <c r="AS28805" s="47"/>
    </row>
    <row r="28806" spans="45:45">
      <c r="AS28806" s="47"/>
    </row>
    <row r="28807" spans="45:45">
      <c r="AS28807" s="47"/>
    </row>
    <row r="28808" spans="45:45">
      <c r="AS28808" s="47"/>
    </row>
    <row r="28809" spans="45:45">
      <c r="AS28809" s="47"/>
    </row>
    <row r="28810" spans="45:45">
      <c r="AS28810" s="47"/>
    </row>
    <row r="28811" spans="45:45">
      <c r="AS28811" s="47"/>
    </row>
    <row r="28812" spans="45:45">
      <c r="AS28812" s="47"/>
    </row>
    <row r="28813" spans="45:45">
      <c r="AS28813" s="47"/>
    </row>
    <row r="28814" spans="45:45">
      <c r="AS28814" s="47"/>
    </row>
    <row r="28815" spans="45:45">
      <c r="AS28815" s="47"/>
    </row>
    <row r="28816" spans="45:45">
      <c r="AS28816" s="47"/>
    </row>
    <row r="28817" spans="45:45">
      <c r="AS28817" s="47"/>
    </row>
    <row r="28818" spans="45:45">
      <c r="AS28818" s="47"/>
    </row>
    <row r="28819" spans="45:45">
      <c r="AS28819" s="47"/>
    </row>
    <row r="28820" spans="45:45">
      <c r="AS28820" s="47"/>
    </row>
    <row r="28821" spans="45:45">
      <c r="AS28821" s="47"/>
    </row>
    <row r="28822" spans="45:45">
      <c r="AS28822" s="47"/>
    </row>
    <row r="28823" spans="45:45">
      <c r="AS28823" s="47"/>
    </row>
    <row r="28824" spans="45:45">
      <c r="AS28824" s="47"/>
    </row>
    <row r="28825" spans="45:45">
      <c r="AS28825" s="47"/>
    </row>
    <row r="28826" spans="45:45">
      <c r="AS28826" s="47"/>
    </row>
    <row r="28827" spans="45:45">
      <c r="AS28827" s="47"/>
    </row>
    <row r="28828" spans="45:45">
      <c r="AS28828" s="47"/>
    </row>
    <row r="28829" spans="45:45">
      <c r="AS28829" s="47"/>
    </row>
    <row r="28830" spans="45:45">
      <c r="AS28830" s="47"/>
    </row>
    <row r="28831" spans="45:45">
      <c r="AS28831" s="47"/>
    </row>
    <row r="28832" spans="45:45">
      <c r="AS28832" s="47"/>
    </row>
    <row r="28833" spans="45:45">
      <c r="AS28833" s="47"/>
    </row>
    <row r="28834" spans="45:45">
      <c r="AS28834" s="47"/>
    </row>
    <row r="28835" spans="45:45">
      <c r="AS28835" s="47"/>
    </row>
    <row r="28836" spans="45:45">
      <c r="AS28836" s="47"/>
    </row>
    <row r="28837" spans="45:45">
      <c r="AS28837" s="47"/>
    </row>
    <row r="28838" spans="45:45">
      <c r="AS28838" s="47"/>
    </row>
    <row r="28839" spans="45:45">
      <c r="AS28839" s="47"/>
    </row>
    <row r="28840" spans="45:45">
      <c r="AS28840" s="47"/>
    </row>
    <row r="28841" spans="45:45">
      <c r="AS28841" s="47"/>
    </row>
    <row r="28842" spans="45:45">
      <c r="AS28842" s="47"/>
    </row>
    <row r="28843" spans="45:45">
      <c r="AS28843" s="47"/>
    </row>
    <row r="28844" spans="45:45">
      <c r="AS28844" s="47"/>
    </row>
    <row r="28845" spans="45:45">
      <c r="AS28845" s="47"/>
    </row>
    <row r="28846" spans="45:45">
      <c r="AS28846" s="47"/>
    </row>
    <row r="28847" spans="45:45">
      <c r="AS28847" s="47"/>
    </row>
    <row r="28848" spans="45:45">
      <c r="AS28848" s="47"/>
    </row>
    <row r="28849" spans="45:45">
      <c r="AS28849" s="47"/>
    </row>
    <row r="28850" spans="45:45">
      <c r="AS28850" s="47"/>
    </row>
    <row r="28851" spans="45:45">
      <c r="AS28851" s="47"/>
    </row>
    <row r="28852" spans="45:45">
      <c r="AS28852" s="47"/>
    </row>
    <row r="28853" spans="45:45">
      <c r="AS28853" s="47"/>
    </row>
    <row r="28854" spans="45:45">
      <c r="AS28854" s="47"/>
    </row>
    <row r="28855" spans="45:45">
      <c r="AS28855" s="47"/>
    </row>
    <row r="28856" spans="45:45">
      <c r="AS28856" s="47"/>
    </row>
    <row r="28857" spans="45:45">
      <c r="AS28857" s="47"/>
    </row>
    <row r="28858" spans="45:45">
      <c r="AS28858" s="47"/>
    </row>
    <row r="28859" spans="45:45">
      <c r="AS28859" s="47"/>
    </row>
    <row r="28860" spans="45:45">
      <c r="AS28860" s="47"/>
    </row>
    <row r="28861" spans="45:45">
      <c r="AS28861" s="47"/>
    </row>
    <row r="28862" spans="45:45">
      <c r="AS28862" s="47"/>
    </row>
    <row r="28863" spans="45:45">
      <c r="AS28863" s="47"/>
    </row>
    <row r="28864" spans="45:45">
      <c r="AS28864" s="47"/>
    </row>
    <row r="28865" spans="45:45">
      <c r="AS28865" s="47"/>
    </row>
    <row r="28866" spans="45:45">
      <c r="AS28866" s="47"/>
    </row>
    <row r="28867" spans="45:45">
      <c r="AS28867" s="47"/>
    </row>
    <row r="28868" spans="45:45">
      <c r="AS28868" s="47"/>
    </row>
    <row r="28869" spans="45:45">
      <c r="AS28869" s="47"/>
    </row>
    <row r="28870" spans="45:45">
      <c r="AS28870" s="47"/>
    </row>
    <row r="28871" spans="45:45">
      <c r="AS28871" s="47"/>
    </row>
    <row r="28872" spans="45:45">
      <c r="AS28872" s="47"/>
    </row>
    <row r="28873" spans="45:45">
      <c r="AS28873" s="47"/>
    </row>
    <row r="28874" spans="45:45">
      <c r="AS28874" s="47"/>
    </row>
    <row r="28875" spans="45:45">
      <c r="AS28875" s="47"/>
    </row>
    <row r="28876" spans="45:45">
      <c r="AS28876" s="47"/>
    </row>
    <row r="28877" spans="45:45">
      <c r="AS28877" s="47"/>
    </row>
    <row r="28878" spans="45:45">
      <c r="AS28878" s="47"/>
    </row>
    <row r="28879" spans="45:45">
      <c r="AS28879" s="47"/>
    </row>
    <row r="28880" spans="45:45">
      <c r="AS28880" s="47"/>
    </row>
    <row r="28881" spans="45:45">
      <c r="AS28881" s="47"/>
    </row>
    <row r="28882" spans="45:45">
      <c r="AS28882" s="47"/>
    </row>
    <row r="28883" spans="45:45">
      <c r="AS28883" s="47"/>
    </row>
    <row r="28884" spans="45:45">
      <c r="AS28884" s="47"/>
    </row>
    <row r="28885" spans="45:45">
      <c r="AS28885" s="47"/>
    </row>
    <row r="28886" spans="45:45">
      <c r="AS28886" s="47"/>
    </row>
    <row r="28887" spans="45:45">
      <c r="AS28887" s="47"/>
    </row>
    <row r="28888" spans="45:45">
      <c r="AS28888" s="47"/>
    </row>
    <row r="28889" spans="45:45">
      <c r="AS28889" s="47"/>
    </row>
    <row r="28890" spans="45:45">
      <c r="AS28890" s="47"/>
    </row>
    <row r="28891" spans="45:45">
      <c r="AS28891" s="47"/>
    </row>
    <row r="28892" spans="45:45">
      <c r="AS28892" s="47"/>
    </row>
    <row r="28893" spans="45:45">
      <c r="AS28893" s="47"/>
    </row>
    <row r="28894" spans="45:45">
      <c r="AS28894" s="47"/>
    </row>
    <row r="28895" spans="45:45">
      <c r="AS28895" s="47"/>
    </row>
    <row r="28896" spans="45:45">
      <c r="AS28896" s="47"/>
    </row>
    <row r="28897" spans="45:45">
      <c r="AS28897" s="47"/>
    </row>
    <row r="28898" spans="45:45">
      <c r="AS28898" s="47"/>
    </row>
    <row r="28899" spans="45:45">
      <c r="AS28899" s="47"/>
    </row>
    <row r="28900" spans="45:45">
      <c r="AS28900" s="47"/>
    </row>
    <row r="28901" spans="45:45">
      <c r="AS28901" s="47"/>
    </row>
    <row r="28902" spans="45:45">
      <c r="AS28902" s="47"/>
    </row>
    <row r="28903" spans="45:45">
      <c r="AS28903" s="47"/>
    </row>
    <row r="28904" spans="45:45">
      <c r="AS28904" s="47"/>
    </row>
    <row r="28905" spans="45:45">
      <c r="AS28905" s="47"/>
    </row>
    <row r="28906" spans="45:45">
      <c r="AS28906" s="47"/>
    </row>
    <row r="28907" spans="45:45">
      <c r="AS28907" s="47"/>
    </row>
    <row r="28908" spans="45:45">
      <c r="AS28908" s="47"/>
    </row>
    <row r="28909" spans="45:45">
      <c r="AS28909" s="47"/>
    </row>
    <row r="28910" spans="45:45">
      <c r="AS28910" s="47"/>
    </row>
    <row r="28911" spans="45:45">
      <c r="AS28911" s="47"/>
    </row>
    <row r="28912" spans="45:45">
      <c r="AS28912" s="47"/>
    </row>
    <row r="28913" spans="45:45">
      <c r="AS28913" s="47"/>
    </row>
    <row r="28914" spans="45:45">
      <c r="AS28914" s="47"/>
    </row>
    <row r="28915" spans="45:45">
      <c r="AS28915" s="47"/>
    </row>
    <row r="28916" spans="45:45">
      <c r="AS28916" s="47"/>
    </row>
    <row r="28917" spans="45:45">
      <c r="AS28917" s="47"/>
    </row>
    <row r="28918" spans="45:45">
      <c r="AS28918" s="47"/>
    </row>
    <row r="28919" spans="45:45">
      <c r="AS28919" s="47"/>
    </row>
    <row r="28920" spans="45:45">
      <c r="AS28920" s="47"/>
    </row>
    <row r="28921" spans="45:45">
      <c r="AS28921" s="47"/>
    </row>
    <row r="28922" spans="45:45">
      <c r="AS28922" s="47"/>
    </row>
    <row r="28923" spans="45:45">
      <c r="AS28923" s="47"/>
    </row>
    <row r="28924" spans="45:45">
      <c r="AS28924" s="47"/>
    </row>
    <row r="28925" spans="45:45">
      <c r="AS28925" s="47"/>
    </row>
    <row r="28926" spans="45:45">
      <c r="AS28926" s="47"/>
    </row>
    <row r="28927" spans="45:45">
      <c r="AS28927" s="47"/>
    </row>
    <row r="28928" spans="45:45">
      <c r="AS28928" s="47"/>
    </row>
    <row r="28929" spans="45:45">
      <c r="AS28929" s="47"/>
    </row>
    <row r="28930" spans="45:45">
      <c r="AS28930" s="47"/>
    </row>
    <row r="28931" spans="45:45">
      <c r="AS28931" s="47"/>
    </row>
    <row r="28932" spans="45:45">
      <c r="AS28932" s="47"/>
    </row>
    <row r="28933" spans="45:45">
      <c r="AS28933" s="47"/>
    </row>
    <row r="28934" spans="45:45">
      <c r="AS28934" s="47"/>
    </row>
    <row r="28935" spans="45:45">
      <c r="AS28935" s="47"/>
    </row>
    <row r="28936" spans="45:45">
      <c r="AS28936" s="47"/>
    </row>
    <row r="28937" spans="45:45">
      <c r="AS28937" s="47"/>
    </row>
    <row r="28938" spans="45:45">
      <c r="AS28938" s="47"/>
    </row>
    <row r="28939" spans="45:45">
      <c r="AS28939" s="47"/>
    </row>
    <row r="28940" spans="45:45">
      <c r="AS28940" s="47"/>
    </row>
    <row r="28941" spans="45:45">
      <c r="AS28941" s="47"/>
    </row>
    <row r="28942" spans="45:45">
      <c r="AS28942" s="47"/>
    </row>
    <row r="28943" spans="45:45">
      <c r="AS28943" s="47"/>
    </row>
    <row r="28944" spans="45:45">
      <c r="AS28944" s="47"/>
    </row>
    <row r="28945" spans="45:45">
      <c r="AS28945" s="47"/>
    </row>
    <row r="28946" spans="45:45">
      <c r="AS28946" s="47"/>
    </row>
    <row r="28947" spans="45:45">
      <c r="AS28947" s="47"/>
    </row>
    <row r="28948" spans="45:45">
      <c r="AS28948" s="47"/>
    </row>
    <row r="28949" spans="45:45">
      <c r="AS28949" s="47"/>
    </row>
    <row r="28950" spans="45:45">
      <c r="AS28950" s="47"/>
    </row>
    <row r="28951" spans="45:45">
      <c r="AS28951" s="47"/>
    </row>
    <row r="28952" spans="45:45">
      <c r="AS28952" s="47"/>
    </row>
    <row r="28953" spans="45:45">
      <c r="AS28953" s="47"/>
    </row>
    <row r="28954" spans="45:45">
      <c r="AS28954" s="47"/>
    </row>
    <row r="28955" spans="45:45">
      <c r="AS28955" s="47"/>
    </row>
    <row r="28956" spans="45:45">
      <c r="AS28956" s="47"/>
    </row>
    <row r="28957" spans="45:45">
      <c r="AS28957" s="47"/>
    </row>
    <row r="28958" spans="45:45">
      <c r="AS28958" s="47"/>
    </row>
    <row r="28959" spans="45:45">
      <c r="AS28959" s="47"/>
    </row>
    <row r="28960" spans="45:45">
      <c r="AS28960" s="47"/>
    </row>
    <row r="28961" spans="45:45">
      <c r="AS28961" s="47"/>
    </row>
    <row r="28962" spans="45:45">
      <c r="AS28962" s="47"/>
    </row>
    <row r="28963" spans="45:45">
      <c r="AS28963" s="47"/>
    </row>
    <row r="28964" spans="45:45">
      <c r="AS28964" s="47"/>
    </row>
    <row r="28965" spans="45:45">
      <c r="AS28965" s="47"/>
    </row>
    <row r="28966" spans="45:45">
      <c r="AS28966" s="47"/>
    </row>
    <row r="28967" spans="45:45">
      <c r="AS28967" s="47"/>
    </row>
    <row r="28968" spans="45:45">
      <c r="AS28968" s="47"/>
    </row>
    <row r="28969" spans="45:45">
      <c r="AS28969" s="47"/>
    </row>
    <row r="28970" spans="45:45">
      <c r="AS28970" s="47"/>
    </row>
    <row r="28971" spans="45:45">
      <c r="AS28971" s="47"/>
    </row>
    <row r="28972" spans="45:45">
      <c r="AS28972" s="47"/>
    </row>
    <row r="28973" spans="45:45">
      <c r="AS28973" s="47"/>
    </row>
    <row r="28974" spans="45:45">
      <c r="AS28974" s="47"/>
    </row>
    <row r="28975" spans="45:45">
      <c r="AS28975" s="47"/>
    </row>
    <row r="28976" spans="45:45">
      <c r="AS28976" s="47"/>
    </row>
    <row r="28977" spans="45:45">
      <c r="AS28977" s="47"/>
    </row>
    <row r="28978" spans="45:45">
      <c r="AS28978" s="47"/>
    </row>
    <row r="28979" spans="45:45">
      <c r="AS28979" s="47"/>
    </row>
    <row r="28980" spans="45:45">
      <c r="AS28980" s="47"/>
    </row>
    <row r="28981" spans="45:45">
      <c r="AS28981" s="47"/>
    </row>
    <row r="28982" spans="45:45">
      <c r="AS28982" s="47"/>
    </row>
    <row r="28983" spans="45:45">
      <c r="AS28983" s="47"/>
    </row>
    <row r="28984" spans="45:45">
      <c r="AS28984" s="47"/>
    </row>
    <row r="28985" spans="45:45">
      <c r="AS28985" s="47"/>
    </row>
    <row r="28986" spans="45:45">
      <c r="AS28986" s="47"/>
    </row>
    <row r="28987" spans="45:45">
      <c r="AS28987" s="47"/>
    </row>
    <row r="28988" spans="45:45">
      <c r="AS28988" s="47"/>
    </row>
    <row r="28989" spans="45:45">
      <c r="AS28989" s="47"/>
    </row>
    <row r="28990" spans="45:45">
      <c r="AS28990" s="47"/>
    </row>
    <row r="28991" spans="45:45">
      <c r="AS28991" s="47"/>
    </row>
    <row r="28992" spans="45:45">
      <c r="AS28992" s="47"/>
    </row>
    <row r="28993" spans="45:45">
      <c r="AS28993" s="47"/>
    </row>
    <row r="28994" spans="45:45">
      <c r="AS28994" s="47"/>
    </row>
    <row r="28995" spans="45:45">
      <c r="AS28995" s="47"/>
    </row>
    <row r="28996" spans="45:45">
      <c r="AS28996" s="47"/>
    </row>
    <row r="28997" spans="45:45">
      <c r="AS28997" s="47"/>
    </row>
    <row r="28998" spans="45:45">
      <c r="AS28998" s="47"/>
    </row>
    <row r="28999" spans="45:45">
      <c r="AS28999" s="47"/>
    </row>
    <row r="29000" spans="45:45">
      <c r="AS29000" s="47"/>
    </row>
    <row r="29001" spans="45:45">
      <c r="AS29001" s="47"/>
    </row>
    <row r="29002" spans="45:45">
      <c r="AS29002" s="47"/>
    </row>
    <row r="29003" spans="45:45">
      <c r="AS29003" s="47"/>
    </row>
    <row r="29004" spans="45:45">
      <c r="AS29004" s="47"/>
    </row>
    <row r="29005" spans="45:45">
      <c r="AS29005" s="47"/>
    </row>
    <row r="29006" spans="45:45">
      <c r="AS29006" s="47"/>
    </row>
    <row r="29007" spans="45:45">
      <c r="AS29007" s="47"/>
    </row>
    <row r="29008" spans="45:45">
      <c r="AS29008" s="47"/>
    </row>
    <row r="29009" spans="45:45">
      <c r="AS29009" s="47"/>
    </row>
    <row r="29010" spans="45:45">
      <c r="AS29010" s="47"/>
    </row>
    <row r="29011" spans="45:45">
      <c r="AS29011" s="47"/>
    </row>
    <row r="29012" spans="45:45">
      <c r="AS29012" s="47"/>
    </row>
    <row r="29013" spans="45:45">
      <c r="AS29013" s="47"/>
    </row>
    <row r="29014" spans="45:45">
      <c r="AS29014" s="47"/>
    </row>
    <row r="29015" spans="45:45">
      <c r="AS29015" s="47"/>
    </row>
    <row r="29016" spans="45:45">
      <c r="AS29016" s="47"/>
    </row>
    <row r="29017" spans="45:45">
      <c r="AS29017" s="47"/>
    </row>
    <row r="29018" spans="45:45">
      <c r="AS29018" s="47"/>
    </row>
    <row r="29019" spans="45:45">
      <c r="AS29019" s="47"/>
    </row>
    <row r="29020" spans="45:45">
      <c r="AS29020" s="47"/>
    </row>
    <row r="29021" spans="45:45">
      <c r="AS29021" s="47"/>
    </row>
    <row r="29022" spans="45:45">
      <c r="AS29022" s="47"/>
    </row>
    <row r="29023" spans="45:45">
      <c r="AS29023" s="47"/>
    </row>
    <row r="29024" spans="45:45">
      <c r="AS29024" s="47"/>
    </row>
    <row r="29025" spans="45:45">
      <c r="AS29025" s="47"/>
    </row>
    <row r="29026" spans="45:45">
      <c r="AS29026" s="47"/>
    </row>
    <row r="29027" spans="45:45">
      <c r="AS29027" s="47"/>
    </row>
    <row r="29028" spans="45:45">
      <c r="AS29028" s="47"/>
    </row>
    <row r="29029" spans="45:45">
      <c r="AS29029" s="47"/>
    </row>
    <row r="29030" spans="45:45">
      <c r="AS29030" s="47"/>
    </row>
    <row r="29031" spans="45:45">
      <c r="AS29031" s="47"/>
    </row>
    <row r="29032" spans="45:45">
      <c r="AS29032" s="47"/>
    </row>
    <row r="29033" spans="45:45">
      <c r="AS29033" s="47"/>
    </row>
    <row r="29034" spans="45:45">
      <c r="AS29034" s="47"/>
    </row>
    <row r="29035" spans="45:45">
      <c r="AS29035" s="47"/>
    </row>
    <row r="29036" spans="45:45">
      <c r="AS29036" s="47"/>
    </row>
    <row r="29037" spans="45:45">
      <c r="AS29037" s="47"/>
    </row>
    <row r="29038" spans="45:45">
      <c r="AS29038" s="47"/>
    </row>
    <row r="29039" spans="45:45">
      <c r="AS29039" s="47"/>
    </row>
    <row r="29040" spans="45:45">
      <c r="AS29040" s="47"/>
    </row>
    <row r="29041" spans="45:45">
      <c r="AS29041" s="47"/>
    </row>
    <row r="29042" spans="45:45">
      <c r="AS29042" s="47"/>
    </row>
    <row r="29043" spans="45:45">
      <c r="AS29043" s="47"/>
    </row>
    <row r="29044" spans="45:45">
      <c r="AS29044" s="47"/>
    </row>
    <row r="29045" spans="45:45">
      <c r="AS29045" s="47"/>
    </row>
    <row r="29046" spans="45:45">
      <c r="AS29046" s="47"/>
    </row>
    <row r="29047" spans="45:45">
      <c r="AS29047" s="47"/>
    </row>
    <row r="29048" spans="45:45">
      <c r="AS29048" s="47"/>
    </row>
    <row r="29049" spans="45:45">
      <c r="AS29049" s="47"/>
    </row>
    <row r="29050" spans="45:45">
      <c r="AS29050" s="47"/>
    </row>
    <row r="29051" spans="45:45">
      <c r="AS29051" s="47"/>
    </row>
    <row r="29052" spans="45:45">
      <c r="AS29052" s="47"/>
    </row>
    <row r="29053" spans="45:45">
      <c r="AS29053" s="47"/>
    </row>
    <row r="29054" spans="45:45">
      <c r="AS29054" s="47"/>
    </row>
    <row r="29055" spans="45:45">
      <c r="AS29055" s="47"/>
    </row>
    <row r="29056" spans="45:45">
      <c r="AS29056" s="47"/>
    </row>
    <row r="29057" spans="45:45">
      <c r="AS29057" s="47"/>
    </row>
    <row r="29058" spans="45:45">
      <c r="AS29058" s="47"/>
    </row>
    <row r="29059" spans="45:45">
      <c r="AS29059" s="47"/>
    </row>
    <row r="29060" spans="45:45">
      <c r="AS29060" s="47"/>
    </row>
    <row r="29061" spans="45:45">
      <c r="AS29061" s="47"/>
    </row>
    <row r="29062" spans="45:45">
      <c r="AS29062" s="47"/>
    </row>
    <row r="29063" spans="45:45">
      <c r="AS29063" s="47"/>
    </row>
    <row r="29064" spans="45:45">
      <c r="AS29064" s="47"/>
    </row>
    <row r="29065" spans="45:45">
      <c r="AS29065" s="47"/>
    </row>
    <row r="29066" spans="45:45">
      <c r="AS29066" s="47"/>
    </row>
    <row r="29067" spans="45:45">
      <c r="AS29067" s="47"/>
    </row>
    <row r="29068" spans="45:45">
      <c r="AS29068" s="47"/>
    </row>
    <row r="29069" spans="45:45">
      <c r="AS29069" s="47"/>
    </row>
    <row r="29070" spans="45:45">
      <c r="AS29070" s="47"/>
    </row>
    <row r="29071" spans="45:45">
      <c r="AS29071" s="47"/>
    </row>
    <row r="29072" spans="45:45">
      <c r="AS29072" s="47"/>
    </row>
    <row r="29073" spans="45:45">
      <c r="AS29073" s="47"/>
    </row>
    <row r="29074" spans="45:45">
      <c r="AS29074" s="47"/>
    </row>
    <row r="29075" spans="45:45">
      <c r="AS29075" s="47"/>
    </row>
    <row r="29076" spans="45:45">
      <c r="AS29076" s="47"/>
    </row>
    <row r="29077" spans="45:45">
      <c r="AS29077" s="47"/>
    </row>
    <row r="29078" spans="45:45">
      <c r="AS29078" s="47"/>
    </row>
    <row r="29079" spans="45:45">
      <c r="AS29079" s="47"/>
    </row>
    <row r="29080" spans="45:45">
      <c r="AS29080" s="47"/>
    </row>
    <row r="29081" spans="45:45">
      <c r="AS29081" s="47"/>
    </row>
    <row r="29082" spans="45:45">
      <c r="AS29082" s="47"/>
    </row>
    <row r="29083" spans="45:45">
      <c r="AS29083" s="47"/>
    </row>
    <row r="29084" spans="45:45">
      <c r="AS29084" s="47"/>
    </row>
    <row r="29085" spans="45:45">
      <c r="AS29085" s="47"/>
    </row>
    <row r="29086" spans="45:45">
      <c r="AS29086" s="47"/>
    </row>
    <row r="29087" spans="45:45">
      <c r="AS29087" s="47"/>
    </row>
    <row r="29088" spans="45:45">
      <c r="AS29088" s="47"/>
    </row>
    <row r="29089" spans="45:45">
      <c r="AS29089" s="47"/>
    </row>
    <row r="29090" spans="45:45">
      <c r="AS29090" s="47"/>
    </row>
    <row r="29091" spans="45:45">
      <c r="AS29091" s="47"/>
    </row>
    <row r="29092" spans="45:45">
      <c r="AS29092" s="47"/>
    </row>
    <row r="29093" spans="45:45">
      <c r="AS29093" s="47"/>
    </row>
    <row r="29094" spans="45:45">
      <c r="AS29094" s="47"/>
    </row>
    <row r="29095" spans="45:45">
      <c r="AS29095" s="47"/>
    </row>
    <row r="29096" spans="45:45">
      <c r="AS29096" s="47"/>
    </row>
    <row r="29097" spans="45:45">
      <c r="AS29097" s="47"/>
    </row>
    <row r="29098" spans="45:45">
      <c r="AS29098" s="47"/>
    </row>
    <row r="29099" spans="45:45">
      <c r="AS29099" s="47"/>
    </row>
    <row r="29100" spans="45:45">
      <c r="AS29100" s="47"/>
    </row>
    <row r="29101" spans="45:45">
      <c r="AS29101" s="47"/>
    </row>
    <row r="29102" spans="45:45">
      <c r="AS29102" s="47"/>
    </row>
    <row r="29103" spans="45:45">
      <c r="AS29103" s="47"/>
    </row>
    <row r="29104" spans="45:45">
      <c r="AS29104" s="47"/>
    </row>
    <row r="29105" spans="45:45">
      <c r="AS29105" s="47"/>
    </row>
    <row r="29106" spans="45:45">
      <c r="AS29106" s="47"/>
    </row>
    <row r="29107" spans="45:45">
      <c r="AS29107" s="47"/>
    </row>
    <row r="29108" spans="45:45">
      <c r="AS29108" s="47"/>
    </row>
    <row r="29109" spans="45:45">
      <c r="AS29109" s="47"/>
    </row>
    <row r="29110" spans="45:45">
      <c r="AS29110" s="47"/>
    </row>
    <row r="29111" spans="45:45">
      <c r="AS29111" s="47"/>
    </row>
    <row r="29112" spans="45:45">
      <c r="AS29112" s="47"/>
    </row>
    <row r="29113" spans="45:45">
      <c r="AS29113" s="47"/>
    </row>
    <row r="29114" spans="45:45">
      <c r="AS29114" s="47"/>
    </row>
    <row r="29115" spans="45:45">
      <c r="AS29115" s="47"/>
    </row>
    <row r="29116" spans="45:45">
      <c r="AS29116" s="47"/>
    </row>
    <row r="29117" spans="45:45">
      <c r="AS29117" s="47"/>
    </row>
    <row r="29118" spans="45:45">
      <c r="AS29118" s="47"/>
    </row>
    <row r="29119" spans="45:45">
      <c r="AS29119" s="47"/>
    </row>
    <row r="29120" spans="45:45">
      <c r="AS29120" s="47"/>
    </row>
    <row r="29121" spans="45:45">
      <c r="AS29121" s="47"/>
    </row>
    <row r="29122" spans="45:45">
      <c r="AS29122" s="47"/>
    </row>
    <row r="29123" spans="45:45">
      <c r="AS29123" s="47"/>
    </row>
    <row r="29124" spans="45:45">
      <c r="AS29124" s="47"/>
    </row>
    <row r="29125" spans="45:45">
      <c r="AS29125" s="47"/>
    </row>
    <row r="29126" spans="45:45">
      <c r="AS29126" s="47"/>
    </row>
    <row r="29127" spans="45:45">
      <c r="AS29127" s="47"/>
    </row>
    <row r="29128" spans="45:45">
      <c r="AS29128" s="47"/>
    </row>
    <row r="29129" spans="45:45">
      <c r="AS29129" s="47"/>
    </row>
    <row r="29130" spans="45:45">
      <c r="AS29130" s="47"/>
    </row>
    <row r="29131" spans="45:45">
      <c r="AS29131" s="47"/>
    </row>
    <row r="29132" spans="45:45">
      <c r="AS29132" s="47"/>
    </row>
    <row r="29133" spans="45:45">
      <c r="AS29133" s="47"/>
    </row>
    <row r="29134" spans="45:45">
      <c r="AS29134" s="47"/>
    </row>
    <row r="29135" spans="45:45">
      <c r="AS29135" s="47"/>
    </row>
    <row r="29136" spans="45:45">
      <c r="AS29136" s="47"/>
    </row>
    <row r="29137" spans="45:45">
      <c r="AS29137" s="47"/>
    </row>
    <row r="29138" spans="45:45">
      <c r="AS29138" s="47"/>
    </row>
    <row r="29139" spans="45:45">
      <c r="AS29139" s="47"/>
    </row>
    <row r="29140" spans="45:45">
      <c r="AS29140" s="47"/>
    </row>
    <row r="29141" spans="45:45">
      <c r="AS29141" s="47"/>
    </row>
    <row r="29142" spans="45:45">
      <c r="AS29142" s="47"/>
    </row>
    <row r="29143" spans="45:45">
      <c r="AS29143" s="47"/>
    </row>
    <row r="29144" spans="45:45">
      <c r="AS29144" s="47"/>
    </row>
    <row r="29145" spans="45:45">
      <c r="AS29145" s="47"/>
    </row>
    <row r="29146" spans="45:45">
      <c r="AS29146" s="47"/>
    </row>
    <row r="29147" spans="45:45">
      <c r="AS29147" s="47"/>
    </row>
    <row r="29148" spans="45:45">
      <c r="AS29148" s="47"/>
    </row>
    <row r="29149" spans="45:45">
      <c r="AS29149" s="47"/>
    </row>
    <row r="29150" spans="45:45">
      <c r="AS29150" s="47"/>
    </row>
    <row r="29151" spans="45:45">
      <c r="AS29151" s="47"/>
    </row>
    <row r="29152" spans="45:45">
      <c r="AS29152" s="47"/>
    </row>
    <row r="29153" spans="45:45">
      <c r="AS29153" s="47"/>
    </row>
    <row r="29154" spans="45:45">
      <c r="AS29154" s="47"/>
    </row>
    <row r="29155" spans="45:45">
      <c r="AS29155" s="47"/>
    </row>
    <row r="29156" spans="45:45">
      <c r="AS29156" s="47"/>
    </row>
    <row r="29157" spans="45:45">
      <c r="AS29157" s="47"/>
    </row>
    <row r="29158" spans="45:45">
      <c r="AS29158" s="47"/>
    </row>
    <row r="29159" spans="45:45">
      <c r="AS29159" s="47"/>
    </row>
    <row r="29160" spans="45:45">
      <c r="AS29160" s="47"/>
    </row>
    <row r="29161" spans="45:45">
      <c r="AS29161" s="47"/>
    </row>
    <row r="29162" spans="45:45">
      <c r="AS29162" s="47"/>
    </row>
    <row r="29163" spans="45:45">
      <c r="AS29163" s="47"/>
    </row>
    <row r="29164" spans="45:45">
      <c r="AS29164" s="47"/>
    </row>
    <row r="29165" spans="45:45">
      <c r="AS29165" s="47"/>
    </row>
    <row r="29166" spans="45:45">
      <c r="AS29166" s="47"/>
    </row>
    <row r="29167" spans="45:45">
      <c r="AS29167" s="47"/>
    </row>
    <row r="29168" spans="45:45">
      <c r="AS29168" s="47"/>
    </row>
    <row r="29169" spans="45:45">
      <c r="AS29169" s="47"/>
    </row>
    <row r="29170" spans="45:45">
      <c r="AS29170" s="47"/>
    </row>
    <row r="29171" spans="45:45">
      <c r="AS29171" s="47"/>
    </row>
    <row r="29172" spans="45:45">
      <c r="AS29172" s="47"/>
    </row>
    <row r="29173" spans="45:45">
      <c r="AS29173" s="47"/>
    </row>
    <row r="29174" spans="45:45">
      <c r="AS29174" s="47"/>
    </row>
    <row r="29175" spans="45:45">
      <c r="AS29175" s="47"/>
    </row>
    <row r="29176" spans="45:45">
      <c r="AS29176" s="47"/>
    </row>
    <row r="29177" spans="45:45">
      <c r="AS29177" s="47"/>
    </row>
    <row r="29178" spans="45:45">
      <c r="AS29178" s="47"/>
    </row>
    <row r="29179" spans="45:45">
      <c r="AS29179" s="47"/>
    </row>
    <row r="29180" spans="45:45">
      <c r="AS29180" s="47"/>
    </row>
    <row r="29181" spans="45:45">
      <c r="AS29181" s="47"/>
    </row>
    <row r="29182" spans="45:45">
      <c r="AS29182" s="47"/>
    </row>
    <row r="29183" spans="45:45">
      <c r="AS29183" s="47"/>
    </row>
    <row r="29184" spans="45:45">
      <c r="AS29184" s="47"/>
    </row>
    <row r="29185" spans="45:45">
      <c r="AS29185" s="47"/>
    </row>
    <row r="29186" spans="45:45">
      <c r="AS29186" s="47"/>
    </row>
    <row r="29187" spans="45:45">
      <c r="AS29187" s="47"/>
    </row>
    <row r="29188" spans="45:45">
      <c r="AS29188" s="47"/>
    </row>
    <row r="29189" spans="45:45">
      <c r="AS29189" s="47"/>
    </row>
    <row r="29190" spans="45:45">
      <c r="AS29190" s="47"/>
    </row>
    <row r="29191" spans="45:45">
      <c r="AS29191" s="47"/>
    </row>
    <row r="29192" spans="45:45">
      <c r="AS29192" s="47"/>
    </row>
    <row r="29193" spans="45:45">
      <c r="AS29193" s="47"/>
    </row>
    <row r="29194" spans="45:45">
      <c r="AS29194" s="47"/>
    </row>
    <row r="29195" spans="45:45">
      <c r="AS29195" s="47"/>
    </row>
    <row r="29196" spans="45:45">
      <c r="AS29196" s="47"/>
    </row>
    <row r="29197" spans="45:45">
      <c r="AS29197" s="47"/>
    </row>
    <row r="29198" spans="45:45">
      <c r="AS29198" s="47"/>
    </row>
    <row r="29199" spans="45:45">
      <c r="AS29199" s="47"/>
    </row>
    <row r="29200" spans="45:45">
      <c r="AS29200" s="47"/>
    </row>
    <row r="29201" spans="45:45">
      <c r="AS29201" s="47"/>
    </row>
    <row r="29202" spans="45:45">
      <c r="AS29202" s="47"/>
    </row>
    <row r="29203" spans="45:45">
      <c r="AS29203" s="47"/>
    </row>
    <row r="29204" spans="45:45">
      <c r="AS29204" s="47"/>
    </row>
    <row r="29205" spans="45:45">
      <c r="AS29205" s="47"/>
    </row>
    <row r="29206" spans="45:45">
      <c r="AS29206" s="47"/>
    </row>
    <row r="29207" spans="45:45">
      <c r="AS29207" s="47"/>
    </row>
    <row r="29208" spans="45:45">
      <c r="AS29208" s="47"/>
    </row>
    <row r="29209" spans="45:45">
      <c r="AS29209" s="47"/>
    </row>
    <row r="29210" spans="45:45">
      <c r="AS29210" s="47"/>
    </row>
    <row r="29211" spans="45:45">
      <c r="AS29211" s="47"/>
    </row>
    <row r="29212" spans="45:45">
      <c r="AS29212" s="47"/>
    </row>
    <row r="29213" spans="45:45">
      <c r="AS29213" s="47"/>
    </row>
    <row r="29214" spans="45:45">
      <c r="AS29214" s="47"/>
    </row>
    <row r="29215" spans="45:45">
      <c r="AS29215" s="47"/>
    </row>
    <row r="29216" spans="45:45">
      <c r="AS29216" s="47"/>
    </row>
    <row r="29217" spans="45:45">
      <c r="AS29217" s="47"/>
    </row>
    <row r="29218" spans="45:45">
      <c r="AS29218" s="47"/>
    </row>
    <row r="29219" spans="45:45">
      <c r="AS29219" s="47"/>
    </row>
    <row r="29220" spans="45:45">
      <c r="AS29220" s="47"/>
    </row>
    <row r="29221" spans="45:45">
      <c r="AS29221" s="47"/>
    </row>
    <row r="29222" spans="45:45">
      <c r="AS29222" s="47"/>
    </row>
    <row r="29223" spans="45:45">
      <c r="AS29223" s="47"/>
    </row>
    <row r="29224" spans="45:45">
      <c r="AS29224" s="47"/>
    </row>
    <row r="29225" spans="45:45">
      <c r="AS29225" s="47"/>
    </row>
    <row r="29226" spans="45:45">
      <c r="AS29226" s="47"/>
    </row>
    <row r="29227" spans="45:45">
      <c r="AS29227" s="47"/>
    </row>
    <row r="29228" spans="45:45">
      <c r="AS29228" s="47"/>
    </row>
    <row r="29229" spans="45:45">
      <c r="AS29229" s="47"/>
    </row>
    <row r="29230" spans="45:45">
      <c r="AS29230" s="47"/>
    </row>
    <row r="29231" spans="45:45">
      <c r="AS29231" s="47"/>
    </row>
    <row r="29232" spans="45:45">
      <c r="AS29232" s="47"/>
    </row>
    <row r="29233" spans="45:45">
      <c r="AS29233" s="47"/>
    </row>
    <row r="29234" spans="45:45">
      <c r="AS29234" s="47"/>
    </row>
    <row r="29235" spans="45:45">
      <c r="AS29235" s="47"/>
    </row>
    <row r="29236" spans="45:45">
      <c r="AS29236" s="47"/>
    </row>
    <row r="29237" spans="45:45">
      <c r="AS29237" s="47"/>
    </row>
    <row r="29238" spans="45:45">
      <c r="AS29238" s="47"/>
    </row>
    <row r="29239" spans="45:45">
      <c r="AS29239" s="47"/>
    </row>
    <row r="29240" spans="45:45">
      <c r="AS29240" s="47"/>
    </row>
    <row r="29241" spans="45:45">
      <c r="AS29241" s="47"/>
    </row>
    <row r="29242" spans="45:45">
      <c r="AS29242" s="47"/>
    </row>
    <row r="29243" spans="45:45">
      <c r="AS29243" s="47"/>
    </row>
    <row r="29244" spans="45:45">
      <c r="AS29244" s="47"/>
    </row>
    <row r="29245" spans="45:45">
      <c r="AS29245" s="47"/>
    </row>
    <row r="29246" spans="45:45">
      <c r="AS29246" s="47"/>
    </row>
    <row r="29247" spans="45:45">
      <c r="AS29247" s="47"/>
    </row>
    <row r="29248" spans="45:45">
      <c r="AS29248" s="47"/>
    </row>
    <row r="29249" spans="45:45">
      <c r="AS29249" s="47"/>
    </row>
    <row r="29250" spans="45:45">
      <c r="AS29250" s="47"/>
    </row>
    <row r="29251" spans="45:45">
      <c r="AS29251" s="47"/>
    </row>
    <row r="29252" spans="45:45">
      <c r="AS29252" s="47"/>
    </row>
    <row r="29253" spans="45:45">
      <c r="AS29253" s="47"/>
    </row>
    <row r="29254" spans="45:45">
      <c r="AS29254" s="47"/>
    </row>
    <row r="29255" spans="45:45">
      <c r="AS29255" s="47"/>
    </row>
    <row r="29256" spans="45:45">
      <c r="AS29256" s="47"/>
    </row>
    <row r="29257" spans="45:45">
      <c r="AS29257" s="47"/>
    </row>
    <row r="29258" spans="45:45">
      <c r="AS29258" s="47"/>
    </row>
    <row r="29259" spans="45:45">
      <c r="AS29259" s="47"/>
    </row>
    <row r="29260" spans="45:45">
      <c r="AS29260" s="47"/>
    </row>
    <row r="29261" spans="45:45">
      <c r="AS29261" s="47"/>
    </row>
    <row r="29262" spans="45:45">
      <c r="AS29262" s="47"/>
    </row>
    <row r="29263" spans="45:45">
      <c r="AS29263" s="47"/>
    </row>
    <row r="29264" spans="45:45">
      <c r="AS29264" s="47"/>
    </row>
    <row r="29265" spans="45:45">
      <c r="AS29265" s="47"/>
    </row>
    <row r="29266" spans="45:45">
      <c r="AS29266" s="47"/>
    </row>
    <row r="29267" spans="45:45">
      <c r="AS29267" s="47"/>
    </row>
    <row r="29268" spans="45:45">
      <c r="AS29268" s="47"/>
    </row>
    <row r="29269" spans="45:45">
      <c r="AS29269" s="47"/>
    </row>
    <row r="29270" spans="45:45">
      <c r="AS29270" s="47"/>
    </row>
    <row r="29271" spans="45:45">
      <c r="AS29271" s="47"/>
    </row>
    <row r="29272" spans="45:45">
      <c r="AS29272" s="47"/>
    </row>
    <row r="29273" spans="45:45">
      <c r="AS29273" s="47"/>
    </row>
    <row r="29274" spans="45:45">
      <c r="AS29274" s="47"/>
    </row>
    <row r="29275" spans="45:45">
      <c r="AS29275" s="47"/>
    </row>
    <row r="29276" spans="45:45">
      <c r="AS29276" s="47"/>
    </row>
    <row r="29277" spans="45:45">
      <c r="AS29277" s="47"/>
    </row>
    <row r="29278" spans="45:45">
      <c r="AS29278" s="47"/>
    </row>
    <row r="29279" spans="45:45">
      <c r="AS29279" s="47"/>
    </row>
    <row r="29280" spans="45:45">
      <c r="AS29280" s="47"/>
    </row>
    <row r="29281" spans="45:45">
      <c r="AS29281" s="47"/>
    </row>
    <row r="29282" spans="45:45">
      <c r="AS29282" s="47"/>
    </row>
    <row r="29283" spans="45:45">
      <c r="AS29283" s="47"/>
    </row>
    <row r="29284" spans="45:45">
      <c r="AS29284" s="47"/>
    </row>
    <row r="29285" spans="45:45">
      <c r="AS29285" s="47"/>
    </row>
    <row r="29286" spans="45:45">
      <c r="AS29286" s="47"/>
    </row>
    <row r="29287" spans="45:45">
      <c r="AS29287" s="47"/>
    </row>
    <row r="29288" spans="45:45">
      <c r="AS29288" s="47"/>
    </row>
    <row r="29289" spans="45:45">
      <c r="AS29289" s="47"/>
    </row>
    <row r="29290" spans="45:45">
      <c r="AS29290" s="47"/>
    </row>
    <row r="29291" spans="45:45">
      <c r="AS29291" s="47"/>
    </row>
    <row r="29292" spans="45:45">
      <c r="AS29292" s="47"/>
    </row>
    <row r="29293" spans="45:45">
      <c r="AS29293" s="47"/>
    </row>
    <row r="29294" spans="45:45">
      <c r="AS29294" s="47"/>
    </row>
    <row r="29295" spans="45:45">
      <c r="AS29295" s="47"/>
    </row>
    <row r="29296" spans="45:45">
      <c r="AS29296" s="47"/>
    </row>
    <row r="29297" spans="45:45">
      <c r="AS29297" s="47"/>
    </row>
    <row r="29298" spans="45:45">
      <c r="AS29298" s="47"/>
    </row>
    <row r="29299" spans="45:45">
      <c r="AS29299" s="47"/>
    </row>
    <row r="29300" spans="45:45">
      <c r="AS29300" s="47"/>
    </row>
    <row r="29301" spans="45:45">
      <c r="AS29301" s="47"/>
    </row>
    <row r="29302" spans="45:45">
      <c r="AS29302" s="47"/>
    </row>
    <row r="29303" spans="45:45">
      <c r="AS29303" s="47"/>
    </row>
    <row r="29304" spans="45:45">
      <c r="AS29304" s="47"/>
    </row>
    <row r="29305" spans="45:45">
      <c r="AS29305" s="47"/>
    </row>
    <row r="29306" spans="45:45">
      <c r="AS29306" s="47"/>
    </row>
    <row r="29307" spans="45:45">
      <c r="AS29307" s="47"/>
    </row>
    <row r="29308" spans="45:45">
      <c r="AS29308" s="47"/>
    </row>
    <row r="29309" spans="45:45">
      <c r="AS29309" s="47"/>
    </row>
    <row r="29310" spans="45:45">
      <c r="AS29310" s="47"/>
    </row>
    <row r="29311" spans="45:45">
      <c r="AS29311" s="47"/>
    </row>
    <row r="29312" spans="45:45">
      <c r="AS29312" s="47"/>
    </row>
    <row r="29313" spans="45:45">
      <c r="AS29313" s="47"/>
    </row>
    <row r="29314" spans="45:45">
      <c r="AS29314" s="47"/>
    </row>
    <row r="29315" spans="45:45">
      <c r="AS29315" s="47"/>
    </row>
    <row r="29316" spans="45:45">
      <c r="AS29316" s="47"/>
    </row>
    <row r="29317" spans="45:45">
      <c r="AS29317" s="47"/>
    </row>
    <row r="29318" spans="45:45">
      <c r="AS29318" s="47"/>
    </row>
    <row r="29319" spans="45:45">
      <c r="AS29319" s="47"/>
    </row>
    <row r="29320" spans="45:45">
      <c r="AS29320" s="47"/>
    </row>
    <row r="29321" spans="45:45">
      <c r="AS29321" s="47"/>
    </row>
    <row r="29322" spans="45:45">
      <c r="AS29322" s="47"/>
    </row>
    <row r="29323" spans="45:45">
      <c r="AS29323" s="47"/>
    </row>
    <row r="29324" spans="45:45">
      <c r="AS29324" s="47"/>
    </row>
    <row r="29325" spans="45:45">
      <c r="AS29325" s="47"/>
    </row>
    <row r="29326" spans="45:45">
      <c r="AS29326" s="47"/>
    </row>
    <row r="29327" spans="45:45">
      <c r="AS29327" s="47"/>
    </row>
    <row r="29328" spans="45:45">
      <c r="AS29328" s="47"/>
    </row>
    <row r="29329" spans="45:45">
      <c r="AS29329" s="47"/>
    </row>
    <row r="29330" spans="45:45">
      <c r="AS29330" s="47"/>
    </row>
    <row r="29331" spans="45:45">
      <c r="AS29331" s="47"/>
    </row>
    <row r="29332" spans="45:45">
      <c r="AS29332" s="47"/>
    </row>
    <row r="29333" spans="45:45">
      <c r="AS29333" s="47"/>
    </row>
    <row r="29334" spans="45:45">
      <c r="AS29334" s="47"/>
    </row>
    <row r="29335" spans="45:45">
      <c r="AS29335" s="47"/>
    </row>
    <row r="29336" spans="45:45">
      <c r="AS29336" s="47"/>
    </row>
    <row r="29337" spans="45:45">
      <c r="AS29337" s="47"/>
    </row>
    <row r="29338" spans="45:45">
      <c r="AS29338" s="47"/>
    </row>
    <row r="29339" spans="45:45">
      <c r="AS29339" s="47"/>
    </row>
    <row r="29340" spans="45:45">
      <c r="AS29340" s="47"/>
    </row>
    <row r="29341" spans="45:45">
      <c r="AS29341" s="47"/>
    </row>
    <row r="29342" spans="45:45">
      <c r="AS29342" s="47"/>
    </row>
    <row r="29343" spans="45:45">
      <c r="AS29343" s="47"/>
    </row>
    <row r="29344" spans="45:45">
      <c r="AS29344" s="47"/>
    </row>
    <row r="29345" spans="45:45">
      <c r="AS29345" s="47"/>
    </row>
    <row r="29346" spans="45:45">
      <c r="AS29346" s="47"/>
    </row>
    <row r="29347" spans="45:45">
      <c r="AS29347" s="47"/>
    </row>
    <row r="29348" spans="45:45">
      <c r="AS29348" s="47"/>
    </row>
    <row r="29349" spans="45:45">
      <c r="AS29349" s="47"/>
    </row>
    <row r="29350" spans="45:45">
      <c r="AS29350" s="47"/>
    </row>
    <row r="29351" spans="45:45">
      <c r="AS29351" s="47"/>
    </row>
    <row r="29352" spans="45:45">
      <c r="AS29352" s="47"/>
    </row>
    <row r="29353" spans="45:45">
      <c r="AS29353" s="47"/>
    </row>
    <row r="29354" spans="45:45">
      <c r="AS29354" s="47"/>
    </row>
    <row r="29355" spans="45:45">
      <c r="AS29355" s="47"/>
    </row>
    <row r="29356" spans="45:45">
      <c r="AS29356" s="47"/>
    </row>
    <row r="29357" spans="45:45">
      <c r="AS29357" s="47"/>
    </row>
    <row r="29358" spans="45:45">
      <c r="AS29358" s="47"/>
    </row>
    <row r="29359" spans="45:45">
      <c r="AS29359" s="47"/>
    </row>
    <row r="29360" spans="45:45">
      <c r="AS29360" s="47"/>
    </row>
    <row r="29361" spans="45:45">
      <c r="AS29361" s="47"/>
    </row>
    <row r="29362" spans="45:45">
      <c r="AS29362" s="47"/>
    </row>
    <row r="29363" spans="45:45">
      <c r="AS29363" s="47"/>
    </row>
    <row r="29364" spans="45:45">
      <c r="AS29364" s="47"/>
    </row>
    <row r="29365" spans="45:45">
      <c r="AS29365" s="47"/>
    </row>
    <row r="29366" spans="45:45">
      <c r="AS29366" s="47"/>
    </row>
    <row r="29367" spans="45:45">
      <c r="AS29367" s="47"/>
    </row>
    <row r="29368" spans="45:45">
      <c r="AS29368" s="47"/>
    </row>
    <row r="29369" spans="45:45">
      <c r="AS29369" s="47"/>
    </row>
    <row r="29370" spans="45:45">
      <c r="AS29370" s="47"/>
    </row>
    <row r="29371" spans="45:45">
      <c r="AS29371" s="47"/>
    </row>
    <row r="29372" spans="45:45">
      <c r="AS29372" s="47"/>
    </row>
    <row r="29373" spans="45:45">
      <c r="AS29373" s="47"/>
    </row>
    <row r="29374" spans="45:45">
      <c r="AS29374" s="47"/>
    </row>
    <row r="29375" spans="45:45">
      <c r="AS29375" s="47"/>
    </row>
    <row r="29376" spans="45:45">
      <c r="AS29376" s="47"/>
    </row>
    <row r="29377" spans="45:45">
      <c r="AS29377" s="47"/>
    </row>
    <row r="29378" spans="45:45">
      <c r="AS29378" s="47"/>
    </row>
    <row r="29379" spans="45:45">
      <c r="AS29379" s="47"/>
    </row>
    <row r="29380" spans="45:45">
      <c r="AS29380" s="47"/>
    </row>
    <row r="29381" spans="45:45">
      <c r="AS29381" s="47"/>
    </row>
    <row r="29382" spans="45:45">
      <c r="AS29382" s="47"/>
    </row>
    <row r="29383" spans="45:45">
      <c r="AS29383" s="47"/>
    </row>
    <row r="29384" spans="45:45">
      <c r="AS29384" s="47"/>
    </row>
    <row r="29385" spans="45:45">
      <c r="AS29385" s="47"/>
    </row>
    <row r="29386" spans="45:45">
      <c r="AS29386" s="47"/>
    </row>
    <row r="29387" spans="45:45">
      <c r="AS29387" s="47"/>
    </row>
    <row r="29388" spans="45:45">
      <c r="AS29388" s="47"/>
    </row>
    <row r="29389" spans="45:45">
      <c r="AS29389" s="47"/>
    </row>
    <row r="29390" spans="45:45">
      <c r="AS29390" s="47"/>
    </row>
    <row r="29391" spans="45:45">
      <c r="AS29391" s="47"/>
    </row>
    <row r="29392" spans="45:45">
      <c r="AS29392" s="47"/>
    </row>
    <row r="29393" spans="45:45">
      <c r="AS29393" s="47"/>
    </row>
    <row r="29394" spans="45:45">
      <c r="AS29394" s="47"/>
    </row>
    <row r="29395" spans="45:45">
      <c r="AS29395" s="47"/>
    </row>
    <row r="29396" spans="45:45">
      <c r="AS29396" s="47"/>
    </row>
    <row r="29397" spans="45:45">
      <c r="AS29397" s="47"/>
    </row>
    <row r="29398" spans="45:45">
      <c r="AS29398" s="47"/>
    </row>
    <row r="29399" spans="45:45">
      <c r="AS29399" s="47"/>
    </row>
    <row r="29400" spans="45:45">
      <c r="AS29400" s="47"/>
    </row>
    <row r="29401" spans="45:45">
      <c r="AS29401" s="47"/>
    </row>
    <row r="29402" spans="45:45">
      <c r="AS29402" s="47"/>
    </row>
    <row r="29403" spans="45:45">
      <c r="AS29403" s="47"/>
    </row>
    <row r="29404" spans="45:45">
      <c r="AS29404" s="47"/>
    </row>
    <row r="29405" spans="45:45">
      <c r="AS29405" s="47"/>
    </row>
    <row r="29406" spans="45:45">
      <c r="AS29406" s="47"/>
    </row>
    <row r="29407" spans="45:45">
      <c r="AS29407" s="47"/>
    </row>
    <row r="29408" spans="45:45">
      <c r="AS29408" s="47"/>
    </row>
    <row r="29409" spans="45:45">
      <c r="AS29409" s="47"/>
    </row>
    <row r="29410" spans="45:45">
      <c r="AS29410" s="47"/>
    </row>
    <row r="29411" spans="45:45">
      <c r="AS29411" s="47"/>
    </row>
    <row r="29412" spans="45:45">
      <c r="AS29412" s="47"/>
    </row>
    <row r="29413" spans="45:45">
      <c r="AS29413" s="47"/>
    </row>
    <row r="29414" spans="45:45">
      <c r="AS29414" s="47"/>
    </row>
    <row r="29415" spans="45:45">
      <c r="AS29415" s="47"/>
    </row>
    <row r="29416" spans="45:45">
      <c r="AS29416" s="47"/>
    </row>
    <row r="29417" spans="45:45">
      <c r="AS29417" s="47"/>
    </row>
    <row r="29418" spans="45:45">
      <c r="AS29418" s="47"/>
    </row>
    <row r="29419" spans="45:45">
      <c r="AS29419" s="47"/>
    </row>
    <row r="29420" spans="45:45">
      <c r="AS29420" s="47"/>
    </row>
    <row r="29421" spans="45:45">
      <c r="AS29421" s="47"/>
    </row>
    <row r="29422" spans="45:45">
      <c r="AS29422" s="47"/>
    </row>
    <row r="29423" spans="45:45">
      <c r="AS29423" s="47"/>
    </row>
    <row r="29424" spans="45:45">
      <c r="AS29424" s="47"/>
    </row>
    <row r="29425" spans="45:45">
      <c r="AS29425" s="47"/>
    </row>
    <row r="29426" spans="45:45">
      <c r="AS29426" s="47"/>
    </row>
    <row r="29427" spans="45:45">
      <c r="AS29427" s="47"/>
    </row>
    <row r="29428" spans="45:45">
      <c r="AS29428" s="47"/>
    </row>
    <row r="29429" spans="45:45">
      <c r="AS29429" s="47"/>
    </row>
    <row r="29430" spans="45:45">
      <c r="AS29430" s="47"/>
    </row>
    <row r="29431" spans="45:45">
      <c r="AS29431" s="47"/>
    </row>
    <row r="29432" spans="45:45">
      <c r="AS29432" s="47"/>
    </row>
    <row r="29433" spans="45:45">
      <c r="AS29433" s="47"/>
    </row>
    <row r="29434" spans="45:45">
      <c r="AS29434" s="47"/>
    </row>
    <row r="29435" spans="45:45">
      <c r="AS29435" s="47"/>
    </row>
    <row r="29436" spans="45:45">
      <c r="AS29436" s="47"/>
    </row>
    <row r="29437" spans="45:45">
      <c r="AS29437" s="47"/>
    </row>
    <row r="29438" spans="45:45">
      <c r="AS29438" s="47"/>
    </row>
    <row r="29439" spans="45:45">
      <c r="AS29439" s="47"/>
    </row>
    <row r="29440" spans="45:45">
      <c r="AS29440" s="47"/>
    </row>
    <row r="29441" spans="45:45">
      <c r="AS29441" s="47"/>
    </row>
    <row r="29442" spans="45:45">
      <c r="AS29442" s="47"/>
    </row>
    <row r="29443" spans="45:45">
      <c r="AS29443" s="47"/>
    </row>
    <row r="29444" spans="45:45">
      <c r="AS29444" s="47"/>
    </row>
    <row r="29445" spans="45:45">
      <c r="AS29445" s="47"/>
    </row>
    <row r="29446" spans="45:45">
      <c r="AS29446" s="47"/>
    </row>
    <row r="29447" spans="45:45">
      <c r="AS29447" s="47"/>
    </row>
    <row r="29448" spans="45:45">
      <c r="AS29448" s="47"/>
    </row>
    <row r="29449" spans="45:45">
      <c r="AS29449" s="47"/>
    </row>
    <row r="29450" spans="45:45">
      <c r="AS29450" s="47"/>
    </row>
    <row r="29451" spans="45:45">
      <c r="AS29451" s="47"/>
    </row>
    <row r="29452" spans="45:45">
      <c r="AS29452" s="47"/>
    </row>
    <row r="29453" spans="45:45">
      <c r="AS29453" s="47"/>
    </row>
    <row r="29454" spans="45:45">
      <c r="AS29454" s="47"/>
    </row>
    <row r="29455" spans="45:45">
      <c r="AS29455" s="47"/>
    </row>
    <row r="29456" spans="45:45">
      <c r="AS29456" s="47"/>
    </row>
    <row r="29457" spans="45:45">
      <c r="AS29457" s="47"/>
    </row>
    <row r="29458" spans="45:45">
      <c r="AS29458" s="47"/>
    </row>
    <row r="29459" spans="45:45">
      <c r="AS29459" s="47"/>
    </row>
    <row r="29460" spans="45:45">
      <c r="AS29460" s="47"/>
    </row>
    <row r="29461" spans="45:45">
      <c r="AS29461" s="47"/>
    </row>
    <row r="29462" spans="45:45">
      <c r="AS29462" s="47"/>
    </row>
    <row r="29463" spans="45:45">
      <c r="AS29463" s="47"/>
    </row>
    <row r="29464" spans="45:45">
      <c r="AS29464" s="47"/>
    </row>
    <row r="29465" spans="45:45">
      <c r="AS29465" s="47"/>
    </row>
    <row r="29466" spans="45:45">
      <c r="AS29466" s="47"/>
    </row>
    <row r="29467" spans="45:45">
      <c r="AS29467" s="47"/>
    </row>
    <row r="29468" spans="45:45">
      <c r="AS29468" s="47"/>
    </row>
    <row r="29469" spans="45:45">
      <c r="AS29469" s="47"/>
    </row>
    <row r="29470" spans="45:45">
      <c r="AS29470" s="47"/>
    </row>
    <row r="29471" spans="45:45">
      <c r="AS29471" s="47"/>
    </row>
    <row r="29472" spans="45:45">
      <c r="AS29472" s="47"/>
    </row>
    <row r="29473" spans="45:45">
      <c r="AS29473" s="47"/>
    </row>
    <row r="29474" spans="45:45">
      <c r="AS29474" s="47"/>
    </row>
    <row r="29475" spans="45:45">
      <c r="AS29475" s="47"/>
    </row>
    <row r="29476" spans="45:45">
      <c r="AS29476" s="47"/>
    </row>
    <row r="29477" spans="45:45">
      <c r="AS29477" s="47"/>
    </row>
    <row r="29478" spans="45:45">
      <c r="AS29478" s="47"/>
    </row>
    <row r="29479" spans="45:45">
      <c r="AS29479" s="47"/>
    </row>
    <row r="29480" spans="45:45">
      <c r="AS29480" s="47"/>
    </row>
    <row r="29481" spans="45:45">
      <c r="AS29481" s="47"/>
    </row>
    <row r="29482" spans="45:45">
      <c r="AS29482" s="47"/>
    </row>
    <row r="29483" spans="45:45">
      <c r="AS29483" s="47"/>
    </row>
    <row r="29484" spans="45:45">
      <c r="AS29484" s="47"/>
    </row>
    <row r="29485" spans="45:45">
      <c r="AS29485" s="47"/>
    </row>
    <row r="29486" spans="45:45">
      <c r="AS29486" s="47"/>
    </row>
    <row r="29487" spans="45:45">
      <c r="AS29487" s="47"/>
    </row>
    <row r="29488" spans="45:45">
      <c r="AS29488" s="47"/>
    </row>
    <row r="29489" spans="45:45">
      <c r="AS29489" s="47"/>
    </row>
    <row r="29490" spans="45:45">
      <c r="AS29490" s="47"/>
    </row>
    <row r="29491" spans="45:45">
      <c r="AS29491" s="47"/>
    </row>
    <row r="29492" spans="45:45">
      <c r="AS29492" s="47"/>
    </row>
    <row r="29493" spans="45:45">
      <c r="AS29493" s="47"/>
    </row>
    <row r="29494" spans="45:45">
      <c r="AS29494" s="47"/>
    </row>
    <row r="29495" spans="45:45">
      <c r="AS29495" s="47"/>
    </row>
    <row r="29496" spans="45:45">
      <c r="AS29496" s="47"/>
    </row>
    <row r="29497" spans="45:45">
      <c r="AS29497" s="47"/>
    </row>
    <row r="29498" spans="45:45">
      <c r="AS29498" s="47"/>
    </row>
    <row r="29499" spans="45:45">
      <c r="AS29499" s="47"/>
    </row>
    <row r="29500" spans="45:45">
      <c r="AS29500" s="47"/>
    </row>
    <row r="29501" spans="45:45">
      <c r="AS29501" s="47"/>
    </row>
    <row r="29502" spans="45:45">
      <c r="AS29502" s="47"/>
    </row>
    <row r="29503" spans="45:45">
      <c r="AS29503" s="47"/>
    </row>
    <row r="29504" spans="45:45">
      <c r="AS29504" s="47"/>
    </row>
    <row r="29505" spans="45:45">
      <c r="AS29505" s="47"/>
    </row>
    <row r="29506" spans="45:45">
      <c r="AS29506" s="47"/>
    </row>
    <row r="29507" spans="45:45">
      <c r="AS29507" s="47"/>
    </row>
    <row r="29508" spans="45:45">
      <c r="AS29508" s="47"/>
    </row>
    <row r="29509" spans="45:45">
      <c r="AS29509" s="47"/>
    </row>
    <row r="29510" spans="45:45">
      <c r="AS29510" s="47"/>
    </row>
    <row r="29511" spans="45:45">
      <c r="AS29511" s="47"/>
    </row>
    <row r="29512" spans="45:45">
      <c r="AS29512" s="47"/>
    </row>
    <row r="29513" spans="45:45">
      <c r="AS29513" s="47"/>
    </row>
    <row r="29514" spans="45:45">
      <c r="AS29514" s="47"/>
    </row>
    <row r="29515" spans="45:45">
      <c r="AS29515" s="47"/>
    </row>
    <row r="29516" spans="45:45">
      <c r="AS29516" s="47"/>
    </row>
    <row r="29517" spans="45:45">
      <c r="AS29517" s="47"/>
    </row>
    <row r="29518" spans="45:45">
      <c r="AS29518" s="47"/>
    </row>
    <row r="29519" spans="45:45">
      <c r="AS29519" s="47"/>
    </row>
    <row r="29520" spans="45:45">
      <c r="AS29520" s="47"/>
    </row>
    <row r="29521" spans="45:45">
      <c r="AS29521" s="47"/>
    </row>
    <row r="29522" spans="45:45">
      <c r="AS29522" s="47"/>
    </row>
    <row r="29523" spans="45:45">
      <c r="AS29523" s="47"/>
    </row>
    <row r="29524" spans="45:45">
      <c r="AS29524" s="47"/>
    </row>
    <row r="29525" spans="45:45">
      <c r="AS29525" s="47"/>
    </row>
    <row r="29526" spans="45:45">
      <c r="AS29526" s="47"/>
    </row>
    <row r="29527" spans="45:45">
      <c r="AS29527" s="47"/>
    </row>
    <row r="29528" spans="45:45">
      <c r="AS29528" s="47"/>
    </row>
    <row r="29529" spans="45:45">
      <c r="AS29529" s="47"/>
    </row>
    <row r="29530" spans="45:45">
      <c r="AS29530" s="47"/>
    </row>
    <row r="29531" spans="45:45">
      <c r="AS29531" s="47"/>
    </row>
    <row r="29532" spans="45:45">
      <c r="AS29532" s="47"/>
    </row>
    <row r="29533" spans="45:45">
      <c r="AS29533" s="47"/>
    </row>
    <row r="29534" spans="45:45">
      <c r="AS29534" s="47"/>
    </row>
    <row r="29535" spans="45:45">
      <c r="AS29535" s="47"/>
    </row>
    <row r="29536" spans="45:45">
      <c r="AS29536" s="47"/>
    </row>
    <row r="29537" spans="45:45">
      <c r="AS29537" s="47"/>
    </row>
    <row r="29538" spans="45:45">
      <c r="AS29538" s="47"/>
    </row>
    <row r="29539" spans="45:45">
      <c r="AS29539" s="47"/>
    </row>
    <row r="29540" spans="45:45">
      <c r="AS29540" s="47"/>
    </row>
    <row r="29541" spans="45:45">
      <c r="AS29541" s="47"/>
    </row>
    <row r="29542" spans="45:45">
      <c r="AS29542" s="47"/>
    </row>
    <row r="29543" spans="45:45">
      <c r="AS29543" s="47"/>
    </row>
    <row r="29544" spans="45:45">
      <c r="AS29544" s="47"/>
    </row>
    <row r="29545" spans="45:45">
      <c r="AS29545" s="47"/>
    </row>
    <row r="29546" spans="45:45">
      <c r="AS29546" s="47"/>
    </row>
    <row r="29547" spans="45:45">
      <c r="AS29547" s="47"/>
    </row>
    <row r="29548" spans="45:45">
      <c r="AS29548" s="47"/>
    </row>
    <row r="29549" spans="45:45">
      <c r="AS29549" s="47"/>
    </row>
    <row r="29550" spans="45:45">
      <c r="AS29550" s="47"/>
    </row>
    <row r="29551" spans="45:45">
      <c r="AS29551" s="47"/>
    </row>
    <row r="29552" spans="45:45">
      <c r="AS29552" s="47"/>
    </row>
    <row r="29553" spans="45:45">
      <c r="AS29553" s="47"/>
    </row>
    <row r="29554" spans="45:45">
      <c r="AS29554" s="47"/>
    </row>
    <row r="29555" spans="45:45">
      <c r="AS29555" s="47"/>
    </row>
    <row r="29556" spans="45:45">
      <c r="AS29556" s="47"/>
    </row>
    <row r="29557" spans="45:45">
      <c r="AS29557" s="47"/>
    </row>
    <row r="29558" spans="45:45">
      <c r="AS29558" s="47"/>
    </row>
    <row r="29559" spans="45:45">
      <c r="AS29559" s="47"/>
    </row>
    <row r="29560" spans="45:45">
      <c r="AS29560" s="47"/>
    </row>
    <row r="29561" spans="45:45">
      <c r="AS29561" s="47"/>
    </row>
    <row r="29562" spans="45:45">
      <c r="AS29562" s="47"/>
    </row>
    <row r="29563" spans="45:45">
      <c r="AS29563" s="47"/>
    </row>
    <row r="29564" spans="45:45">
      <c r="AS29564" s="47"/>
    </row>
    <row r="29565" spans="45:45">
      <c r="AS29565" s="47"/>
    </row>
    <row r="29566" spans="45:45">
      <c r="AS29566" s="47"/>
    </row>
    <row r="29567" spans="45:45">
      <c r="AS29567" s="47"/>
    </row>
    <row r="29568" spans="45:45">
      <c r="AS29568" s="47"/>
    </row>
    <row r="29569" spans="45:45">
      <c r="AS29569" s="47"/>
    </row>
    <row r="29570" spans="45:45">
      <c r="AS29570" s="47"/>
    </row>
    <row r="29571" spans="45:45">
      <c r="AS29571" s="47"/>
    </row>
    <row r="29572" spans="45:45">
      <c r="AS29572" s="47"/>
    </row>
    <row r="29573" spans="45:45">
      <c r="AS29573" s="47"/>
    </row>
    <row r="29574" spans="45:45">
      <c r="AS29574" s="47"/>
    </row>
    <row r="29575" spans="45:45">
      <c r="AS29575" s="47"/>
    </row>
    <row r="29576" spans="45:45">
      <c r="AS29576" s="47"/>
    </row>
    <row r="29577" spans="45:45">
      <c r="AS29577" s="47"/>
    </row>
    <row r="29578" spans="45:45">
      <c r="AS29578" s="47"/>
    </row>
    <row r="29579" spans="45:45">
      <c r="AS29579" s="47"/>
    </row>
    <row r="29580" spans="45:45">
      <c r="AS29580" s="47"/>
    </row>
    <row r="29581" spans="45:45">
      <c r="AS29581" s="47"/>
    </row>
    <row r="29582" spans="45:45">
      <c r="AS29582" s="47"/>
    </row>
    <row r="29583" spans="45:45">
      <c r="AS29583" s="47"/>
    </row>
    <row r="29584" spans="45:45">
      <c r="AS29584" s="47"/>
    </row>
    <row r="29585" spans="45:45">
      <c r="AS29585" s="47"/>
    </row>
    <row r="29586" spans="45:45">
      <c r="AS29586" s="47"/>
    </row>
    <row r="29587" spans="45:45">
      <c r="AS29587" s="47"/>
    </row>
    <row r="29588" spans="45:45">
      <c r="AS29588" s="47"/>
    </row>
    <row r="29589" spans="45:45">
      <c r="AS29589" s="47"/>
    </row>
    <row r="29590" spans="45:45">
      <c r="AS29590" s="47"/>
    </row>
    <row r="29591" spans="45:45">
      <c r="AS29591" s="47"/>
    </row>
    <row r="29592" spans="45:45">
      <c r="AS29592" s="47"/>
    </row>
    <row r="29593" spans="45:45">
      <c r="AS29593" s="47"/>
    </row>
    <row r="29594" spans="45:45">
      <c r="AS29594" s="47"/>
    </row>
    <row r="29595" spans="45:45">
      <c r="AS29595" s="47"/>
    </row>
    <row r="29596" spans="45:45">
      <c r="AS29596" s="47"/>
    </row>
    <row r="29597" spans="45:45">
      <c r="AS29597" s="47"/>
    </row>
    <row r="29598" spans="45:45">
      <c r="AS29598" s="47"/>
    </row>
    <row r="29599" spans="45:45">
      <c r="AS29599" s="47"/>
    </row>
    <row r="29600" spans="45:45">
      <c r="AS29600" s="47"/>
    </row>
    <row r="29601" spans="45:45">
      <c r="AS29601" s="47"/>
    </row>
    <row r="29602" spans="45:45">
      <c r="AS29602" s="47"/>
    </row>
    <row r="29603" spans="45:45">
      <c r="AS29603" s="47"/>
    </row>
    <row r="29604" spans="45:45">
      <c r="AS29604" s="47"/>
    </row>
    <row r="29605" spans="45:45">
      <c r="AS29605" s="47"/>
    </row>
    <row r="29606" spans="45:45">
      <c r="AS29606" s="47"/>
    </row>
    <row r="29607" spans="45:45">
      <c r="AS29607" s="47"/>
    </row>
    <row r="29608" spans="45:45">
      <c r="AS29608" s="47"/>
    </row>
    <row r="29609" spans="45:45">
      <c r="AS29609" s="47"/>
    </row>
    <row r="29610" spans="45:45">
      <c r="AS29610" s="47"/>
    </row>
    <row r="29611" spans="45:45">
      <c r="AS29611" s="47"/>
    </row>
    <row r="29612" spans="45:45">
      <c r="AS29612" s="47"/>
    </row>
    <row r="29613" spans="45:45">
      <c r="AS29613" s="47"/>
    </row>
    <row r="29614" spans="45:45">
      <c r="AS29614" s="47"/>
    </row>
    <row r="29615" spans="45:45">
      <c r="AS29615" s="47"/>
    </row>
    <row r="29616" spans="45:45">
      <c r="AS29616" s="47"/>
    </row>
    <row r="29617" spans="45:45">
      <c r="AS29617" s="47"/>
    </row>
    <row r="29618" spans="45:45">
      <c r="AS29618" s="47"/>
    </row>
    <row r="29619" spans="45:45">
      <c r="AS29619" s="47"/>
    </row>
    <row r="29620" spans="45:45">
      <c r="AS29620" s="47"/>
    </row>
    <row r="29621" spans="45:45">
      <c r="AS29621" s="47"/>
    </row>
    <row r="29622" spans="45:45">
      <c r="AS29622" s="47"/>
    </row>
    <row r="29623" spans="45:45">
      <c r="AS29623" s="47"/>
    </row>
    <row r="29624" spans="45:45">
      <c r="AS29624" s="47"/>
    </row>
    <row r="29625" spans="45:45">
      <c r="AS29625" s="47"/>
    </row>
    <row r="29626" spans="45:45">
      <c r="AS29626" s="47"/>
    </row>
    <row r="29627" spans="45:45">
      <c r="AS29627" s="47"/>
    </row>
    <row r="29628" spans="45:45">
      <c r="AS29628" s="47"/>
    </row>
    <row r="29629" spans="45:45">
      <c r="AS29629" s="47"/>
    </row>
    <row r="29630" spans="45:45">
      <c r="AS29630" s="47"/>
    </row>
    <row r="29631" spans="45:45">
      <c r="AS29631" s="47"/>
    </row>
    <row r="29632" spans="45:45">
      <c r="AS29632" s="47"/>
    </row>
    <row r="29633" spans="45:45">
      <c r="AS29633" s="47"/>
    </row>
    <row r="29634" spans="45:45">
      <c r="AS29634" s="47"/>
    </row>
    <row r="29635" spans="45:45">
      <c r="AS29635" s="47"/>
    </row>
    <row r="29636" spans="45:45">
      <c r="AS29636" s="47"/>
    </row>
    <row r="29637" spans="45:45">
      <c r="AS29637" s="47"/>
    </row>
    <row r="29638" spans="45:45">
      <c r="AS29638" s="47"/>
    </row>
    <row r="29639" spans="45:45">
      <c r="AS29639" s="47"/>
    </row>
    <row r="29640" spans="45:45">
      <c r="AS29640" s="47"/>
    </row>
    <row r="29641" spans="45:45">
      <c r="AS29641" s="47"/>
    </row>
    <row r="29642" spans="45:45">
      <c r="AS29642" s="47"/>
    </row>
    <row r="29643" spans="45:45">
      <c r="AS29643" s="47"/>
    </row>
    <row r="29644" spans="45:45">
      <c r="AS29644" s="47"/>
    </row>
    <row r="29645" spans="45:45">
      <c r="AS29645" s="47"/>
    </row>
    <row r="29646" spans="45:45">
      <c r="AS29646" s="47"/>
    </row>
    <row r="29647" spans="45:45">
      <c r="AS29647" s="47"/>
    </row>
    <row r="29648" spans="45:45">
      <c r="AS29648" s="47"/>
    </row>
    <row r="29649" spans="45:45">
      <c r="AS29649" s="47"/>
    </row>
    <row r="29650" spans="45:45">
      <c r="AS29650" s="47"/>
    </row>
    <row r="29651" spans="45:45">
      <c r="AS29651" s="47"/>
    </row>
    <row r="29652" spans="45:45">
      <c r="AS29652" s="47"/>
    </row>
    <row r="29653" spans="45:45">
      <c r="AS29653" s="47"/>
    </row>
    <row r="29654" spans="45:45">
      <c r="AS29654" s="47"/>
    </row>
    <row r="29655" spans="45:45">
      <c r="AS29655" s="47"/>
    </row>
    <row r="29656" spans="45:45">
      <c r="AS29656" s="47"/>
    </row>
    <row r="29657" spans="45:45">
      <c r="AS29657" s="47"/>
    </row>
    <row r="29658" spans="45:45">
      <c r="AS29658" s="47"/>
    </row>
    <row r="29659" spans="45:45">
      <c r="AS29659" s="47"/>
    </row>
    <row r="29660" spans="45:45">
      <c r="AS29660" s="47"/>
    </row>
    <row r="29661" spans="45:45">
      <c r="AS29661" s="47"/>
    </row>
    <row r="29662" spans="45:45">
      <c r="AS29662" s="47"/>
    </row>
    <row r="29663" spans="45:45">
      <c r="AS29663" s="47"/>
    </row>
    <row r="29664" spans="45:45">
      <c r="AS29664" s="47"/>
    </row>
    <row r="29665" spans="45:45">
      <c r="AS29665" s="47"/>
    </row>
    <row r="29666" spans="45:45">
      <c r="AS29666" s="47"/>
    </row>
    <row r="29667" spans="45:45">
      <c r="AS29667" s="47"/>
    </row>
    <row r="29668" spans="45:45">
      <c r="AS29668" s="47"/>
    </row>
    <row r="29669" spans="45:45">
      <c r="AS29669" s="47"/>
    </row>
    <row r="29670" spans="45:45">
      <c r="AS29670" s="47"/>
    </row>
    <row r="29671" spans="45:45">
      <c r="AS29671" s="47"/>
    </row>
    <row r="29672" spans="45:45">
      <c r="AS29672" s="47"/>
    </row>
    <row r="29673" spans="45:45">
      <c r="AS29673" s="47"/>
    </row>
    <row r="29674" spans="45:45">
      <c r="AS29674" s="47"/>
    </row>
    <row r="29675" spans="45:45">
      <c r="AS29675" s="47"/>
    </row>
    <row r="29676" spans="45:45">
      <c r="AS29676" s="47"/>
    </row>
    <row r="29677" spans="45:45">
      <c r="AS29677" s="47"/>
    </row>
    <row r="29678" spans="45:45">
      <c r="AS29678" s="47"/>
    </row>
    <row r="29679" spans="45:45">
      <c r="AS29679" s="47"/>
    </row>
    <row r="29680" spans="45:45">
      <c r="AS29680" s="47"/>
    </row>
    <row r="29681" spans="45:45">
      <c r="AS29681" s="47"/>
    </row>
    <row r="29682" spans="45:45">
      <c r="AS29682" s="47"/>
    </row>
    <row r="29683" spans="45:45">
      <c r="AS29683" s="47"/>
    </row>
    <row r="29684" spans="45:45">
      <c r="AS29684" s="47"/>
    </row>
    <row r="29685" spans="45:45">
      <c r="AS29685" s="47"/>
    </row>
    <row r="29686" spans="45:45">
      <c r="AS29686" s="47"/>
    </row>
    <row r="29687" spans="45:45">
      <c r="AS29687" s="47"/>
    </row>
    <row r="29688" spans="45:45">
      <c r="AS29688" s="47"/>
    </row>
    <row r="29689" spans="45:45">
      <c r="AS29689" s="47"/>
    </row>
    <row r="29690" spans="45:45">
      <c r="AS29690" s="47"/>
    </row>
    <row r="29691" spans="45:45">
      <c r="AS29691" s="47"/>
    </row>
    <row r="29692" spans="45:45">
      <c r="AS29692" s="47"/>
    </row>
    <row r="29693" spans="45:45">
      <c r="AS29693" s="47"/>
    </row>
    <row r="29694" spans="45:45">
      <c r="AS29694" s="47"/>
    </row>
    <row r="29695" spans="45:45">
      <c r="AS29695" s="47"/>
    </row>
    <row r="29696" spans="45:45">
      <c r="AS29696" s="47"/>
    </row>
    <row r="29697" spans="45:45">
      <c r="AS29697" s="47"/>
    </row>
    <row r="29698" spans="45:45">
      <c r="AS29698" s="47"/>
    </row>
    <row r="29699" spans="45:45">
      <c r="AS29699" s="47"/>
    </row>
    <row r="29700" spans="45:45">
      <c r="AS29700" s="47"/>
    </row>
    <row r="29701" spans="45:45">
      <c r="AS29701" s="47"/>
    </row>
    <row r="29702" spans="45:45">
      <c r="AS29702" s="47"/>
    </row>
    <row r="29703" spans="45:45">
      <c r="AS29703" s="47"/>
    </row>
    <row r="29704" spans="45:45">
      <c r="AS29704" s="47"/>
    </row>
    <row r="29705" spans="45:45">
      <c r="AS29705" s="47"/>
    </row>
    <row r="29706" spans="45:45">
      <c r="AS29706" s="47"/>
    </row>
    <row r="29707" spans="45:45">
      <c r="AS29707" s="47"/>
    </row>
    <row r="29708" spans="45:45">
      <c r="AS29708" s="47"/>
    </row>
    <row r="29709" spans="45:45">
      <c r="AS29709" s="47"/>
    </row>
    <row r="29710" spans="45:45">
      <c r="AS29710" s="47"/>
    </row>
    <row r="29711" spans="45:45">
      <c r="AS29711" s="47"/>
    </row>
    <row r="29712" spans="45:45">
      <c r="AS29712" s="47"/>
    </row>
    <row r="29713" spans="45:45">
      <c r="AS29713" s="47"/>
    </row>
    <row r="29714" spans="45:45">
      <c r="AS29714" s="47"/>
    </row>
    <row r="29715" spans="45:45">
      <c r="AS29715" s="47"/>
    </row>
    <row r="29716" spans="45:45">
      <c r="AS29716" s="47"/>
    </row>
    <row r="29717" spans="45:45">
      <c r="AS29717" s="47"/>
    </row>
    <row r="29718" spans="45:45">
      <c r="AS29718" s="47"/>
    </row>
    <row r="29719" spans="45:45">
      <c r="AS29719" s="47"/>
    </row>
    <row r="29720" spans="45:45">
      <c r="AS29720" s="47"/>
    </row>
    <row r="29721" spans="45:45">
      <c r="AS29721" s="47"/>
    </row>
    <row r="29722" spans="45:45">
      <c r="AS29722" s="47"/>
    </row>
    <row r="29723" spans="45:45">
      <c r="AS29723" s="47"/>
    </row>
    <row r="29724" spans="45:45">
      <c r="AS29724" s="47"/>
    </row>
    <row r="29725" spans="45:45">
      <c r="AS29725" s="47"/>
    </row>
    <row r="29726" spans="45:45">
      <c r="AS29726" s="47"/>
    </row>
    <row r="29727" spans="45:45">
      <c r="AS29727" s="47"/>
    </row>
    <row r="29728" spans="45:45">
      <c r="AS29728" s="47"/>
    </row>
    <row r="29729" spans="45:45">
      <c r="AS29729" s="47"/>
    </row>
    <row r="29730" spans="45:45">
      <c r="AS29730" s="47"/>
    </row>
    <row r="29731" spans="45:45">
      <c r="AS29731" s="47"/>
    </row>
    <row r="29732" spans="45:45">
      <c r="AS29732" s="47"/>
    </row>
    <row r="29733" spans="45:45">
      <c r="AS29733" s="47"/>
    </row>
    <row r="29734" spans="45:45">
      <c r="AS29734" s="47"/>
    </row>
    <row r="29735" spans="45:45">
      <c r="AS29735" s="47"/>
    </row>
    <row r="29736" spans="45:45">
      <c r="AS29736" s="47"/>
    </row>
    <row r="29737" spans="45:45">
      <c r="AS29737" s="47"/>
    </row>
    <row r="29738" spans="45:45">
      <c r="AS29738" s="47"/>
    </row>
    <row r="29739" spans="45:45">
      <c r="AS29739" s="47"/>
    </row>
    <row r="29740" spans="45:45">
      <c r="AS29740" s="47"/>
    </row>
    <row r="29741" spans="45:45">
      <c r="AS29741" s="47"/>
    </row>
    <row r="29742" spans="45:45">
      <c r="AS29742" s="47"/>
    </row>
    <row r="29743" spans="45:45">
      <c r="AS29743" s="47"/>
    </row>
    <row r="29744" spans="45:45">
      <c r="AS29744" s="47"/>
    </row>
    <row r="29745" spans="45:45">
      <c r="AS29745" s="47"/>
    </row>
    <row r="29746" spans="45:45">
      <c r="AS29746" s="47"/>
    </row>
    <row r="29747" spans="45:45">
      <c r="AS29747" s="47"/>
    </row>
    <row r="29748" spans="45:45">
      <c r="AS29748" s="47"/>
    </row>
    <row r="29749" spans="45:45">
      <c r="AS29749" s="47"/>
    </row>
    <row r="29750" spans="45:45">
      <c r="AS29750" s="47"/>
    </row>
    <row r="29751" spans="45:45">
      <c r="AS29751" s="47"/>
    </row>
    <row r="29752" spans="45:45">
      <c r="AS29752" s="47"/>
    </row>
    <row r="29753" spans="45:45">
      <c r="AS29753" s="47"/>
    </row>
    <row r="29754" spans="45:45">
      <c r="AS29754" s="47"/>
    </row>
    <row r="29755" spans="45:45">
      <c r="AS29755" s="47"/>
    </row>
    <row r="29756" spans="45:45">
      <c r="AS29756" s="47"/>
    </row>
    <row r="29757" spans="45:45">
      <c r="AS29757" s="47"/>
    </row>
    <row r="29758" spans="45:45">
      <c r="AS29758" s="47"/>
    </row>
    <row r="29759" spans="45:45">
      <c r="AS29759" s="47"/>
    </row>
    <row r="29760" spans="45:45">
      <c r="AS29760" s="47"/>
    </row>
    <row r="29761" spans="45:45">
      <c r="AS29761" s="47"/>
    </row>
    <row r="29762" spans="45:45">
      <c r="AS29762" s="47"/>
    </row>
    <row r="29763" spans="45:45">
      <c r="AS29763" s="47"/>
    </row>
    <row r="29764" spans="45:45">
      <c r="AS29764" s="47"/>
    </row>
    <row r="29765" spans="45:45">
      <c r="AS29765" s="47"/>
    </row>
    <row r="29766" spans="45:45">
      <c r="AS29766" s="47"/>
    </row>
    <row r="29767" spans="45:45">
      <c r="AS29767" s="47"/>
    </row>
    <row r="29768" spans="45:45">
      <c r="AS29768" s="47"/>
    </row>
    <row r="29769" spans="45:45">
      <c r="AS29769" s="47"/>
    </row>
    <row r="29770" spans="45:45">
      <c r="AS29770" s="47"/>
    </row>
    <row r="29771" spans="45:45">
      <c r="AS29771" s="47"/>
    </row>
    <row r="29772" spans="45:45">
      <c r="AS29772" s="47"/>
    </row>
    <row r="29773" spans="45:45">
      <c r="AS29773" s="47"/>
    </row>
    <row r="29774" spans="45:45">
      <c r="AS29774" s="47"/>
    </row>
    <row r="29775" spans="45:45">
      <c r="AS29775" s="47"/>
    </row>
    <row r="29776" spans="45:45">
      <c r="AS29776" s="47"/>
    </row>
    <row r="29777" spans="45:45">
      <c r="AS29777" s="47"/>
    </row>
    <row r="29778" spans="45:45">
      <c r="AS29778" s="47"/>
    </row>
    <row r="29779" spans="45:45">
      <c r="AS29779" s="47"/>
    </row>
    <row r="29780" spans="45:45">
      <c r="AS29780" s="47"/>
    </row>
    <row r="29781" spans="45:45">
      <c r="AS29781" s="47"/>
    </row>
    <row r="29782" spans="45:45">
      <c r="AS29782" s="47"/>
    </row>
    <row r="29783" spans="45:45">
      <c r="AS29783" s="47"/>
    </row>
    <row r="29784" spans="45:45">
      <c r="AS29784" s="47"/>
    </row>
    <row r="29785" spans="45:45">
      <c r="AS29785" s="47"/>
    </row>
    <row r="29786" spans="45:45">
      <c r="AS29786" s="47"/>
    </row>
    <row r="29787" spans="45:45">
      <c r="AS29787" s="47"/>
    </row>
    <row r="29788" spans="45:45">
      <c r="AS29788" s="47"/>
    </row>
    <row r="29789" spans="45:45">
      <c r="AS29789" s="47"/>
    </row>
    <row r="29790" spans="45:45">
      <c r="AS29790" s="47"/>
    </row>
    <row r="29791" spans="45:45">
      <c r="AS29791" s="47"/>
    </row>
    <row r="29792" spans="45:45">
      <c r="AS29792" s="47"/>
    </row>
    <row r="29793" spans="45:45">
      <c r="AS29793" s="47"/>
    </row>
    <row r="29794" spans="45:45">
      <c r="AS29794" s="47"/>
    </row>
    <row r="29795" spans="45:45">
      <c r="AS29795" s="47"/>
    </row>
    <row r="29796" spans="45:45">
      <c r="AS29796" s="47"/>
    </row>
    <row r="29797" spans="45:45">
      <c r="AS29797" s="47"/>
    </row>
    <row r="29798" spans="45:45">
      <c r="AS29798" s="47"/>
    </row>
    <row r="29799" spans="45:45">
      <c r="AS29799" s="47"/>
    </row>
    <row r="29800" spans="45:45">
      <c r="AS29800" s="47"/>
    </row>
    <row r="29801" spans="45:45">
      <c r="AS29801" s="47"/>
    </row>
    <row r="29802" spans="45:45">
      <c r="AS29802" s="47"/>
    </row>
    <row r="29803" spans="45:45">
      <c r="AS29803" s="47"/>
    </row>
    <row r="29804" spans="45:45">
      <c r="AS29804" s="47"/>
    </row>
    <row r="29805" spans="45:45">
      <c r="AS29805" s="47"/>
    </row>
    <row r="29806" spans="45:45">
      <c r="AS29806" s="47"/>
    </row>
    <row r="29807" spans="45:45">
      <c r="AS29807" s="47"/>
    </row>
    <row r="29808" spans="45:45">
      <c r="AS29808" s="47"/>
    </row>
    <row r="29809" spans="45:45">
      <c r="AS29809" s="47"/>
    </row>
    <row r="29810" spans="45:45">
      <c r="AS29810" s="47"/>
    </row>
    <row r="29811" spans="45:45">
      <c r="AS29811" s="47"/>
    </row>
    <row r="29812" spans="45:45">
      <c r="AS29812" s="47"/>
    </row>
    <row r="29813" spans="45:45">
      <c r="AS29813" s="47"/>
    </row>
    <row r="29814" spans="45:45">
      <c r="AS29814" s="47"/>
    </row>
    <row r="29815" spans="45:45">
      <c r="AS29815" s="47"/>
    </row>
    <row r="29816" spans="45:45">
      <c r="AS29816" s="47"/>
    </row>
    <row r="29817" spans="45:45">
      <c r="AS29817" s="47"/>
    </row>
    <row r="29818" spans="45:45">
      <c r="AS29818" s="47"/>
    </row>
    <row r="29819" spans="45:45">
      <c r="AS29819" s="47"/>
    </row>
    <row r="29820" spans="45:45">
      <c r="AS29820" s="47"/>
    </row>
    <row r="29821" spans="45:45">
      <c r="AS29821" s="47"/>
    </row>
    <row r="29822" spans="45:45">
      <c r="AS29822" s="47"/>
    </row>
    <row r="29823" spans="45:45">
      <c r="AS29823" s="47"/>
    </row>
    <row r="29824" spans="45:45">
      <c r="AS29824" s="47"/>
    </row>
    <row r="29825" spans="45:45">
      <c r="AS29825" s="47"/>
    </row>
    <row r="29826" spans="45:45">
      <c r="AS29826" s="47"/>
    </row>
    <row r="29827" spans="45:45">
      <c r="AS29827" s="47"/>
    </row>
    <row r="29828" spans="45:45">
      <c r="AS29828" s="47"/>
    </row>
    <row r="29829" spans="45:45">
      <c r="AS29829" s="47"/>
    </row>
    <row r="29830" spans="45:45">
      <c r="AS29830" s="47"/>
    </row>
    <row r="29831" spans="45:45">
      <c r="AS29831" s="47"/>
    </row>
    <row r="29832" spans="45:45">
      <c r="AS29832" s="47"/>
    </row>
    <row r="29833" spans="45:45">
      <c r="AS29833" s="47"/>
    </row>
    <row r="29834" spans="45:45">
      <c r="AS29834" s="47"/>
    </row>
    <row r="29835" spans="45:45">
      <c r="AS29835" s="47"/>
    </row>
    <row r="29836" spans="45:45">
      <c r="AS29836" s="47"/>
    </row>
    <row r="29837" spans="45:45">
      <c r="AS29837" s="47"/>
    </row>
    <row r="29838" spans="45:45">
      <c r="AS29838" s="47"/>
    </row>
    <row r="29839" spans="45:45">
      <c r="AS29839" s="47"/>
    </row>
    <row r="29840" spans="45:45">
      <c r="AS29840" s="47"/>
    </row>
    <row r="29841" spans="45:45">
      <c r="AS29841" s="47"/>
    </row>
    <row r="29842" spans="45:45">
      <c r="AS29842" s="47"/>
    </row>
    <row r="29843" spans="45:45">
      <c r="AS29843" s="47"/>
    </row>
    <row r="29844" spans="45:45">
      <c r="AS29844" s="47"/>
    </row>
    <row r="29845" spans="45:45">
      <c r="AS29845" s="47"/>
    </row>
    <row r="29846" spans="45:45">
      <c r="AS29846" s="47"/>
    </row>
    <row r="29847" spans="45:45">
      <c r="AS29847" s="47"/>
    </row>
    <row r="29848" spans="45:45">
      <c r="AS29848" s="47"/>
    </row>
    <row r="29849" spans="45:45">
      <c r="AS29849" s="47"/>
    </row>
    <row r="29850" spans="45:45">
      <c r="AS29850" s="47"/>
    </row>
    <row r="29851" spans="45:45">
      <c r="AS29851" s="47"/>
    </row>
    <row r="29852" spans="45:45">
      <c r="AS29852" s="47"/>
    </row>
    <row r="29853" spans="45:45">
      <c r="AS29853" s="47"/>
    </row>
    <row r="29854" spans="45:45">
      <c r="AS29854" s="47"/>
    </row>
    <row r="29855" spans="45:45">
      <c r="AS29855" s="47"/>
    </row>
    <row r="29856" spans="45:45">
      <c r="AS29856" s="47"/>
    </row>
    <row r="29857" spans="45:45">
      <c r="AS29857" s="47"/>
    </row>
    <row r="29858" spans="45:45">
      <c r="AS29858" s="47"/>
    </row>
    <row r="29859" spans="45:45">
      <c r="AS29859" s="47"/>
    </row>
    <row r="29860" spans="45:45">
      <c r="AS29860" s="47"/>
    </row>
    <row r="29861" spans="45:45">
      <c r="AS29861" s="47"/>
    </row>
    <row r="29862" spans="45:45">
      <c r="AS29862" s="47"/>
    </row>
    <row r="29863" spans="45:45">
      <c r="AS29863" s="47"/>
    </row>
    <row r="29864" spans="45:45">
      <c r="AS29864" s="47"/>
    </row>
    <row r="29865" spans="45:45">
      <c r="AS29865" s="47"/>
    </row>
    <row r="29866" spans="45:45">
      <c r="AS29866" s="47"/>
    </row>
    <row r="29867" spans="45:45">
      <c r="AS29867" s="47"/>
    </row>
    <row r="29868" spans="45:45">
      <c r="AS29868" s="47"/>
    </row>
    <row r="29869" spans="45:45">
      <c r="AS29869" s="47"/>
    </row>
    <row r="29870" spans="45:45">
      <c r="AS29870" s="47"/>
    </row>
    <row r="29871" spans="45:45">
      <c r="AS29871" s="47"/>
    </row>
    <row r="29872" spans="45:45">
      <c r="AS29872" s="47"/>
    </row>
    <row r="29873" spans="45:45">
      <c r="AS29873" s="47"/>
    </row>
    <row r="29874" spans="45:45">
      <c r="AS29874" s="47"/>
    </row>
    <row r="29875" spans="45:45">
      <c r="AS29875" s="47"/>
    </row>
    <row r="29876" spans="45:45">
      <c r="AS29876" s="47"/>
    </row>
    <row r="29877" spans="45:45">
      <c r="AS29877" s="47"/>
    </row>
    <row r="29878" spans="45:45">
      <c r="AS29878" s="47"/>
    </row>
    <row r="29879" spans="45:45">
      <c r="AS29879" s="47"/>
    </row>
    <row r="29880" spans="45:45">
      <c r="AS29880" s="47"/>
    </row>
    <row r="29881" spans="45:45">
      <c r="AS29881" s="47"/>
    </row>
    <row r="29882" spans="45:45">
      <c r="AS29882" s="47"/>
    </row>
    <row r="29883" spans="45:45">
      <c r="AS29883" s="47"/>
    </row>
    <row r="29884" spans="45:45">
      <c r="AS29884" s="47"/>
    </row>
    <row r="29885" spans="45:45">
      <c r="AS29885" s="47"/>
    </row>
    <row r="29886" spans="45:45">
      <c r="AS29886" s="47"/>
    </row>
    <row r="29887" spans="45:45">
      <c r="AS29887" s="47"/>
    </row>
    <row r="29888" spans="45:45">
      <c r="AS29888" s="47"/>
    </row>
    <row r="29889" spans="45:45">
      <c r="AS29889" s="47"/>
    </row>
    <row r="29890" spans="45:45">
      <c r="AS29890" s="47"/>
    </row>
    <row r="29891" spans="45:45">
      <c r="AS29891" s="47"/>
    </row>
    <row r="29892" spans="45:45">
      <c r="AS29892" s="47"/>
    </row>
    <row r="29893" spans="45:45">
      <c r="AS29893" s="47"/>
    </row>
    <row r="29894" spans="45:45">
      <c r="AS29894" s="47"/>
    </row>
    <row r="29895" spans="45:45">
      <c r="AS29895" s="47"/>
    </row>
    <row r="29896" spans="45:45">
      <c r="AS29896" s="47"/>
    </row>
    <row r="29897" spans="45:45">
      <c r="AS29897" s="47"/>
    </row>
    <row r="29898" spans="45:45">
      <c r="AS29898" s="47"/>
    </row>
    <row r="29899" spans="45:45">
      <c r="AS29899" s="47"/>
    </row>
    <row r="29900" spans="45:45">
      <c r="AS29900" s="47"/>
    </row>
    <row r="29901" spans="45:45">
      <c r="AS29901" s="47"/>
    </row>
    <row r="29902" spans="45:45">
      <c r="AS29902" s="47"/>
    </row>
    <row r="29903" spans="45:45">
      <c r="AS29903" s="47"/>
    </row>
    <row r="29904" spans="45:45">
      <c r="AS29904" s="47"/>
    </row>
    <row r="29905" spans="45:45">
      <c r="AS29905" s="47"/>
    </row>
    <row r="29906" spans="45:45">
      <c r="AS29906" s="47"/>
    </row>
    <row r="29907" spans="45:45">
      <c r="AS29907" s="47"/>
    </row>
    <row r="29908" spans="45:45">
      <c r="AS29908" s="47"/>
    </row>
    <row r="29909" spans="45:45">
      <c r="AS29909" s="47"/>
    </row>
    <row r="29910" spans="45:45">
      <c r="AS29910" s="47"/>
    </row>
    <row r="29911" spans="45:45">
      <c r="AS29911" s="47"/>
    </row>
    <row r="29912" spans="45:45">
      <c r="AS29912" s="47"/>
    </row>
    <row r="29913" spans="45:45">
      <c r="AS29913" s="47"/>
    </row>
    <row r="29914" spans="45:45">
      <c r="AS29914" s="47"/>
    </row>
    <row r="29915" spans="45:45">
      <c r="AS29915" s="47"/>
    </row>
    <row r="29916" spans="45:45">
      <c r="AS29916" s="47"/>
    </row>
    <row r="29917" spans="45:45">
      <c r="AS29917" s="47"/>
    </row>
    <row r="29918" spans="45:45">
      <c r="AS29918" s="47"/>
    </row>
    <row r="29919" spans="45:45">
      <c r="AS29919" s="47"/>
    </row>
    <row r="29920" spans="45:45">
      <c r="AS29920" s="47"/>
    </row>
    <row r="29921" spans="45:45">
      <c r="AS29921" s="47"/>
    </row>
    <row r="29922" spans="45:45">
      <c r="AS29922" s="47"/>
    </row>
    <row r="29923" spans="45:45">
      <c r="AS29923" s="47"/>
    </row>
    <row r="29924" spans="45:45">
      <c r="AS29924" s="47"/>
    </row>
    <row r="29925" spans="45:45">
      <c r="AS29925" s="47"/>
    </row>
    <row r="29926" spans="45:45">
      <c r="AS29926" s="47"/>
    </row>
    <row r="29927" spans="45:45">
      <c r="AS29927" s="47"/>
    </row>
    <row r="29928" spans="45:45">
      <c r="AS29928" s="47"/>
    </row>
    <row r="29929" spans="45:45">
      <c r="AS29929" s="47"/>
    </row>
    <row r="29930" spans="45:45">
      <c r="AS29930" s="47"/>
    </row>
    <row r="29931" spans="45:45">
      <c r="AS29931" s="47"/>
    </row>
    <row r="29932" spans="45:45">
      <c r="AS29932" s="47"/>
    </row>
    <row r="29933" spans="45:45">
      <c r="AS29933" s="47"/>
    </row>
    <row r="29934" spans="45:45">
      <c r="AS29934" s="47"/>
    </row>
    <row r="29935" spans="45:45">
      <c r="AS29935" s="47"/>
    </row>
    <row r="29936" spans="45:45">
      <c r="AS29936" s="47"/>
    </row>
    <row r="29937" spans="45:45">
      <c r="AS29937" s="47"/>
    </row>
    <row r="29938" spans="45:45">
      <c r="AS29938" s="47"/>
    </row>
    <row r="29939" spans="45:45">
      <c r="AS29939" s="47"/>
    </row>
    <row r="29940" spans="45:45">
      <c r="AS29940" s="47"/>
    </row>
    <row r="29941" spans="45:45">
      <c r="AS29941" s="47"/>
    </row>
    <row r="29942" spans="45:45">
      <c r="AS29942" s="47"/>
    </row>
    <row r="29943" spans="45:45">
      <c r="AS29943" s="47"/>
    </row>
    <row r="29944" spans="45:45">
      <c r="AS29944" s="47"/>
    </row>
    <row r="29945" spans="45:45">
      <c r="AS29945" s="47"/>
    </row>
    <row r="29946" spans="45:45">
      <c r="AS29946" s="47"/>
    </row>
    <row r="29947" spans="45:45">
      <c r="AS29947" s="47"/>
    </row>
    <row r="29948" spans="45:45">
      <c r="AS29948" s="47"/>
    </row>
    <row r="29949" spans="45:45">
      <c r="AS29949" s="47"/>
    </row>
    <row r="29950" spans="45:45">
      <c r="AS29950" s="47"/>
    </row>
    <row r="29951" spans="45:45">
      <c r="AS29951" s="47"/>
    </row>
    <row r="29952" spans="45:45">
      <c r="AS29952" s="47"/>
    </row>
    <row r="29953" spans="45:45">
      <c r="AS29953" s="47"/>
    </row>
    <row r="29954" spans="45:45">
      <c r="AS29954" s="47"/>
    </row>
    <row r="29955" spans="45:45">
      <c r="AS29955" s="47"/>
    </row>
    <row r="29956" spans="45:45">
      <c r="AS29956" s="47"/>
    </row>
    <row r="29957" spans="45:45">
      <c r="AS29957" s="47"/>
    </row>
    <row r="29958" spans="45:45">
      <c r="AS29958" s="47"/>
    </row>
    <row r="29959" spans="45:45">
      <c r="AS29959" s="47"/>
    </row>
    <row r="29960" spans="45:45">
      <c r="AS29960" s="47"/>
    </row>
    <row r="29961" spans="45:45">
      <c r="AS29961" s="47"/>
    </row>
    <row r="29962" spans="45:45">
      <c r="AS29962" s="47"/>
    </row>
    <row r="29963" spans="45:45">
      <c r="AS29963" s="47"/>
    </row>
    <row r="29964" spans="45:45">
      <c r="AS29964" s="47"/>
    </row>
    <row r="29965" spans="45:45">
      <c r="AS29965" s="47"/>
    </row>
    <row r="29966" spans="45:45">
      <c r="AS29966" s="47"/>
    </row>
    <row r="29967" spans="45:45">
      <c r="AS29967" s="47"/>
    </row>
    <row r="29968" spans="45:45">
      <c r="AS29968" s="47"/>
    </row>
    <row r="29969" spans="45:45">
      <c r="AS29969" s="47"/>
    </row>
    <row r="29970" spans="45:45">
      <c r="AS29970" s="47"/>
    </row>
    <row r="29971" spans="45:45">
      <c r="AS29971" s="47"/>
    </row>
    <row r="29972" spans="45:45">
      <c r="AS29972" s="47"/>
    </row>
    <row r="29973" spans="45:45">
      <c r="AS29973" s="47"/>
    </row>
    <row r="29974" spans="45:45">
      <c r="AS29974" s="47"/>
    </row>
    <row r="29975" spans="45:45">
      <c r="AS29975" s="47"/>
    </row>
    <row r="29976" spans="45:45">
      <c r="AS29976" s="47"/>
    </row>
    <row r="29977" spans="45:45">
      <c r="AS29977" s="47"/>
    </row>
    <row r="29978" spans="45:45">
      <c r="AS29978" s="47"/>
    </row>
    <row r="29979" spans="45:45">
      <c r="AS29979" s="47"/>
    </row>
    <row r="29980" spans="45:45">
      <c r="AS29980" s="47"/>
    </row>
    <row r="29981" spans="45:45">
      <c r="AS29981" s="47"/>
    </row>
    <row r="29982" spans="45:45">
      <c r="AS29982" s="47"/>
    </row>
    <row r="29983" spans="45:45">
      <c r="AS29983" s="47"/>
    </row>
    <row r="29984" spans="45:45">
      <c r="AS29984" s="47"/>
    </row>
    <row r="29985" spans="45:45">
      <c r="AS29985" s="47"/>
    </row>
    <row r="29986" spans="45:45">
      <c r="AS29986" s="47"/>
    </row>
    <row r="29987" spans="45:45">
      <c r="AS29987" s="47"/>
    </row>
    <row r="29988" spans="45:45">
      <c r="AS29988" s="47"/>
    </row>
    <row r="29989" spans="45:45">
      <c r="AS29989" s="47"/>
    </row>
    <row r="29990" spans="45:45">
      <c r="AS29990" s="47"/>
    </row>
    <row r="29991" spans="45:45">
      <c r="AS29991" s="47"/>
    </row>
    <row r="29992" spans="45:45">
      <c r="AS29992" s="47"/>
    </row>
    <row r="29993" spans="45:45">
      <c r="AS29993" s="47"/>
    </row>
    <row r="29994" spans="45:45">
      <c r="AS29994" s="47"/>
    </row>
    <row r="29995" spans="45:45">
      <c r="AS29995" s="47"/>
    </row>
    <row r="29996" spans="45:45">
      <c r="AS29996" s="47"/>
    </row>
    <row r="29997" spans="45:45">
      <c r="AS29997" s="47"/>
    </row>
    <row r="29998" spans="45:45">
      <c r="AS29998" s="47"/>
    </row>
    <row r="29999" spans="45:45">
      <c r="AS29999" s="47"/>
    </row>
    <row r="30000" spans="45:45">
      <c r="AS30000" s="47"/>
    </row>
    <row r="30001" spans="45:45">
      <c r="AS30001" s="47"/>
    </row>
    <row r="30002" spans="45:45">
      <c r="AS30002" s="47"/>
    </row>
    <row r="30003" spans="45:45">
      <c r="AS30003" s="47"/>
    </row>
    <row r="30004" spans="45:45">
      <c r="AS30004" s="47"/>
    </row>
    <row r="30005" spans="45:45">
      <c r="AS30005" s="47"/>
    </row>
    <row r="30006" spans="45:45">
      <c r="AS30006" s="47"/>
    </row>
    <row r="30007" spans="45:45">
      <c r="AS30007" s="47"/>
    </row>
    <row r="30008" spans="45:45">
      <c r="AS30008" s="47"/>
    </row>
    <row r="30009" spans="45:45">
      <c r="AS30009" s="47"/>
    </row>
    <row r="30010" spans="45:45">
      <c r="AS30010" s="47"/>
    </row>
    <row r="30011" spans="45:45">
      <c r="AS30011" s="47"/>
    </row>
    <row r="30012" spans="45:45">
      <c r="AS30012" s="47"/>
    </row>
    <row r="30013" spans="45:45">
      <c r="AS30013" s="47"/>
    </row>
    <row r="30014" spans="45:45">
      <c r="AS30014" s="47"/>
    </row>
    <row r="30015" spans="45:45">
      <c r="AS30015" s="47"/>
    </row>
    <row r="30016" spans="45:45">
      <c r="AS30016" s="47"/>
    </row>
    <row r="30017" spans="45:45">
      <c r="AS30017" s="47"/>
    </row>
    <row r="30018" spans="45:45">
      <c r="AS30018" s="47"/>
    </row>
    <row r="30019" spans="45:45">
      <c r="AS30019" s="47"/>
    </row>
    <row r="30020" spans="45:45">
      <c r="AS30020" s="47"/>
    </row>
    <row r="30021" spans="45:45">
      <c r="AS30021" s="47"/>
    </row>
    <row r="30022" spans="45:45">
      <c r="AS30022" s="47"/>
    </row>
    <row r="30023" spans="45:45">
      <c r="AS30023" s="47"/>
    </row>
    <row r="30024" spans="45:45">
      <c r="AS30024" s="47"/>
    </row>
    <row r="30025" spans="45:45">
      <c r="AS30025" s="47"/>
    </row>
    <row r="30026" spans="45:45">
      <c r="AS30026" s="47"/>
    </row>
    <row r="30027" spans="45:45">
      <c r="AS30027" s="47"/>
    </row>
    <row r="30028" spans="45:45">
      <c r="AS30028" s="47"/>
    </row>
    <row r="30029" spans="45:45">
      <c r="AS30029" s="47"/>
    </row>
    <row r="30030" spans="45:45">
      <c r="AS30030" s="47"/>
    </row>
    <row r="30031" spans="45:45">
      <c r="AS30031" s="47"/>
    </row>
    <row r="30032" spans="45:45">
      <c r="AS30032" s="47"/>
    </row>
    <row r="30033" spans="45:45">
      <c r="AS30033" s="47"/>
    </row>
    <row r="30034" spans="45:45">
      <c r="AS30034" s="47"/>
    </row>
    <row r="30035" spans="45:45">
      <c r="AS30035" s="47"/>
    </row>
    <row r="30036" spans="45:45">
      <c r="AS30036" s="47"/>
    </row>
    <row r="30037" spans="45:45">
      <c r="AS30037" s="47"/>
    </row>
    <row r="30038" spans="45:45">
      <c r="AS30038" s="47"/>
    </row>
    <row r="30039" spans="45:45">
      <c r="AS30039" s="47"/>
    </row>
    <row r="30040" spans="45:45">
      <c r="AS30040" s="47"/>
    </row>
    <row r="30041" spans="45:45">
      <c r="AS30041" s="47"/>
    </row>
    <row r="30042" spans="45:45">
      <c r="AS30042" s="47"/>
    </row>
    <row r="30043" spans="45:45">
      <c r="AS30043" s="47"/>
    </row>
    <row r="30044" spans="45:45">
      <c r="AS30044" s="47"/>
    </row>
    <row r="30045" spans="45:45">
      <c r="AS30045" s="47"/>
    </row>
    <row r="30046" spans="45:45">
      <c r="AS30046" s="47"/>
    </row>
    <row r="30047" spans="45:45">
      <c r="AS30047" s="47"/>
    </row>
    <row r="30048" spans="45:45">
      <c r="AS30048" s="47"/>
    </row>
    <row r="30049" spans="45:45">
      <c r="AS30049" s="47"/>
    </row>
    <row r="30050" spans="45:45">
      <c r="AS30050" s="47"/>
    </row>
    <row r="30051" spans="45:45">
      <c r="AS30051" s="47"/>
    </row>
    <row r="30052" spans="45:45">
      <c r="AS30052" s="47"/>
    </row>
    <row r="30053" spans="45:45">
      <c r="AS30053" s="47"/>
    </row>
    <row r="30054" spans="45:45">
      <c r="AS30054" s="47"/>
    </row>
    <row r="30055" spans="45:45">
      <c r="AS30055" s="47"/>
    </row>
    <row r="30056" spans="45:45">
      <c r="AS30056" s="47"/>
    </row>
    <row r="30057" spans="45:45">
      <c r="AS30057" s="47"/>
    </row>
    <row r="30058" spans="45:45">
      <c r="AS30058" s="47"/>
    </row>
    <row r="30059" spans="45:45">
      <c r="AS30059" s="47"/>
    </row>
    <row r="30060" spans="45:45">
      <c r="AS30060" s="47"/>
    </row>
    <row r="30061" spans="45:45">
      <c r="AS30061" s="47"/>
    </row>
    <row r="30062" spans="45:45">
      <c r="AS30062" s="47"/>
    </row>
    <row r="30063" spans="45:45">
      <c r="AS30063" s="47"/>
    </row>
    <row r="30064" spans="45:45">
      <c r="AS30064" s="47"/>
    </row>
    <row r="30065" spans="45:45">
      <c r="AS30065" s="47"/>
    </row>
    <row r="30066" spans="45:45">
      <c r="AS30066" s="47"/>
    </row>
    <row r="30067" spans="45:45">
      <c r="AS30067" s="47"/>
    </row>
    <row r="30068" spans="45:45">
      <c r="AS30068" s="47"/>
    </row>
    <row r="30069" spans="45:45">
      <c r="AS30069" s="47"/>
    </row>
    <row r="30070" spans="45:45">
      <c r="AS30070" s="47"/>
    </row>
    <row r="30071" spans="45:45">
      <c r="AS30071" s="47"/>
    </row>
    <row r="30072" spans="45:45">
      <c r="AS30072" s="47"/>
    </row>
    <row r="30073" spans="45:45">
      <c r="AS30073" s="47"/>
    </row>
    <row r="30074" spans="45:45">
      <c r="AS30074" s="47"/>
    </row>
    <row r="30075" spans="45:45">
      <c r="AS30075" s="47"/>
    </row>
    <row r="30076" spans="45:45">
      <c r="AS30076" s="47"/>
    </row>
    <row r="30077" spans="45:45">
      <c r="AS30077" s="47"/>
    </row>
    <row r="30078" spans="45:45">
      <c r="AS30078" s="47"/>
    </row>
    <row r="30079" spans="45:45">
      <c r="AS30079" s="47"/>
    </row>
    <row r="30080" spans="45:45">
      <c r="AS30080" s="47"/>
    </row>
    <row r="30081" spans="45:45">
      <c r="AS30081" s="47"/>
    </row>
    <row r="30082" spans="45:45">
      <c r="AS30082" s="47"/>
    </row>
    <row r="30083" spans="45:45">
      <c r="AS30083" s="47"/>
    </row>
    <row r="30084" spans="45:45">
      <c r="AS30084" s="47"/>
    </row>
    <row r="30085" spans="45:45">
      <c r="AS30085" s="47"/>
    </row>
    <row r="30086" spans="45:45">
      <c r="AS30086" s="47"/>
    </row>
    <row r="30087" spans="45:45">
      <c r="AS30087" s="47"/>
    </row>
    <row r="30088" spans="45:45">
      <c r="AS30088" s="47"/>
    </row>
    <row r="30089" spans="45:45">
      <c r="AS30089" s="47"/>
    </row>
    <row r="30090" spans="45:45">
      <c r="AS30090" s="47"/>
    </row>
    <row r="30091" spans="45:45">
      <c r="AS30091" s="47"/>
    </row>
    <row r="30092" spans="45:45">
      <c r="AS30092" s="47"/>
    </row>
    <row r="30093" spans="45:45">
      <c r="AS30093" s="47"/>
    </row>
    <row r="30094" spans="45:45">
      <c r="AS30094" s="47"/>
    </row>
    <row r="30095" spans="45:45">
      <c r="AS30095" s="47"/>
    </row>
    <row r="30096" spans="45:45">
      <c r="AS30096" s="47"/>
    </row>
    <row r="30097" spans="45:45">
      <c r="AS30097" s="47"/>
    </row>
    <row r="30098" spans="45:45">
      <c r="AS30098" s="47"/>
    </row>
    <row r="30099" spans="45:45">
      <c r="AS30099" s="47"/>
    </row>
    <row r="30100" spans="45:45">
      <c r="AS30100" s="47"/>
    </row>
    <row r="30101" spans="45:45">
      <c r="AS30101" s="47"/>
    </row>
    <row r="30102" spans="45:45">
      <c r="AS30102" s="47"/>
    </row>
    <row r="30103" spans="45:45">
      <c r="AS30103" s="47"/>
    </row>
    <row r="30104" spans="45:45">
      <c r="AS30104" s="47"/>
    </row>
    <row r="30105" spans="45:45">
      <c r="AS30105" s="47"/>
    </row>
    <row r="30106" spans="45:45">
      <c r="AS30106" s="47"/>
    </row>
    <row r="30107" spans="45:45">
      <c r="AS30107" s="47"/>
    </row>
    <row r="30108" spans="45:45">
      <c r="AS30108" s="47"/>
    </row>
    <row r="30109" spans="45:45">
      <c r="AS30109" s="47"/>
    </row>
    <row r="30110" spans="45:45">
      <c r="AS30110" s="47"/>
    </row>
    <row r="30111" spans="45:45">
      <c r="AS30111" s="47"/>
    </row>
    <row r="30112" spans="45:45">
      <c r="AS30112" s="47"/>
    </row>
    <row r="30113" spans="45:45">
      <c r="AS30113" s="47"/>
    </row>
    <row r="30114" spans="45:45">
      <c r="AS30114" s="47"/>
    </row>
    <row r="30115" spans="45:45">
      <c r="AS30115" s="47"/>
    </row>
    <row r="30116" spans="45:45">
      <c r="AS30116" s="47"/>
    </row>
    <row r="30117" spans="45:45">
      <c r="AS30117" s="47"/>
    </row>
    <row r="30118" spans="45:45">
      <c r="AS30118" s="47"/>
    </row>
    <row r="30119" spans="45:45">
      <c r="AS30119" s="47"/>
    </row>
    <row r="30120" spans="45:45">
      <c r="AS30120" s="47"/>
    </row>
    <row r="30121" spans="45:45">
      <c r="AS30121" s="47"/>
    </row>
    <row r="30122" spans="45:45">
      <c r="AS30122" s="47"/>
    </row>
    <row r="30123" spans="45:45">
      <c r="AS30123" s="47"/>
    </row>
    <row r="30124" spans="45:45">
      <c r="AS30124" s="47"/>
    </row>
    <row r="30125" spans="45:45">
      <c r="AS30125" s="47"/>
    </row>
    <row r="30126" spans="45:45">
      <c r="AS30126" s="47"/>
    </row>
    <row r="30127" spans="45:45">
      <c r="AS30127" s="47"/>
    </row>
    <row r="30128" spans="45:45">
      <c r="AS30128" s="47"/>
    </row>
    <row r="30129" spans="45:45">
      <c r="AS30129" s="47"/>
    </row>
    <row r="30130" spans="45:45">
      <c r="AS30130" s="47"/>
    </row>
    <row r="30131" spans="45:45">
      <c r="AS30131" s="47"/>
    </row>
    <row r="30132" spans="45:45">
      <c r="AS30132" s="47"/>
    </row>
    <row r="30133" spans="45:45">
      <c r="AS30133" s="47"/>
    </row>
    <row r="30134" spans="45:45">
      <c r="AS30134" s="47"/>
    </row>
    <row r="30135" spans="45:45">
      <c r="AS30135" s="47"/>
    </row>
    <row r="30136" spans="45:45">
      <c r="AS30136" s="47"/>
    </row>
    <row r="30137" spans="45:45">
      <c r="AS30137" s="47"/>
    </row>
    <row r="30138" spans="45:45">
      <c r="AS30138" s="47"/>
    </row>
    <row r="30139" spans="45:45">
      <c r="AS30139" s="47"/>
    </row>
    <row r="30140" spans="45:45">
      <c r="AS30140" s="47"/>
    </row>
    <row r="30141" spans="45:45">
      <c r="AS30141" s="47"/>
    </row>
    <row r="30142" spans="45:45">
      <c r="AS30142" s="47"/>
    </row>
    <row r="30143" spans="45:45">
      <c r="AS30143" s="47"/>
    </row>
    <row r="30144" spans="45:45">
      <c r="AS30144" s="47"/>
    </row>
    <row r="30145" spans="45:45">
      <c r="AS30145" s="47"/>
    </row>
    <row r="30146" spans="45:45">
      <c r="AS30146" s="47"/>
    </row>
    <row r="30147" spans="45:45">
      <c r="AS30147" s="47"/>
    </row>
    <row r="30148" spans="45:45">
      <c r="AS30148" s="47"/>
    </row>
    <row r="30149" spans="45:45">
      <c r="AS30149" s="47"/>
    </row>
    <row r="30150" spans="45:45">
      <c r="AS30150" s="47"/>
    </row>
    <row r="30151" spans="45:45">
      <c r="AS30151" s="47"/>
    </row>
    <row r="30152" spans="45:45">
      <c r="AS30152" s="47"/>
    </row>
    <row r="30153" spans="45:45">
      <c r="AS30153" s="47"/>
    </row>
    <row r="30154" spans="45:45">
      <c r="AS30154" s="47"/>
    </row>
    <row r="30155" spans="45:45">
      <c r="AS30155" s="47"/>
    </row>
    <row r="30156" spans="45:45">
      <c r="AS30156" s="47"/>
    </row>
    <row r="30157" spans="45:45">
      <c r="AS30157" s="47"/>
    </row>
    <row r="30158" spans="45:45">
      <c r="AS30158" s="47"/>
    </row>
    <row r="30159" spans="45:45">
      <c r="AS30159" s="47"/>
    </row>
    <row r="30160" spans="45:45">
      <c r="AS30160" s="47"/>
    </row>
    <row r="30161" spans="45:45">
      <c r="AS30161" s="47"/>
    </row>
    <row r="30162" spans="45:45">
      <c r="AS30162" s="47"/>
    </row>
    <row r="30163" spans="45:45">
      <c r="AS30163" s="47"/>
    </row>
    <row r="30164" spans="45:45">
      <c r="AS30164" s="47"/>
    </row>
    <row r="30165" spans="45:45">
      <c r="AS30165" s="47"/>
    </row>
    <row r="30166" spans="45:45">
      <c r="AS30166" s="47"/>
    </row>
    <row r="30167" spans="45:45">
      <c r="AS30167" s="47"/>
    </row>
    <row r="30168" spans="45:45">
      <c r="AS30168" s="47"/>
    </row>
    <row r="30169" spans="45:45">
      <c r="AS30169" s="47"/>
    </row>
    <row r="30170" spans="45:45">
      <c r="AS30170" s="47"/>
    </row>
    <row r="30171" spans="45:45">
      <c r="AS30171" s="47"/>
    </row>
    <row r="30172" spans="45:45">
      <c r="AS30172" s="47"/>
    </row>
    <row r="30173" spans="45:45">
      <c r="AS30173" s="47"/>
    </row>
    <row r="30174" spans="45:45">
      <c r="AS30174" s="47"/>
    </row>
    <row r="30175" spans="45:45">
      <c r="AS30175" s="47"/>
    </row>
    <row r="30176" spans="45:45">
      <c r="AS30176" s="47"/>
    </row>
    <row r="30177" spans="45:45">
      <c r="AS30177" s="47"/>
    </row>
    <row r="30178" spans="45:45">
      <c r="AS30178" s="47"/>
    </row>
    <row r="30179" spans="45:45">
      <c r="AS30179" s="47"/>
    </row>
    <row r="30180" spans="45:45">
      <c r="AS30180" s="47"/>
    </row>
    <row r="30181" spans="45:45">
      <c r="AS30181" s="47"/>
    </row>
    <row r="30182" spans="45:45">
      <c r="AS30182" s="47"/>
    </row>
    <row r="30183" spans="45:45">
      <c r="AS30183" s="47"/>
    </row>
    <row r="30184" spans="45:45">
      <c r="AS30184" s="47"/>
    </row>
    <row r="30185" spans="45:45">
      <c r="AS30185" s="47"/>
    </row>
    <row r="30186" spans="45:45">
      <c r="AS30186" s="47"/>
    </row>
    <row r="30187" spans="45:45">
      <c r="AS30187" s="47"/>
    </row>
    <row r="30188" spans="45:45">
      <c r="AS30188" s="47"/>
    </row>
    <row r="30189" spans="45:45">
      <c r="AS30189" s="47"/>
    </row>
    <row r="30190" spans="45:45">
      <c r="AS30190" s="47"/>
    </row>
    <row r="30191" spans="45:45">
      <c r="AS30191" s="47"/>
    </row>
    <row r="30192" spans="45:45">
      <c r="AS30192" s="47"/>
    </row>
    <row r="30193" spans="45:45">
      <c r="AS30193" s="47"/>
    </row>
    <row r="30194" spans="45:45">
      <c r="AS30194" s="47"/>
    </row>
    <row r="30195" spans="45:45">
      <c r="AS30195" s="47"/>
    </row>
    <row r="30196" spans="45:45">
      <c r="AS30196" s="47"/>
    </row>
    <row r="30197" spans="45:45">
      <c r="AS30197" s="47"/>
    </row>
    <row r="30198" spans="45:45">
      <c r="AS30198" s="47"/>
    </row>
    <row r="30199" spans="45:45">
      <c r="AS30199" s="47"/>
    </row>
    <row r="30200" spans="45:45">
      <c r="AS30200" s="47"/>
    </row>
    <row r="30201" spans="45:45">
      <c r="AS30201" s="47"/>
    </row>
    <row r="30202" spans="45:45">
      <c r="AS30202" s="47"/>
    </row>
    <row r="30203" spans="45:45">
      <c r="AS30203" s="47"/>
    </row>
    <row r="30204" spans="45:45">
      <c r="AS30204" s="47"/>
    </row>
    <row r="30205" spans="45:45">
      <c r="AS30205" s="47"/>
    </row>
    <row r="30206" spans="45:45">
      <c r="AS30206" s="47"/>
    </row>
    <row r="30207" spans="45:45">
      <c r="AS30207" s="47"/>
    </row>
    <row r="30208" spans="45:45">
      <c r="AS30208" s="47"/>
    </row>
    <row r="30209" spans="45:45">
      <c r="AS30209" s="47"/>
    </row>
    <row r="30210" spans="45:45">
      <c r="AS30210" s="47"/>
    </row>
    <row r="30211" spans="45:45">
      <c r="AS30211" s="47"/>
    </row>
    <row r="30212" spans="45:45">
      <c r="AS30212" s="47"/>
    </row>
    <row r="30213" spans="45:45">
      <c r="AS30213" s="47"/>
    </row>
    <row r="30214" spans="45:45">
      <c r="AS30214" s="47"/>
    </row>
    <row r="30215" spans="45:45">
      <c r="AS30215" s="47"/>
    </row>
    <row r="30216" spans="45:45">
      <c r="AS30216" s="47"/>
    </row>
    <row r="30217" spans="45:45">
      <c r="AS30217" s="47"/>
    </row>
    <row r="30218" spans="45:45">
      <c r="AS30218" s="47"/>
    </row>
    <row r="30219" spans="45:45">
      <c r="AS30219" s="47"/>
    </row>
    <row r="30220" spans="45:45">
      <c r="AS30220" s="47"/>
    </row>
    <row r="30221" spans="45:45">
      <c r="AS30221" s="47"/>
    </row>
    <row r="30222" spans="45:45">
      <c r="AS30222" s="47"/>
    </row>
    <row r="30223" spans="45:45">
      <c r="AS30223" s="47"/>
    </row>
    <row r="30224" spans="45:45">
      <c r="AS30224" s="47"/>
    </row>
    <row r="30225" spans="45:45">
      <c r="AS30225" s="47"/>
    </row>
    <row r="30226" spans="45:45">
      <c r="AS30226" s="47"/>
    </row>
    <row r="30227" spans="45:45">
      <c r="AS30227" s="47"/>
    </row>
    <row r="30228" spans="45:45">
      <c r="AS30228" s="47"/>
    </row>
    <row r="30229" spans="45:45">
      <c r="AS30229" s="47"/>
    </row>
    <row r="30230" spans="45:45">
      <c r="AS30230" s="47"/>
    </row>
    <row r="30231" spans="45:45">
      <c r="AS30231" s="47"/>
    </row>
    <row r="30232" spans="45:45">
      <c r="AS30232" s="47"/>
    </row>
    <row r="30233" spans="45:45">
      <c r="AS30233" s="47"/>
    </row>
    <row r="30234" spans="45:45">
      <c r="AS30234" s="47"/>
    </row>
    <row r="30235" spans="45:45">
      <c r="AS30235" s="47"/>
    </row>
    <row r="30236" spans="45:45">
      <c r="AS30236" s="47"/>
    </row>
    <row r="30237" spans="45:45">
      <c r="AS30237" s="47"/>
    </row>
    <row r="30238" spans="45:45">
      <c r="AS30238" s="47"/>
    </row>
    <row r="30239" spans="45:45">
      <c r="AS30239" s="47"/>
    </row>
    <row r="30240" spans="45:45">
      <c r="AS30240" s="47"/>
    </row>
    <row r="30241" spans="45:45">
      <c r="AS30241" s="47"/>
    </row>
    <row r="30242" spans="45:45">
      <c r="AS30242" s="47"/>
    </row>
    <row r="30243" spans="45:45">
      <c r="AS30243" s="47"/>
    </row>
    <row r="30244" spans="45:45">
      <c r="AS30244" s="47"/>
    </row>
    <row r="30245" spans="45:45">
      <c r="AS30245" s="47"/>
    </row>
    <row r="30246" spans="45:45">
      <c r="AS30246" s="47"/>
    </row>
    <row r="30247" spans="45:45">
      <c r="AS30247" s="47"/>
    </row>
    <row r="30248" spans="45:45">
      <c r="AS30248" s="47"/>
    </row>
    <row r="30249" spans="45:45">
      <c r="AS30249" s="47"/>
    </row>
    <row r="30250" spans="45:45">
      <c r="AS30250" s="47"/>
    </row>
    <row r="30251" spans="45:45">
      <c r="AS30251" s="47"/>
    </row>
    <row r="30252" spans="45:45">
      <c r="AS30252" s="47"/>
    </row>
    <row r="30253" spans="45:45">
      <c r="AS30253" s="47"/>
    </row>
    <row r="30254" spans="45:45">
      <c r="AS30254" s="47"/>
    </row>
    <row r="30255" spans="45:45">
      <c r="AS30255" s="47"/>
    </row>
    <row r="30256" spans="45:45">
      <c r="AS30256" s="47"/>
    </row>
    <row r="30257" spans="45:45">
      <c r="AS30257" s="47"/>
    </row>
    <row r="30258" spans="45:45">
      <c r="AS30258" s="47"/>
    </row>
    <row r="30259" spans="45:45">
      <c r="AS30259" s="47"/>
    </row>
    <row r="30260" spans="45:45">
      <c r="AS30260" s="47"/>
    </row>
    <row r="30261" spans="45:45">
      <c r="AS30261" s="47"/>
    </row>
    <row r="30262" spans="45:45">
      <c r="AS30262" s="47"/>
    </row>
    <row r="30263" spans="45:45">
      <c r="AS30263" s="47"/>
    </row>
    <row r="30264" spans="45:45">
      <c r="AS30264" s="47"/>
    </row>
    <row r="30265" spans="45:45">
      <c r="AS30265" s="47"/>
    </row>
    <row r="30266" spans="45:45">
      <c r="AS30266" s="47"/>
    </row>
    <row r="30267" spans="45:45">
      <c r="AS30267" s="47"/>
    </row>
    <row r="30268" spans="45:45">
      <c r="AS30268" s="47"/>
    </row>
    <row r="30269" spans="45:45">
      <c r="AS30269" s="47"/>
    </row>
    <row r="30270" spans="45:45">
      <c r="AS30270" s="47"/>
    </row>
    <row r="30271" spans="45:45">
      <c r="AS30271" s="47"/>
    </row>
    <row r="30272" spans="45:45">
      <c r="AS30272" s="47"/>
    </row>
    <row r="30273" spans="45:45">
      <c r="AS30273" s="47"/>
    </row>
    <row r="30274" spans="45:45">
      <c r="AS30274" s="47"/>
    </row>
    <row r="30275" spans="45:45">
      <c r="AS30275" s="47"/>
    </row>
    <row r="30276" spans="45:45">
      <c r="AS30276" s="47"/>
    </row>
    <row r="30277" spans="45:45">
      <c r="AS30277" s="47"/>
    </row>
    <row r="30278" spans="45:45">
      <c r="AS30278" s="47"/>
    </row>
    <row r="30279" spans="45:45">
      <c r="AS30279" s="47"/>
    </row>
    <row r="30280" spans="45:45">
      <c r="AS30280" s="47"/>
    </row>
    <row r="30281" spans="45:45">
      <c r="AS30281" s="47"/>
    </row>
    <row r="30282" spans="45:45">
      <c r="AS30282" s="47"/>
    </row>
    <row r="30283" spans="45:45">
      <c r="AS30283" s="47"/>
    </row>
    <row r="30284" spans="45:45">
      <c r="AS30284" s="47"/>
    </row>
    <row r="30285" spans="45:45">
      <c r="AS30285" s="47"/>
    </row>
    <row r="30286" spans="45:45">
      <c r="AS30286" s="47"/>
    </row>
    <row r="30287" spans="45:45">
      <c r="AS30287" s="47"/>
    </row>
    <row r="30288" spans="45:45">
      <c r="AS30288" s="47"/>
    </row>
    <row r="30289" spans="45:45">
      <c r="AS30289" s="47"/>
    </row>
    <row r="30290" spans="45:45">
      <c r="AS30290" s="47"/>
    </row>
    <row r="30291" spans="45:45">
      <c r="AS30291" s="47"/>
    </row>
    <row r="30292" spans="45:45">
      <c r="AS30292" s="47"/>
    </row>
    <row r="30293" spans="45:45">
      <c r="AS30293" s="47"/>
    </row>
    <row r="30294" spans="45:45">
      <c r="AS30294" s="47"/>
    </row>
    <row r="30295" spans="45:45">
      <c r="AS30295" s="47"/>
    </row>
    <row r="30296" spans="45:45">
      <c r="AS30296" s="47"/>
    </row>
    <row r="30297" spans="45:45">
      <c r="AS30297" s="47"/>
    </row>
    <row r="30298" spans="45:45">
      <c r="AS30298" s="47"/>
    </row>
    <row r="30299" spans="45:45">
      <c r="AS30299" s="47"/>
    </row>
    <row r="30300" spans="45:45">
      <c r="AS30300" s="47"/>
    </row>
    <row r="30301" spans="45:45">
      <c r="AS30301" s="47"/>
    </row>
    <row r="30302" spans="45:45">
      <c r="AS30302" s="47"/>
    </row>
    <row r="30303" spans="45:45">
      <c r="AS30303" s="47"/>
    </row>
    <row r="30304" spans="45:45">
      <c r="AS30304" s="47"/>
    </row>
    <row r="30305" spans="45:45">
      <c r="AS30305" s="47"/>
    </row>
    <row r="30306" spans="45:45">
      <c r="AS30306" s="47"/>
    </row>
    <row r="30307" spans="45:45">
      <c r="AS30307" s="47"/>
    </row>
    <row r="30308" spans="45:45">
      <c r="AS30308" s="47"/>
    </row>
    <row r="30309" spans="45:45">
      <c r="AS30309" s="47"/>
    </row>
    <row r="30310" spans="45:45">
      <c r="AS30310" s="47"/>
    </row>
    <row r="30311" spans="45:45">
      <c r="AS30311" s="47"/>
    </row>
    <row r="30312" spans="45:45">
      <c r="AS30312" s="47"/>
    </row>
    <row r="30313" spans="45:45">
      <c r="AS30313" s="47"/>
    </row>
    <row r="30314" spans="45:45">
      <c r="AS30314" s="47"/>
    </row>
    <row r="30315" spans="45:45">
      <c r="AS30315" s="47"/>
    </row>
    <row r="30316" spans="45:45">
      <c r="AS30316" s="47"/>
    </row>
    <row r="30317" spans="45:45">
      <c r="AS30317" s="47"/>
    </row>
    <row r="30318" spans="45:45">
      <c r="AS30318" s="47"/>
    </row>
    <row r="30319" spans="45:45">
      <c r="AS30319" s="47"/>
    </row>
    <row r="30320" spans="45:45">
      <c r="AS30320" s="47"/>
    </row>
    <row r="30321" spans="45:45">
      <c r="AS30321" s="47"/>
    </row>
    <row r="30322" spans="45:45">
      <c r="AS30322" s="47"/>
    </row>
    <row r="30323" spans="45:45">
      <c r="AS30323" s="47"/>
    </row>
    <row r="30324" spans="45:45">
      <c r="AS30324" s="47"/>
    </row>
    <row r="30325" spans="45:45">
      <c r="AS30325" s="47"/>
    </row>
    <row r="30326" spans="45:45">
      <c r="AS30326" s="47"/>
    </row>
    <row r="30327" spans="45:45">
      <c r="AS30327" s="47"/>
    </row>
    <row r="30328" spans="45:45">
      <c r="AS30328" s="47"/>
    </row>
    <row r="30329" spans="45:45">
      <c r="AS30329" s="47"/>
    </row>
    <row r="30330" spans="45:45">
      <c r="AS30330" s="47"/>
    </row>
    <row r="30331" spans="45:45">
      <c r="AS30331" s="47"/>
    </row>
    <row r="30332" spans="45:45">
      <c r="AS30332" s="47"/>
    </row>
    <row r="30333" spans="45:45">
      <c r="AS30333" s="47"/>
    </row>
    <row r="30334" spans="45:45">
      <c r="AS30334" s="47"/>
    </row>
    <row r="30335" spans="45:45">
      <c r="AS30335" s="47"/>
    </row>
    <row r="30336" spans="45:45">
      <c r="AS30336" s="47"/>
    </row>
    <row r="30337" spans="45:45">
      <c r="AS30337" s="47"/>
    </row>
    <row r="30338" spans="45:45">
      <c r="AS30338" s="47"/>
    </row>
    <row r="30339" spans="45:45">
      <c r="AS30339" s="47"/>
    </row>
    <row r="30340" spans="45:45">
      <c r="AS30340" s="47"/>
    </row>
    <row r="30341" spans="45:45">
      <c r="AS30341" s="47"/>
    </row>
    <row r="30342" spans="45:45">
      <c r="AS30342" s="47"/>
    </row>
    <row r="30343" spans="45:45">
      <c r="AS30343" s="47"/>
    </row>
    <row r="30344" spans="45:45">
      <c r="AS30344" s="47"/>
    </row>
    <row r="30345" spans="45:45">
      <c r="AS30345" s="47"/>
    </row>
    <row r="30346" spans="45:45">
      <c r="AS30346" s="47"/>
    </row>
    <row r="30347" spans="45:45">
      <c r="AS30347" s="47"/>
    </row>
    <row r="30348" spans="45:45">
      <c r="AS30348" s="47"/>
    </row>
    <row r="30349" spans="45:45">
      <c r="AS30349" s="47"/>
    </row>
    <row r="30350" spans="45:45">
      <c r="AS30350" s="47"/>
    </row>
    <row r="30351" spans="45:45">
      <c r="AS30351" s="47"/>
    </row>
    <row r="30352" spans="45:45">
      <c r="AS30352" s="47"/>
    </row>
    <row r="30353" spans="45:45">
      <c r="AS30353" s="47"/>
    </row>
    <row r="30354" spans="45:45">
      <c r="AS30354" s="47"/>
    </row>
    <row r="30355" spans="45:45">
      <c r="AS30355" s="47"/>
    </row>
    <row r="30356" spans="45:45">
      <c r="AS30356" s="47"/>
    </row>
    <row r="30357" spans="45:45">
      <c r="AS30357" s="47"/>
    </row>
    <row r="30358" spans="45:45">
      <c r="AS30358" s="47"/>
    </row>
    <row r="30359" spans="45:45">
      <c r="AS30359" s="47"/>
    </row>
    <row r="30360" spans="45:45">
      <c r="AS30360" s="47"/>
    </row>
    <row r="30361" spans="45:45">
      <c r="AS30361" s="47"/>
    </row>
    <row r="30362" spans="45:45">
      <c r="AS30362" s="47"/>
    </row>
    <row r="30363" spans="45:45">
      <c r="AS30363" s="47"/>
    </row>
    <row r="30364" spans="45:45">
      <c r="AS30364" s="47"/>
    </row>
    <row r="30365" spans="45:45">
      <c r="AS30365" s="47"/>
    </row>
    <row r="30366" spans="45:45">
      <c r="AS30366" s="47"/>
    </row>
    <row r="30367" spans="45:45">
      <c r="AS30367" s="47"/>
    </row>
    <row r="30368" spans="45:45">
      <c r="AS30368" s="47"/>
    </row>
    <row r="30369" spans="45:45">
      <c r="AS30369" s="47"/>
    </row>
    <row r="30370" spans="45:45">
      <c r="AS30370" s="47"/>
    </row>
    <row r="30371" spans="45:45">
      <c r="AS30371" s="47"/>
    </row>
    <row r="30372" spans="45:45">
      <c r="AS30372" s="47"/>
    </row>
    <row r="30373" spans="45:45">
      <c r="AS30373" s="47"/>
    </row>
    <row r="30374" spans="45:45">
      <c r="AS30374" s="47"/>
    </row>
    <row r="30375" spans="45:45">
      <c r="AS30375" s="47"/>
    </row>
    <row r="30376" spans="45:45">
      <c r="AS30376" s="47"/>
    </row>
    <row r="30377" spans="45:45">
      <c r="AS30377" s="47"/>
    </row>
    <row r="30378" spans="45:45">
      <c r="AS30378" s="47"/>
    </row>
    <row r="30379" spans="45:45">
      <c r="AS30379" s="47"/>
    </row>
    <row r="30380" spans="45:45">
      <c r="AS30380" s="47"/>
    </row>
    <row r="30381" spans="45:45">
      <c r="AS30381" s="47"/>
    </row>
    <row r="30382" spans="45:45">
      <c r="AS30382" s="47"/>
    </row>
    <row r="30383" spans="45:45">
      <c r="AS30383" s="47"/>
    </row>
    <row r="30384" spans="45:45">
      <c r="AS30384" s="47"/>
    </row>
    <row r="30385" spans="45:45">
      <c r="AS30385" s="47"/>
    </row>
    <row r="30386" spans="45:45">
      <c r="AS30386" s="47"/>
    </row>
    <row r="30387" spans="45:45">
      <c r="AS30387" s="47"/>
    </row>
    <row r="30388" spans="45:45">
      <c r="AS30388" s="47"/>
    </row>
    <row r="30389" spans="45:45">
      <c r="AS30389" s="47"/>
    </row>
    <row r="30390" spans="45:45">
      <c r="AS30390" s="47"/>
    </row>
    <row r="30391" spans="45:45">
      <c r="AS30391" s="47"/>
    </row>
    <row r="30392" spans="45:45">
      <c r="AS30392" s="47"/>
    </row>
    <row r="30393" spans="45:45">
      <c r="AS30393" s="47"/>
    </row>
    <row r="30394" spans="45:45">
      <c r="AS30394" s="47"/>
    </row>
    <row r="30395" spans="45:45">
      <c r="AS30395" s="47"/>
    </row>
    <row r="30396" spans="45:45">
      <c r="AS30396" s="47"/>
    </row>
    <row r="30397" spans="45:45">
      <c r="AS30397" s="47"/>
    </row>
    <row r="30398" spans="45:45">
      <c r="AS30398" s="47"/>
    </row>
    <row r="30399" spans="45:45">
      <c r="AS30399" s="47"/>
    </row>
    <row r="30400" spans="45:45">
      <c r="AS30400" s="47"/>
    </row>
    <row r="30401" spans="45:45">
      <c r="AS30401" s="47"/>
    </row>
    <row r="30402" spans="45:45">
      <c r="AS30402" s="47"/>
    </row>
    <row r="30403" spans="45:45">
      <c r="AS30403" s="47"/>
    </row>
    <row r="30404" spans="45:45">
      <c r="AS30404" s="47"/>
    </row>
    <row r="30405" spans="45:45">
      <c r="AS30405" s="47"/>
    </row>
    <row r="30406" spans="45:45">
      <c r="AS30406" s="47"/>
    </row>
    <row r="30407" spans="45:45">
      <c r="AS30407" s="47"/>
    </row>
    <row r="30408" spans="45:45">
      <c r="AS30408" s="47"/>
    </row>
    <row r="30409" spans="45:45">
      <c r="AS30409" s="47"/>
    </row>
    <row r="30410" spans="45:45">
      <c r="AS30410" s="47"/>
    </row>
    <row r="30411" spans="45:45">
      <c r="AS30411" s="47"/>
    </row>
    <row r="30412" spans="45:45">
      <c r="AS30412" s="47"/>
    </row>
    <row r="30413" spans="45:45">
      <c r="AS30413" s="47"/>
    </row>
    <row r="30414" spans="45:45">
      <c r="AS30414" s="47"/>
    </row>
    <row r="30415" spans="45:45">
      <c r="AS30415" s="47"/>
    </row>
    <row r="30416" spans="45:45">
      <c r="AS30416" s="47"/>
    </row>
    <row r="30417" spans="45:45">
      <c r="AS30417" s="47"/>
    </row>
    <row r="30418" spans="45:45">
      <c r="AS30418" s="47"/>
    </row>
    <row r="30419" spans="45:45">
      <c r="AS30419" s="47"/>
    </row>
    <row r="30420" spans="45:45">
      <c r="AS30420" s="47"/>
    </row>
    <row r="30421" spans="45:45">
      <c r="AS30421" s="47"/>
    </row>
    <row r="30422" spans="45:45">
      <c r="AS30422" s="47"/>
    </row>
    <row r="30423" spans="45:45">
      <c r="AS30423" s="47"/>
    </row>
    <row r="30424" spans="45:45">
      <c r="AS30424" s="47"/>
    </row>
    <row r="30425" spans="45:45">
      <c r="AS30425" s="47"/>
    </row>
    <row r="30426" spans="45:45">
      <c r="AS30426" s="47"/>
    </row>
    <row r="30427" spans="45:45">
      <c r="AS30427" s="47"/>
    </row>
    <row r="30428" spans="45:45">
      <c r="AS30428" s="47"/>
    </row>
    <row r="30429" spans="45:45">
      <c r="AS30429" s="47"/>
    </row>
    <row r="30430" spans="45:45">
      <c r="AS30430" s="47"/>
    </row>
    <row r="30431" spans="45:45">
      <c r="AS30431" s="47"/>
    </row>
    <row r="30432" spans="45:45">
      <c r="AS30432" s="47"/>
    </row>
    <row r="30433" spans="45:45">
      <c r="AS30433" s="47"/>
    </row>
    <row r="30434" spans="45:45">
      <c r="AS30434" s="47"/>
    </row>
    <row r="30435" spans="45:45">
      <c r="AS30435" s="47"/>
    </row>
    <row r="30436" spans="45:45">
      <c r="AS30436" s="47"/>
    </row>
    <row r="30437" spans="45:45">
      <c r="AS30437" s="47"/>
    </row>
    <row r="30438" spans="45:45">
      <c r="AS30438" s="47"/>
    </row>
    <row r="30439" spans="45:45">
      <c r="AS30439" s="47"/>
    </row>
    <row r="30440" spans="45:45">
      <c r="AS30440" s="47"/>
    </row>
    <row r="30441" spans="45:45">
      <c r="AS30441" s="47"/>
    </row>
    <row r="30442" spans="45:45">
      <c r="AS30442" s="47"/>
    </row>
    <row r="30443" spans="45:45">
      <c r="AS30443" s="47"/>
    </row>
    <row r="30444" spans="45:45">
      <c r="AS30444" s="47"/>
    </row>
    <row r="30445" spans="45:45">
      <c r="AS30445" s="47"/>
    </row>
    <row r="30446" spans="45:45">
      <c r="AS30446" s="47"/>
    </row>
    <row r="30447" spans="45:45">
      <c r="AS30447" s="47"/>
    </row>
    <row r="30448" spans="45:45">
      <c r="AS30448" s="47"/>
    </row>
    <row r="30449" spans="45:45">
      <c r="AS30449" s="47"/>
    </row>
    <row r="30450" spans="45:45">
      <c r="AS30450" s="47"/>
    </row>
    <row r="30451" spans="45:45">
      <c r="AS30451" s="47"/>
    </row>
    <row r="30452" spans="45:45">
      <c r="AS30452" s="47"/>
    </row>
    <row r="30453" spans="45:45">
      <c r="AS30453" s="47"/>
    </row>
    <row r="30454" spans="45:45">
      <c r="AS30454" s="47"/>
    </row>
    <row r="30455" spans="45:45">
      <c r="AS30455" s="47"/>
    </row>
    <row r="30456" spans="45:45">
      <c r="AS30456" s="47"/>
    </row>
    <row r="30457" spans="45:45">
      <c r="AS30457" s="47"/>
    </row>
    <row r="30458" spans="45:45">
      <c r="AS30458" s="47"/>
    </row>
    <row r="30459" spans="45:45">
      <c r="AS30459" s="47"/>
    </row>
    <row r="30460" spans="45:45">
      <c r="AS30460" s="47"/>
    </row>
    <row r="30461" spans="45:45">
      <c r="AS30461" s="47"/>
    </row>
    <row r="30462" spans="45:45">
      <c r="AS30462" s="47"/>
    </row>
    <row r="30463" spans="45:45">
      <c r="AS30463" s="47"/>
    </row>
    <row r="30464" spans="45:45">
      <c r="AS30464" s="47"/>
    </row>
    <row r="30465" spans="45:45">
      <c r="AS30465" s="47"/>
    </row>
    <row r="30466" spans="45:45">
      <c r="AS30466" s="47"/>
    </row>
    <row r="30467" spans="45:45">
      <c r="AS30467" s="47"/>
    </row>
    <row r="30468" spans="45:45">
      <c r="AS30468" s="47"/>
    </row>
    <row r="30469" spans="45:45">
      <c r="AS30469" s="47"/>
    </row>
    <row r="30470" spans="45:45">
      <c r="AS30470" s="47"/>
    </row>
    <row r="30471" spans="45:45">
      <c r="AS30471" s="47"/>
    </row>
    <row r="30472" spans="45:45">
      <c r="AS30472" s="47"/>
    </row>
    <row r="30473" spans="45:45">
      <c r="AS30473" s="47"/>
    </row>
    <row r="30474" spans="45:45">
      <c r="AS30474" s="47"/>
    </row>
    <row r="30475" spans="45:45">
      <c r="AS30475" s="47"/>
    </row>
    <row r="30476" spans="45:45">
      <c r="AS30476" s="47"/>
    </row>
    <row r="30477" spans="45:45">
      <c r="AS30477" s="47"/>
    </row>
    <row r="30478" spans="45:45">
      <c r="AS30478" s="47"/>
    </row>
    <row r="30479" spans="45:45">
      <c r="AS30479" s="47"/>
    </row>
    <row r="30480" spans="45:45">
      <c r="AS30480" s="47"/>
    </row>
    <row r="30481" spans="45:45">
      <c r="AS30481" s="47"/>
    </row>
    <row r="30482" spans="45:45">
      <c r="AS30482" s="47"/>
    </row>
    <row r="30483" spans="45:45">
      <c r="AS30483" s="47"/>
    </row>
    <row r="30484" spans="45:45">
      <c r="AS30484" s="47"/>
    </row>
    <row r="30485" spans="45:45">
      <c r="AS30485" s="47"/>
    </row>
    <row r="30486" spans="45:45">
      <c r="AS30486" s="47"/>
    </row>
    <row r="30487" spans="45:45">
      <c r="AS30487" s="47"/>
    </row>
    <row r="30488" spans="45:45">
      <c r="AS30488" s="47"/>
    </row>
    <row r="30489" spans="45:45">
      <c r="AS30489" s="47"/>
    </row>
    <row r="30490" spans="45:45">
      <c r="AS30490" s="47"/>
    </row>
    <row r="30491" spans="45:45">
      <c r="AS30491" s="47"/>
    </row>
    <row r="30492" spans="45:45">
      <c r="AS30492" s="47"/>
    </row>
    <row r="30493" spans="45:45">
      <c r="AS30493" s="47"/>
    </row>
    <row r="30494" spans="45:45">
      <c r="AS30494" s="47"/>
    </row>
    <row r="30495" spans="45:45">
      <c r="AS30495" s="47"/>
    </row>
    <row r="30496" spans="45:45">
      <c r="AS30496" s="47"/>
    </row>
    <row r="30497" spans="45:45">
      <c r="AS30497" s="47"/>
    </row>
    <row r="30498" spans="45:45">
      <c r="AS30498" s="47"/>
    </row>
    <row r="30499" spans="45:45">
      <c r="AS30499" s="47"/>
    </row>
    <row r="30500" spans="45:45">
      <c r="AS30500" s="47"/>
    </row>
    <row r="30501" spans="45:45">
      <c r="AS30501" s="47"/>
    </row>
    <row r="30502" spans="45:45">
      <c r="AS30502" s="47"/>
    </row>
    <row r="30503" spans="45:45">
      <c r="AS30503" s="47"/>
    </row>
    <row r="30504" spans="45:45">
      <c r="AS30504" s="47"/>
    </row>
    <row r="30505" spans="45:45">
      <c r="AS30505" s="47"/>
    </row>
    <row r="30506" spans="45:45">
      <c r="AS30506" s="47"/>
    </row>
    <row r="30507" spans="45:45">
      <c r="AS30507" s="47"/>
    </row>
    <row r="30508" spans="45:45">
      <c r="AS30508" s="47"/>
    </row>
    <row r="30509" spans="45:45">
      <c r="AS30509" s="47"/>
    </row>
    <row r="30510" spans="45:45">
      <c r="AS30510" s="47"/>
    </row>
    <row r="30511" spans="45:45">
      <c r="AS30511" s="47"/>
    </row>
    <row r="30512" spans="45:45">
      <c r="AS30512" s="47"/>
    </row>
    <row r="30513" spans="45:45">
      <c r="AS30513" s="47"/>
    </row>
    <row r="30514" spans="45:45">
      <c r="AS30514" s="47"/>
    </row>
    <row r="30515" spans="45:45">
      <c r="AS30515" s="47"/>
    </row>
    <row r="30516" spans="45:45">
      <c r="AS30516" s="47"/>
    </row>
    <row r="30517" spans="45:45">
      <c r="AS30517" s="47"/>
    </row>
    <row r="30518" spans="45:45">
      <c r="AS30518" s="47"/>
    </row>
    <row r="30519" spans="45:45">
      <c r="AS30519" s="47"/>
    </row>
    <row r="30520" spans="45:45">
      <c r="AS30520" s="47"/>
    </row>
    <row r="30521" spans="45:45">
      <c r="AS30521" s="47"/>
    </row>
    <row r="30522" spans="45:45">
      <c r="AS30522" s="47"/>
    </row>
    <row r="30523" spans="45:45">
      <c r="AS30523" s="47"/>
    </row>
    <row r="30524" spans="45:45">
      <c r="AS30524" s="47"/>
    </row>
    <row r="30525" spans="45:45">
      <c r="AS30525" s="47"/>
    </row>
    <row r="30526" spans="45:45">
      <c r="AS30526" s="47"/>
    </row>
    <row r="30527" spans="45:45">
      <c r="AS30527" s="47"/>
    </row>
    <row r="30528" spans="45:45">
      <c r="AS30528" s="47"/>
    </row>
    <row r="30529" spans="45:45">
      <c r="AS30529" s="47"/>
    </row>
    <row r="30530" spans="45:45">
      <c r="AS30530" s="47"/>
    </row>
    <row r="30531" spans="45:45">
      <c r="AS30531" s="47"/>
    </row>
    <row r="30532" spans="45:45">
      <c r="AS30532" s="47"/>
    </row>
    <row r="30533" spans="45:45">
      <c r="AS30533" s="47"/>
    </row>
    <row r="30534" spans="45:45">
      <c r="AS30534" s="47"/>
    </row>
    <row r="30535" spans="45:45">
      <c r="AS30535" s="47"/>
    </row>
    <row r="30536" spans="45:45">
      <c r="AS30536" s="47"/>
    </row>
    <row r="30537" spans="45:45">
      <c r="AS30537" s="47"/>
    </row>
    <row r="30538" spans="45:45">
      <c r="AS30538" s="47"/>
    </row>
    <row r="30539" spans="45:45">
      <c r="AS30539" s="47"/>
    </row>
    <row r="30540" spans="45:45">
      <c r="AS30540" s="47"/>
    </row>
    <row r="30541" spans="45:45">
      <c r="AS30541" s="47"/>
    </row>
    <row r="30542" spans="45:45">
      <c r="AS30542" s="47"/>
    </row>
    <row r="30543" spans="45:45">
      <c r="AS30543" s="47"/>
    </row>
    <row r="30544" spans="45:45">
      <c r="AS30544" s="47"/>
    </row>
    <row r="30545" spans="45:45">
      <c r="AS30545" s="47"/>
    </row>
    <row r="30546" spans="45:45">
      <c r="AS30546" s="47"/>
    </row>
    <row r="30547" spans="45:45">
      <c r="AS30547" s="47"/>
    </row>
    <row r="30548" spans="45:45">
      <c r="AS30548" s="47"/>
    </row>
    <row r="30549" spans="45:45">
      <c r="AS30549" s="47"/>
    </row>
    <row r="30550" spans="45:45">
      <c r="AS30550" s="47"/>
    </row>
    <row r="30551" spans="45:45">
      <c r="AS30551" s="47"/>
    </row>
    <row r="30552" spans="45:45">
      <c r="AS30552" s="47"/>
    </row>
    <row r="30553" spans="45:45">
      <c r="AS30553" s="47"/>
    </row>
    <row r="30554" spans="45:45">
      <c r="AS30554" s="47"/>
    </row>
    <row r="30555" spans="45:45">
      <c r="AS30555" s="47"/>
    </row>
    <row r="30556" spans="45:45">
      <c r="AS30556" s="47"/>
    </row>
    <row r="30557" spans="45:45">
      <c r="AS30557" s="47"/>
    </row>
    <row r="30558" spans="45:45">
      <c r="AS30558" s="47"/>
    </row>
    <row r="30559" spans="45:45">
      <c r="AS30559" s="47"/>
    </row>
    <row r="30560" spans="45:45">
      <c r="AS30560" s="47"/>
    </row>
    <row r="30561" spans="45:45">
      <c r="AS30561" s="47"/>
    </row>
    <row r="30562" spans="45:45">
      <c r="AS30562" s="47"/>
    </row>
    <row r="30563" spans="45:45">
      <c r="AS30563" s="47"/>
    </row>
    <row r="30564" spans="45:45">
      <c r="AS30564" s="47"/>
    </row>
    <row r="30565" spans="45:45">
      <c r="AS30565" s="47"/>
    </row>
    <row r="30566" spans="45:45">
      <c r="AS30566" s="47"/>
    </row>
    <row r="30567" spans="45:45">
      <c r="AS30567" s="47"/>
    </row>
    <row r="30568" spans="45:45">
      <c r="AS30568" s="47"/>
    </row>
    <row r="30569" spans="45:45">
      <c r="AS30569" s="47"/>
    </row>
    <row r="30570" spans="45:45">
      <c r="AS30570" s="47"/>
    </row>
    <row r="30571" spans="45:45">
      <c r="AS30571" s="47"/>
    </row>
    <row r="30572" spans="45:45">
      <c r="AS30572" s="47"/>
    </row>
    <row r="30573" spans="45:45">
      <c r="AS30573" s="47"/>
    </row>
    <row r="30574" spans="45:45">
      <c r="AS30574" s="47"/>
    </row>
    <row r="30575" spans="45:45">
      <c r="AS30575" s="47"/>
    </row>
    <row r="30576" spans="45:45">
      <c r="AS30576" s="47"/>
    </row>
    <row r="30577" spans="45:45">
      <c r="AS30577" s="47"/>
    </row>
    <row r="30578" spans="45:45">
      <c r="AS30578" s="47"/>
    </row>
    <row r="30579" spans="45:45">
      <c r="AS30579" s="47"/>
    </row>
    <row r="30580" spans="45:45">
      <c r="AS30580" s="47"/>
    </row>
    <row r="30581" spans="45:45">
      <c r="AS30581" s="47"/>
    </row>
    <row r="30582" spans="45:45">
      <c r="AS30582" s="47"/>
    </row>
    <row r="30583" spans="45:45">
      <c r="AS30583" s="47"/>
    </row>
    <row r="30584" spans="45:45">
      <c r="AS30584" s="47"/>
    </row>
    <row r="30585" spans="45:45">
      <c r="AS30585" s="47"/>
    </row>
    <row r="30586" spans="45:45">
      <c r="AS30586" s="47"/>
    </row>
    <row r="30587" spans="45:45">
      <c r="AS30587" s="47"/>
    </row>
    <row r="30588" spans="45:45">
      <c r="AS30588" s="47"/>
    </row>
    <row r="30589" spans="45:45">
      <c r="AS30589" s="47"/>
    </row>
    <row r="30590" spans="45:45">
      <c r="AS30590" s="47"/>
    </row>
    <row r="30591" spans="45:45">
      <c r="AS30591" s="47"/>
    </row>
    <row r="30592" spans="45:45">
      <c r="AS30592" s="47"/>
    </row>
    <row r="30593" spans="45:45">
      <c r="AS30593" s="47"/>
    </row>
    <row r="30594" spans="45:45">
      <c r="AS30594" s="47"/>
    </row>
    <row r="30595" spans="45:45">
      <c r="AS30595" s="47"/>
    </row>
    <row r="30596" spans="45:45">
      <c r="AS30596" s="47"/>
    </row>
    <row r="30597" spans="45:45">
      <c r="AS30597" s="47"/>
    </row>
    <row r="30598" spans="45:45">
      <c r="AS30598" s="47"/>
    </row>
    <row r="30599" spans="45:45">
      <c r="AS30599" s="47"/>
    </row>
    <row r="30600" spans="45:45">
      <c r="AS30600" s="47"/>
    </row>
    <row r="30601" spans="45:45">
      <c r="AS30601" s="47"/>
    </row>
    <row r="30602" spans="45:45">
      <c r="AS30602" s="47"/>
    </row>
    <row r="30603" spans="45:45">
      <c r="AS30603" s="47"/>
    </row>
    <row r="30604" spans="45:45">
      <c r="AS30604" s="47"/>
    </row>
    <row r="30605" spans="45:45">
      <c r="AS30605" s="47"/>
    </row>
    <row r="30606" spans="45:45">
      <c r="AS30606" s="47"/>
    </row>
    <row r="30607" spans="45:45">
      <c r="AS30607" s="47"/>
    </row>
    <row r="30608" spans="45:45">
      <c r="AS30608" s="47"/>
    </row>
    <row r="30609" spans="45:45">
      <c r="AS30609" s="47"/>
    </row>
    <row r="30610" spans="45:45">
      <c r="AS30610" s="47"/>
    </row>
    <row r="30611" spans="45:45">
      <c r="AS30611" s="47"/>
    </row>
    <row r="30612" spans="45:45">
      <c r="AS30612" s="47"/>
    </row>
    <row r="30613" spans="45:45">
      <c r="AS30613" s="47"/>
    </row>
    <row r="30614" spans="45:45">
      <c r="AS30614" s="47"/>
    </row>
    <row r="30615" spans="45:45">
      <c r="AS30615" s="47"/>
    </row>
    <row r="30616" spans="45:45">
      <c r="AS30616" s="47"/>
    </row>
    <row r="30617" spans="45:45">
      <c r="AS30617" s="47"/>
    </row>
    <row r="30618" spans="45:45">
      <c r="AS30618" s="47"/>
    </row>
    <row r="30619" spans="45:45">
      <c r="AS30619" s="47"/>
    </row>
    <row r="30620" spans="45:45">
      <c r="AS30620" s="47"/>
    </row>
    <row r="30621" spans="45:45">
      <c r="AS30621" s="47"/>
    </row>
    <row r="30622" spans="45:45">
      <c r="AS30622" s="47"/>
    </row>
    <row r="30623" spans="45:45">
      <c r="AS30623" s="47"/>
    </row>
    <row r="30624" spans="45:45">
      <c r="AS30624" s="47"/>
    </row>
    <row r="30625" spans="45:45">
      <c r="AS30625" s="47"/>
    </row>
    <row r="30626" spans="45:45">
      <c r="AS30626" s="47"/>
    </row>
    <row r="30627" spans="45:45">
      <c r="AS30627" s="47"/>
    </row>
    <row r="30628" spans="45:45">
      <c r="AS30628" s="47"/>
    </row>
    <row r="30629" spans="45:45">
      <c r="AS30629" s="47"/>
    </row>
    <row r="30630" spans="45:45">
      <c r="AS30630" s="47"/>
    </row>
    <row r="30631" spans="45:45">
      <c r="AS30631" s="47"/>
    </row>
    <row r="30632" spans="45:45">
      <c r="AS30632" s="47"/>
    </row>
    <row r="30633" spans="45:45">
      <c r="AS30633" s="47"/>
    </row>
    <row r="30634" spans="45:45">
      <c r="AS30634" s="47"/>
    </row>
    <row r="30635" spans="45:45">
      <c r="AS30635" s="47"/>
    </row>
    <row r="30636" spans="45:45">
      <c r="AS30636" s="47"/>
    </row>
    <row r="30637" spans="45:45">
      <c r="AS30637" s="47"/>
    </row>
    <row r="30638" spans="45:45">
      <c r="AS30638" s="47"/>
    </row>
    <row r="30639" spans="45:45">
      <c r="AS30639" s="47"/>
    </row>
    <row r="30640" spans="45:45">
      <c r="AS30640" s="47"/>
    </row>
    <row r="30641" spans="45:45">
      <c r="AS30641" s="47"/>
    </row>
    <row r="30642" spans="45:45">
      <c r="AS30642" s="47"/>
    </row>
    <row r="30643" spans="45:45">
      <c r="AS30643" s="47"/>
    </row>
    <row r="30644" spans="45:45">
      <c r="AS30644" s="47"/>
    </row>
    <row r="30645" spans="45:45">
      <c r="AS30645" s="47"/>
    </row>
    <row r="30646" spans="45:45">
      <c r="AS30646" s="47"/>
    </row>
    <row r="30647" spans="45:45">
      <c r="AS30647" s="47"/>
    </row>
    <row r="30648" spans="45:45">
      <c r="AS30648" s="47"/>
    </row>
    <row r="30649" spans="45:45">
      <c r="AS30649" s="47"/>
    </row>
    <row r="30650" spans="45:45">
      <c r="AS30650" s="47"/>
    </row>
    <row r="30651" spans="45:45">
      <c r="AS30651" s="47"/>
    </row>
    <row r="30652" spans="45:45">
      <c r="AS30652" s="47"/>
    </row>
    <row r="30653" spans="45:45">
      <c r="AS30653" s="47"/>
    </row>
    <row r="30654" spans="45:45">
      <c r="AS30654" s="47"/>
    </row>
    <row r="30655" spans="45:45">
      <c r="AS30655" s="47"/>
    </row>
    <row r="30656" spans="45:45">
      <c r="AS30656" s="47"/>
    </row>
    <row r="30657" spans="45:45">
      <c r="AS30657" s="47"/>
    </row>
    <row r="30658" spans="45:45">
      <c r="AS30658" s="47"/>
    </row>
    <row r="30659" spans="45:45">
      <c r="AS30659" s="47"/>
    </row>
    <row r="30660" spans="45:45">
      <c r="AS30660" s="47"/>
    </row>
    <row r="30661" spans="45:45">
      <c r="AS30661" s="47"/>
    </row>
    <row r="30662" spans="45:45">
      <c r="AS30662" s="47"/>
    </row>
    <row r="30663" spans="45:45">
      <c r="AS30663" s="47"/>
    </row>
    <row r="30664" spans="45:45">
      <c r="AS30664" s="47"/>
    </row>
    <row r="30665" spans="45:45">
      <c r="AS30665" s="47"/>
    </row>
    <row r="30666" spans="45:45">
      <c r="AS30666" s="47"/>
    </row>
    <row r="30667" spans="45:45">
      <c r="AS30667" s="47"/>
    </row>
    <row r="30668" spans="45:45">
      <c r="AS30668" s="47"/>
    </row>
    <row r="30669" spans="45:45">
      <c r="AS30669" s="47"/>
    </row>
    <row r="30670" spans="45:45">
      <c r="AS30670" s="47"/>
    </row>
    <row r="30671" spans="45:45">
      <c r="AS30671" s="47"/>
    </row>
    <row r="30672" spans="45:45">
      <c r="AS30672" s="47"/>
    </row>
    <row r="30673" spans="45:45">
      <c r="AS30673" s="47"/>
    </row>
    <row r="30674" spans="45:45">
      <c r="AS30674" s="47"/>
    </row>
    <row r="30675" spans="45:45">
      <c r="AS30675" s="47"/>
    </row>
    <row r="30676" spans="45:45">
      <c r="AS30676" s="47"/>
    </row>
    <row r="30677" spans="45:45">
      <c r="AS30677" s="47"/>
    </row>
    <row r="30678" spans="45:45">
      <c r="AS30678" s="47"/>
    </row>
    <row r="30679" spans="45:45">
      <c r="AS30679" s="47"/>
    </row>
    <row r="30680" spans="45:45">
      <c r="AS30680" s="47"/>
    </row>
    <row r="30681" spans="45:45">
      <c r="AS30681" s="47"/>
    </row>
    <row r="30682" spans="45:45">
      <c r="AS30682" s="47"/>
    </row>
    <row r="30683" spans="45:45">
      <c r="AS30683" s="47"/>
    </row>
    <row r="30684" spans="45:45">
      <c r="AS30684" s="47"/>
    </row>
    <row r="30685" spans="45:45">
      <c r="AS30685" s="47"/>
    </row>
    <row r="30686" spans="45:45">
      <c r="AS30686" s="47"/>
    </row>
    <row r="30687" spans="45:45">
      <c r="AS30687" s="47"/>
    </row>
    <row r="30688" spans="45:45">
      <c r="AS30688" s="47"/>
    </row>
    <row r="30689" spans="45:45">
      <c r="AS30689" s="47"/>
    </row>
    <row r="30690" spans="45:45">
      <c r="AS30690" s="47"/>
    </row>
    <row r="30691" spans="45:45">
      <c r="AS30691" s="47"/>
    </row>
    <row r="30692" spans="45:45">
      <c r="AS30692" s="47"/>
    </row>
    <row r="30693" spans="45:45">
      <c r="AS30693" s="47"/>
    </row>
    <row r="30694" spans="45:45">
      <c r="AS30694" s="47"/>
    </row>
    <row r="30695" spans="45:45">
      <c r="AS30695" s="47"/>
    </row>
    <row r="30696" spans="45:45">
      <c r="AS30696" s="47"/>
    </row>
    <row r="30697" spans="45:45">
      <c r="AS30697" s="47"/>
    </row>
    <row r="30698" spans="45:45">
      <c r="AS30698" s="47"/>
    </row>
    <row r="30699" spans="45:45">
      <c r="AS30699" s="47"/>
    </row>
    <row r="30700" spans="45:45">
      <c r="AS30700" s="47"/>
    </row>
    <row r="30701" spans="45:45">
      <c r="AS30701" s="47"/>
    </row>
    <row r="30702" spans="45:45">
      <c r="AS30702" s="47"/>
    </row>
    <row r="30703" spans="45:45">
      <c r="AS30703" s="47"/>
    </row>
    <row r="30704" spans="45:45">
      <c r="AS30704" s="47"/>
    </row>
    <row r="30705" spans="45:45">
      <c r="AS30705" s="47"/>
    </row>
    <row r="30706" spans="45:45">
      <c r="AS30706" s="47"/>
    </row>
    <row r="30707" spans="45:45">
      <c r="AS30707" s="47"/>
    </row>
    <row r="30708" spans="45:45">
      <c r="AS30708" s="47"/>
    </row>
    <row r="30709" spans="45:45">
      <c r="AS30709" s="47"/>
    </row>
    <row r="30710" spans="45:45">
      <c r="AS30710" s="47"/>
    </row>
    <row r="30711" spans="45:45">
      <c r="AS30711" s="47"/>
    </row>
    <row r="30712" spans="45:45">
      <c r="AS30712" s="47"/>
    </row>
    <row r="30713" spans="45:45">
      <c r="AS30713" s="47"/>
    </row>
    <row r="30714" spans="45:45">
      <c r="AS30714" s="47"/>
    </row>
    <row r="30715" spans="45:45">
      <c r="AS30715" s="47"/>
    </row>
    <row r="30716" spans="45:45">
      <c r="AS30716" s="47"/>
    </row>
    <row r="30717" spans="45:45">
      <c r="AS30717" s="47"/>
    </row>
    <row r="30718" spans="45:45">
      <c r="AS30718" s="47"/>
    </row>
    <row r="30719" spans="45:45">
      <c r="AS30719" s="47"/>
    </row>
    <row r="30720" spans="45:45">
      <c r="AS30720" s="47"/>
    </row>
    <row r="30721" spans="45:45">
      <c r="AS30721" s="47"/>
    </row>
    <row r="30722" spans="45:45">
      <c r="AS30722" s="47"/>
    </row>
    <row r="30723" spans="45:45">
      <c r="AS30723" s="47"/>
    </row>
    <row r="30724" spans="45:45">
      <c r="AS30724" s="47"/>
    </row>
    <row r="30725" spans="45:45">
      <c r="AS30725" s="47"/>
    </row>
    <row r="30726" spans="45:45">
      <c r="AS30726" s="47"/>
    </row>
    <row r="30727" spans="45:45">
      <c r="AS30727" s="47"/>
    </row>
    <row r="30728" spans="45:45">
      <c r="AS30728" s="47"/>
    </row>
    <row r="30729" spans="45:45">
      <c r="AS30729" s="47"/>
    </row>
    <row r="30730" spans="45:45">
      <c r="AS30730" s="47"/>
    </row>
    <row r="30731" spans="45:45">
      <c r="AS30731" s="47"/>
    </row>
    <row r="30732" spans="45:45">
      <c r="AS30732" s="47"/>
    </row>
    <row r="30733" spans="45:45">
      <c r="AS30733" s="47"/>
    </row>
    <row r="30734" spans="45:45">
      <c r="AS30734" s="47"/>
    </row>
    <row r="30735" spans="45:45">
      <c r="AS30735" s="47"/>
    </row>
    <row r="30736" spans="45:45">
      <c r="AS30736" s="47"/>
    </row>
    <row r="30737" spans="45:45">
      <c r="AS30737" s="47"/>
    </row>
    <row r="30738" spans="45:45">
      <c r="AS30738" s="47"/>
    </row>
    <row r="30739" spans="45:45">
      <c r="AS30739" s="47"/>
    </row>
    <row r="30740" spans="45:45">
      <c r="AS30740" s="47"/>
    </row>
    <row r="30741" spans="45:45">
      <c r="AS30741" s="47"/>
    </row>
    <row r="30742" spans="45:45">
      <c r="AS30742" s="47"/>
    </row>
    <row r="30743" spans="45:45">
      <c r="AS30743" s="47"/>
    </row>
    <row r="30744" spans="45:45">
      <c r="AS30744" s="47"/>
    </row>
    <row r="30745" spans="45:45">
      <c r="AS30745" s="47"/>
    </row>
    <row r="30746" spans="45:45">
      <c r="AS30746" s="47"/>
    </row>
    <row r="30747" spans="45:45">
      <c r="AS30747" s="47"/>
    </row>
    <row r="30748" spans="45:45">
      <c r="AS30748" s="47"/>
    </row>
    <row r="30749" spans="45:45">
      <c r="AS30749" s="47"/>
    </row>
    <row r="30750" spans="45:45">
      <c r="AS30750" s="47"/>
    </row>
    <row r="30751" spans="45:45">
      <c r="AS30751" s="47"/>
    </row>
    <row r="30752" spans="45:45">
      <c r="AS30752" s="47"/>
    </row>
    <row r="30753" spans="45:45">
      <c r="AS30753" s="47"/>
    </row>
    <row r="30754" spans="45:45">
      <c r="AS30754" s="47"/>
    </row>
    <row r="30755" spans="45:45">
      <c r="AS30755" s="47"/>
    </row>
    <row r="30756" spans="45:45">
      <c r="AS30756" s="47"/>
    </row>
    <row r="30757" spans="45:45">
      <c r="AS30757" s="47"/>
    </row>
    <row r="30758" spans="45:45">
      <c r="AS30758" s="47"/>
    </row>
    <row r="30759" spans="45:45">
      <c r="AS30759" s="47"/>
    </row>
    <row r="30760" spans="45:45">
      <c r="AS30760" s="47"/>
    </row>
    <row r="30761" spans="45:45">
      <c r="AS30761" s="47"/>
    </row>
    <row r="30762" spans="45:45">
      <c r="AS30762" s="47"/>
    </row>
    <row r="30763" spans="45:45">
      <c r="AS30763" s="47"/>
    </row>
    <row r="30764" spans="45:45">
      <c r="AS30764" s="47"/>
    </row>
    <row r="30765" spans="45:45">
      <c r="AS30765" s="47"/>
    </row>
    <row r="30766" spans="45:45">
      <c r="AS30766" s="47"/>
    </row>
    <row r="30767" spans="45:45">
      <c r="AS30767" s="47"/>
    </row>
    <row r="30768" spans="45:45">
      <c r="AS30768" s="47"/>
    </row>
    <row r="30769" spans="45:45">
      <c r="AS30769" s="47"/>
    </row>
    <row r="30770" spans="45:45">
      <c r="AS30770" s="47"/>
    </row>
    <row r="30771" spans="45:45">
      <c r="AS30771" s="47"/>
    </row>
    <row r="30772" spans="45:45">
      <c r="AS30772" s="47"/>
    </row>
    <row r="30773" spans="45:45">
      <c r="AS30773" s="47"/>
    </row>
    <row r="30774" spans="45:45">
      <c r="AS30774" s="47"/>
    </row>
    <row r="30775" spans="45:45">
      <c r="AS30775" s="47"/>
    </row>
    <row r="30776" spans="45:45">
      <c r="AS30776" s="47"/>
    </row>
    <row r="30777" spans="45:45">
      <c r="AS30777" s="47"/>
    </row>
    <row r="30778" spans="45:45">
      <c r="AS30778" s="47"/>
    </row>
    <row r="30779" spans="45:45">
      <c r="AS30779" s="47"/>
    </row>
    <row r="30780" spans="45:45">
      <c r="AS30780" s="47"/>
    </row>
    <row r="30781" spans="45:45">
      <c r="AS30781" s="47"/>
    </row>
    <row r="30782" spans="45:45">
      <c r="AS30782" s="47"/>
    </row>
    <row r="30783" spans="45:45">
      <c r="AS30783" s="47"/>
    </row>
    <row r="30784" spans="45:45">
      <c r="AS30784" s="47"/>
    </row>
    <row r="30785" spans="45:45">
      <c r="AS30785" s="47"/>
    </row>
    <row r="30786" spans="45:45">
      <c r="AS30786" s="47"/>
    </row>
    <row r="30787" spans="45:45">
      <c r="AS30787" s="47"/>
    </row>
    <row r="30788" spans="45:45">
      <c r="AS30788" s="47"/>
    </row>
    <row r="30789" spans="45:45">
      <c r="AS30789" s="47"/>
    </row>
    <row r="30790" spans="45:45">
      <c r="AS30790" s="47"/>
    </row>
    <row r="30791" spans="45:45">
      <c r="AS30791" s="47"/>
    </row>
    <row r="30792" spans="45:45">
      <c r="AS30792" s="47"/>
    </row>
    <row r="30793" spans="45:45">
      <c r="AS30793" s="47"/>
    </row>
    <row r="30794" spans="45:45">
      <c r="AS30794" s="47"/>
    </row>
    <row r="30795" spans="45:45">
      <c r="AS30795" s="47"/>
    </row>
    <row r="30796" spans="45:45">
      <c r="AS30796" s="47"/>
    </row>
    <row r="30797" spans="45:45">
      <c r="AS30797" s="47"/>
    </row>
    <row r="30798" spans="45:45">
      <c r="AS30798" s="47"/>
    </row>
    <row r="30799" spans="45:45">
      <c r="AS30799" s="47"/>
    </row>
    <row r="30800" spans="45:45">
      <c r="AS30800" s="47"/>
    </row>
    <row r="30801" spans="45:45">
      <c r="AS30801" s="47"/>
    </row>
    <row r="30802" spans="45:45">
      <c r="AS30802" s="47"/>
    </row>
    <row r="30803" spans="45:45">
      <c r="AS30803" s="47"/>
    </row>
    <row r="30804" spans="45:45">
      <c r="AS30804" s="47"/>
    </row>
    <row r="30805" spans="45:45">
      <c r="AS30805" s="47"/>
    </row>
    <row r="30806" spans="45:45">
      <c r="AS30806" s="47"/>
    </row>
    <row r="30807" spans="45:45">
      <c r="AS30807" s="47"/>
    </row>
    <row r="30808" spans="45:45">
      <c r="AS30808" s="47"/>
    </row>
    <row r="30809" spans="45:45">
      <c r="AS30809" s="47"/>
    </row>
    <row r="30810" spans="45:45">
      <c r="AS30810" s="47"/>
    </row>
    <row r="30811" spans="45:45">
      <c r="AS30811" s="47"/>
    </row>
    <row r="30812" spans="45:45">
      <c r="AS30812" s="47"/>
    </row>
    <row r="30813" spans="45:45">
      <c r="AS30813" s="47"/>
    </row>
    <row r="30814" spans="45:45">
      <c r="AS30814" s="47"/>
    </row>
    <row r="30815" spans="45:45">
      <c r="AS30815" s="47"/>
    </row>
    <row r="30816" spans="45:45">
      <c r="AS30816" s="47"/>
    </row>
    <row r="30817" spans="45:45">
      <c r="AS30817" s="47"/>
    </row>
    <row r="30818" spans="45:45">
      <c r="AS30818" s="47"/>
    </row>
    <row r="30819" spans="45:45">
      <c r="AS30819" s="47"/>
    </row>
    <row r="30820" spans="45:45">
      <c r="AS30820" s="47"/>
    </row>
    <row r="30821" spans="45:45">
      <c r="AS30821" s="47"/>
    </row>
    <row r="30822" spans="45:45">
      <c r="AS30822" s="47"/>
    </row>
    <row r="30823" spans="45:45">
      <c r="AS30823" s="47"/>
    </row>
    <row r="30824" spans="45:45">
      <c r="AS30824" s="47"/>
    </row>
    <row r="30825" spans="45:45">
      <c r="AS30825" s="47"/>
    </row>
    <row r="30826" spans="45:45">
      <c r="AS30826" s="47"/>
    </row>
    <row r="30827" spans="45:45">
      <c r="AS30827" s="47"/>
    </row>
    <row r="30828" spans="45:45">
      <c r="AS30828" s="47"/>
    </row>
    <row r="30829" spans="45:45">
      <c r="AS30829" s="47"/>
    </row>
    <row r="30830" spans="45:45">
      <c r="AS30830" s="47"/>
    </row>
    <row r="30831" spans="45:45">
      <c r="AS30831" s="47"/>
    </row>
    <row r="30832" spans="45:45">
      <c r="AS30832" s="47"/>
    </row>
    <row r="30833" spans="45:45">
      <c r="AS30833" s="47"/>
    </row>
    <row r="30834" spans="45:45">
      <c r="AS30834" s="47"/>
    </row>
    <row r="30835" spans="45:45">
      <c r="AS30835" s="47"/>
    </row>
    <row r="30836" spans="45:45">
      <c r="AS30836" s="47"/>
    </row>
    <row r="30837" spans="45:45">
      <c r="AS30837" s="47"/>
    </row>
    <row r="30838" spans="45:45">
      <c r="AS30838" s="47"/>
    </row>
    <row r="30839" spans="45:45">
      <c r="AS30839" s="47"/>
    </row>
    <row r="30840" spans="45:45">
      <c r="AS30840" s="47"/>
    </row>
    <row r="30841" spans="45:45">
      <c r="AS30841" s="47"/>
    </row>
    <row r="30842" spans="45:45">
      <c r="AS30842" s="47"/>
    </row>
    <row r="30843" spans="45:45">
      <c r="AS30843" s="47"/>
    </row>
    <row r="30844" spans="45:45">
      <c r="AS30844" s="47"/>
    </row>
    <row r="30845" spans="45:45">
      <c r="AS30845" s="47"/>
    </row>
    <row r="30846" spans="45:45">
      <c r="AS30846" s="47"/>
    </row>
    <row r="30847" spans="45:45">
      <c r="AS30847" s="47"/>
    </row>
    <row r="30848" spans="45:45">
      <c r="AS30848" s="47"/>
    </row>
    <row r="30849" spans="45:45">
      <c r="AS30849" s="47"/>
    </row>
    <row r="30850" spans="45:45">
      <c r="AS30850" s="47"/>
    </row>
    <row r="30851" spans="45:45">
      <c r="AS30851" s="47"/>
    </row>
    <row r="30852" spans="45:45">
      <c r="AS30852" s="47"/>
    </row>
    <row r="30853" spans="45:45">
      <c r="AS30853" s="47"/>
    </row>
    <row r="30854" spans="45:45">
      <c r="AS30854" s="47"/>
    </row>
    <row r="30855" spans="45:45">
      <c r="AS30855" s="47"/>
    </row>
    <row r="30856" spans="45:45">
      <c r="AS30856" s="47"/>
    </row>
    <row r="30857" spans="45:45">
      <c r="AS30857" s="47"/>
    </row>
    <row r="30858" spans="45:45">
      <c r="AS30858" s="47"/>
    </row>
    <row r="30859" spans="45:45">
      <c r="AS30859" s="47"/>
    </row>
    <row r="30860" spans="45:45">
      <c r="AS30860" s="47"/>
    </row>
    <row r="30861" spans="45:45">
      <c r="AS30861" s="47"/>
    </row>
    <row r="30862" spans="45:45">
      <c r="AS30862" s="47"/>
    </row>
    <row r="30863" spans="45:45">
      <c r="AS30863" s="47"/>
    </row>
    <row r="30864" spans="45:45">
      <c r="AS30864" s="47"/>
    </row>
    <row r="30865" spans="45:45">
      <c r="AS30865" s="47"/>
    </row>
    <row r="30866" spans="45:45">
      <c r="AS30866" s="47"/>
    </row>
    <row r="30867" spans="45:45">
      <c r="AS30867" s="47"/>
    </row>
    <row r="30868" spans="45:45">
      <c r="AS30868" s="47"/>
    </row>
    <row r="30869" spans="45:45">
      <c r="AS30869" s="47"/>
    </row>
    <row r="30870" spans="45:45">
      <c r="AS30870" s="47"/>
    </row>
    <row r="30871" spans="45:45">
      <c r="AS30871" s="47"/>
    </row>
    <row r="30872" spans="45:45">
      <c r="AS30872" s="47"/>
    </row>
    <row r="30873" spans="45:45">
      <c r="AS30873" s="47"/>
    </row>
    <row r="30874" spans="45:45">
      <c r="AS30874" s="47"/>
    </row>
    <row r="30875" spans="45:45">
      <c r="AS30875" s="47"/>
    </row>
    <row r="30876" spans="45:45">
      <c r="AS30876" s="47"/>
    </row>
    <row r="30877" spans="45:45">
      <c r="AS30877" s="47"/>
    </row>
    <row r="30878" spans="45:45">
      <c r="AS30878" s="47"/>
    </row>
    <row r="30879" spans="45:45">
      <c r="AS30879" s="47"/>
    </row>
    <row r="30880" spans="45:45">
      <c r="AS30880" s="47"/>
    </row>
    <row r="30881" spans="45:45">
      <c r="AS30881" s="47"/>
    </row>
    <row r="30882" spans="45:45">
      <c r="AS30882" s="47"/>
    </row>
    <row r="30883" spans="45:45">
      <c r="AS30883" s="47"/>
    </row>
    <row r="30884" spans="45:45">
      <c r="AS30884" s="47"/>
    </row>
    <row r="30885" spans="45:45">
      <c r="AS30885" s="47"/>
    </row>
    <row r="30886" spans="45:45">
      <c r="AS30886" s="47"/>
    </row>
    <row r="30887" spans="45:45">
      <c r="AS30887" s="47"/>
    </row>
    <row r="30888" spans="45:45">
      <c r="AS30888" s="47"/>
    </row>
    <row r="30889" spans="45:45">
      <c r="AS30889" s="47"/>
    </row>
    <row r="30890" spans="45:45">
      <c r="AS30890" s="47"/>
    </row>
    <row r="30891" spans="45:45">
      <c r="AS30891" s="47"/>
    </row>
    <row r="30892" spans="45:45">
      <c r="AS30892" s="47"/>
    </row>
    <row r="30893" spans="45:45">
      <c r="AS30893" s="47"/>
    </row>
    <row r="30894" spans="45:45">
      <c r="AS30894" s="47"/>
    </row>
    <row r="30895" spans="45:45">
      <c r="AS30895" s="47"/>
    </row>
    <row r="30896" spans="45:45">
      <c r="AS30896" s="47"/>
    </row>
    <row r="30897" spans="45:45">
      <c r="AS30897" s="47"/>
    </row>
    <row r="30898" spans="45:45">
      <c r="AS30898" s="47"/>
    </row>
    <row r="30899" spans="45:45">
      <c r="AS30899" s="47"/>
    </row>
    <row r="30900" spans="45:45">
      <c r="AS30900" s="47"/>
    </row>
    <row r="30901" spans="45:45">
      <c r="AS30901" s="47"/>
    </row>
    <row r="30902" spans="45:45">
      <c r="AS30902" s="47"/>
    </row>
    <row r="30903" spans="45:45">
      <c r="AS30903" s="47"/>
    </row>
    <row r="30904" spans="45:45">
      <c r="AS30904" s="47"/>
    </row>
    <row r="30905" spans="45:45">
      <c r="AS30905" s="47"/>
    </row>
    <row r="30906" spans="45:45">
      <c r="AS30906" s="47"/>
    </row>
    <row r="30907" spans="45:45">
      <c r="AS30907" s="47"/>
    </row>
    <row r="30908" spans="45:45">
      <c r="AS30908" s="47"/>
    </row>
    <row r="30909" spans="45:45">
      <c r="AS30909" s="47"/>
    </row>
    <row r="30910" spans="45:45">
      <c r="AS30910" s="47"/>
    </row>
    <row r="30911" spans="45:45">
      <c r="AS30911" s="47"/>
    </row>
    <row r="30912" spans="45:45">
      <c r="AS30912" s="47"/>
    </row>
    <row r="30913" spans="45:45">
      <c r="AS30913" s="47"/>
    </row>
    <row r="30914" spans="45:45">
      <c r="AS30914" s="47"/>
    </row>
    <row r="30915" spans="45:45">
      <c r="AS30915" s="47"/>
    </row>
    <row r="30916" spans="45:45">
      <c r="AS30916" s="47"/>
    </row>
    <row r="30917" spans="45:45">
      <c r="AS30917" s="47"/>
    </row>
    <row r="30918" spans="45:45">
      <c r="AS30918" s="47"/>
    </row>
    <row r="30919" spans="45:45">
      <c r="AS30919" s="47"/>
    </row>
    <row r="30920" spans="45:45">
      <c r="AS30920" s="47"/>
    </row>
    <row r="30921" spans="45:45">
      <c r="AS30921" s="47"/>
    </row>
    <row r="30922" spans="45:45">
      <c r="AS30922" s="47"/>
    </row>
    <row r="30923" spans="45:45">
      <c r="AS30923" s="47"/>
    </row>
    <row r="30924" spans="45:45">
      <c r="AS30924" s="47"/>
    </row>
    <row r="30925" spans="45:45">
      <c r="AS30925" s="47"/>
    </row>
    <row r="30926" spans="45:45">
      <c r="AS30926" s="47"/>
    </row>
    <row r="30927" spans="45:45">
      <c r="AS30927" s="47"/>
    </row>
    <row r="30928" spans="45:45">
      <c r="AS30928" s="47"/>
    </row>
    <row r="30929" spans="45:45">
      <c r="AS30929" s="47"/>
    </row>
    <row r="30930" spans="45:45">
      <c r="AS30930" s="47"/>
    </row>
    <row r="30931" spans="45:45">
      <c r="AS30931" s="47"/>
    </row>
    <row r="30932" spans="45:45">
      <c r="AS30932" s="47"/>
    </row>
    <row r="30933" spans="45:45">
      <c r="AS30933" s="47"/>
    </row>
    <row r="30934" spans="45:45">
      <c r="AS30934" s="47"/>
    </row>
    <row r="30935" spans="45:45">
      <c r="AS30935" s="47"/>
    </row>
    <row r="30936" spans="45:45">
      <c r="AS30936" s="47"/>
    </row>
    <row r="30937" spans="45:45">
      <c r="AS30937" s="47"/>
    </row>
    <row r="30938" spans="45:45">
      <c r="AS30938" s="47"/>
    </row>
    <row r="30939" spans="45:45">
      <c r="AS30939" s="47"/>
    </row>
    <row r="30940" spans="45:45">
      <c r="AS30940" s="47"/>
    </row>
    <row r="30941" spans="45:45">
      <c r="AS30941" s="47"/>
    </row>
    <row r="30942" spans="45:45">
      <c r="AS30942" s="47"/>
    </row>
    <row r="30943" spans="45:45">
      <c r="AS30943" s="47"/>
    </row>
    <row r="30944" spans="45:45">
      <c r="AS30944" s="47"/>
    </row>
    <row r="30945" spans="45:45">
      <c r="AS30945" s="47"/>
    </row>
    <row r="30946" spans="45:45">
      <c r="AS30946" s="47"/>
    </row>
    <row r="30947" spans="45:45">
      <c r="AS30947" s="47"/>
    </row>
    <row r="30948" spans="45:45">
      <c r="AS30948" s="47"/>
    </row>
    <row r="30949" spans="45:45">
      <c r="AS30949" s="47"/>
    </row>
    <row r="30950" spans="45:45">
      <c r="AS30950" s="47"/>
    </row>
    <row r="30951" spans="45:45">
      <c r="AS30951" s="47"/>
    </row>
    <row r="30952" spans="45:45">
      <c r="AS30952" s="47"/>
    </row>
    <row r="30953" spans="45:45">
      <c r="AS30953" s="47"/>
    </row>
    <row r="30954" spans="45:45">
      <c r="AS30954" s="47"/>
    </row>
    <row r="30955" spans="45:45">
      <c r="AS30955" s="47"/>
    </row>
    <row r="30956" spans="45:45">
      <c r="AS30956" s="47"/>
    </row>
    <row r="30957" spans="45:45">
      <c r="AS30957" s="47"/>
    </row>
    <row r="30958" spans="45:45">
      <c r="AS30958" s="47"/>
    </row>
    <row r="30959" spans="45:45">
      <c r="AS30959" s="47"/>
    </row>
    <row r="30960" spans="45:45">
      <c r="AS30960" s="47"/>
    </row>
    <row r="30961" spans="45:45">
      <c r="AS30961" s="47"/>
    </row>
    <row r="30962" spans="45:45">
      <c r="AS30962" s="47"/>
    </row>
    <row r="30963" spans="45:45">
      <c r="AS30963" s="47"/>
    </row>
    <row r="30964" spans="45:45">
      <c r="AS30964" s="47"/>
    </row>
    <row r="30965" spans="45:45">
      <c r="AS30965" s="47"/>
    </row>
    <row r="30966" spans="45:45">
      <c r="AS30966" s="47"/>
    </row>
    <row r="30967" spans="45:45">
      <c r="AS30967" s="47"/>
    </row>
    <row r="30968" spans="45:45">
      <c r="AS30968" s="47"/>
    </row>
    <row r="30969" spans="45:45">
      <c r="AS30969" s="47"/>
    </row>
    <row r="30970" spans="45:45">
      <c r="AS30970" s="47"/>
    </row>
    <row r="30971" spans="45:45">
      <c r="AS30971" s="47"/>
    </row>
    <row r="30972" spans="45:45">
      <c r="AS30972" s="47"/>
    </row>
    <row r="30973" spans="45:45">
      <c r="AS30973" s="47"/>
    </row>
    <row r="30974" spans="45:45">
      <c r="AS30974" s="47"/>
    </row>
    <row r="30975" spans="45:45">
      <c r="AS30975" s="47"/>
    </row>
    <row r="30976" spans="45:45">
      <c r="AS30976" s="47"/>
    </row>
    <row r="30977" spans="45:45">
      <c r="AS30977" s="47"/>
    </row>
    <row r="30978" spans="45:45">
      <c r="AS30978" s="47"/>
    </row>
    <row r="30979" spans="45:45">
      <c r="AS30979" s="47"/>
    </row>
    <row r="30980" spans="45:45">
      <c r="AS30980" s="47"/>
    </row>
    <row r="30981" spans="45:45">
      <c r="AS30981" s="47"/>
    </row>
    <row r="30982" spans="45:45">
      <c r="AS30982" s="47"/>
    </row>
    <row r="30983" spans="45:45">
      <c r="AS30983" s="47"/>
    </row>
    <row r="30984" spans="45:45">
      <c r="AS30984" s="47"/>
    </row>
    <row r="30985" spans="45:45">
      <c r="AS30985" s="47"/>
    </row>
    <row r="30986" spans="45:45">
      <c r="AS30986" s="47"/>
    </row>
    <row r="30987" spans="45:45">
      <c r="AS30987" s="47"/>
    </row>
    <row r="30988" spans="45:45">
      <c r="AS30988" s="47"/>
    </row>
    <row r="30989" spans="45:45">
      <c r="AS30989" s="47"/>
    </row>
    <row r="30990" spans="45:45">
      <c r="AS30990" s="47"/>
    </row>
    <row r="30991" spans="45:45">
      <c r="AS30991" s="47"/>
    </row>
    <row r="30992" spans="45:45">
      <c r="AS30992" s="47"/>
    </row>
    <row r="30993" spans="45:45">
      <c r="AS30993" s="47"/>
    </row>
    <row r="30994" spans="45:45">
      <c r="AS30994" s="47"/>
    </row>
    <row r="30995" spans="45:45">
      <c r="AS30995" s="47"/>
    </row>
    <row r="30996" spans="45:45">
      <c r="AS30996" s="47"/>
    </row>
    <row r="30997" spans="45:45">
      <c r="AS30997" s="47"/>
    </row>
    <row r="30998" spans="45:45">
      <c r="AS30998" s="47"/>
    </row>
    <row r="30999" spans="45:45">
      <c r="AS30999" s="47"/>
    </row>
    <row r="31000" spans="45:45">
      <c r="AS31000" s="47"/>
    </row>
    <row r="31001" spans="45:45">
      <c r="AS31001" s="47"/>
    </row>
    <row r="31002" spans="45:45">
      <c r="AS31002" s="47"/>
    </row>
    <row r="31003" spans="45:45">
      <c r="AS31003" s="47"/>
    </row>
    <row r="31004" spans="45:45">
      <c r="AS31004" s="47"/>
    </row>
    <row r="31005" spans="45:45">
      <c r="AS31005" s="47"/>
    </row>
    <row r="31006" spans="45:45">
      <c r="AS31006" s="47"/>
    </row>
    <row r="31007" spans="45:45">
      <c r="AS31007" s="47"/>
    </row>
    <row r="31008" spans="45:45">
      <c r="AS31008" s="47"/>
    </row>
    <row r="31009" spans="45:45">
      <c r="AS31009" s="47"/>
    </row>
    <row r="31010" spans="45:45">
      <c r="AS31010" s="47"/>
    </row>
    <row r="31011" spans="45:45">
      <c r="AS31011" s="47"/>
    </row>
    <row r="31012" spans="45:45">
      <c r="AS31012" s="47"/>
    </row>
    <row r="31013" spans="45:45">
      <c r="AS31013" s="47"/>
    </row>
    <row r="31014" spans="45:45">
      <c r="AS31014" s="47"/>
    </row>
    <row r="31015" spans="45:45">
      <c r="AS31015" s="47"/>
    </row>
    <row r="31016" spans="45:45">
      <c r="AS31016" s="47"/>
    </row>
    <row r="31017" spans="45:45">
      <c r="AS31017" s="47"/>
    </row>
    <row r="31018" spans="45:45">
      <c r="AS31018" s="47"/>
    </row>
    <row r="31019" spans="45:45">
      <c r="AS31019" s="47"/>
    </row>
    <row r="31020" spans="45:45">
      <c r="AS31020" s="47"/>
    </row>
    <row r="31021" spans="45:45">
      <c r="AS31021" s="47"/>
    </row>
    <row r="31022" spans="45:45">
      <c r="AS31022" s="47"/>
    </row>
    <row r="31023" spans="45:45">
      <c r="AS31023" s="47"/>
    </row>
    <row r="31024" spans="45:45">
      <c r="AS31024" s="47"/>
    </row>
    <row r="31025" spans="45:45">
      <c r="AS31025" s="47"/>
    </row>
    <row r="31026" spans="45:45">
      <c r="AS31026" s="47"/>
    </row>
    <row r="31027" spans="45:45">
      <c r="AS31027" s="47"/>
    </row>
    <row r="31028" spans="45:45">
      <c r="AS31028" s="47"/>
    </row>
    <row r="31029" spans="45:45">
      <c r="AS31029" s="47"/>
    </row>
    <row r="31030" spans="45:45">
      <c r="AS31030" s="47"/>
    </row>
    <row r="31031" spans="45:45">
      <c r="AS31031" s="47"/>
    </row>
    <row r="31032" spans="45:45">
      <c r="AS31032" s="47"/>
    </row>
    <row r="31033" spans="45:45">
      <c r="AS31033" s="47"/>
    </row>
    <row r="31034" spans="45:45">
      <c r="AS31034" s="47"/>
    </row>
    <row r="31035" spans="45:45">
      <c r="AS31035" s="47"/>
    </row>
    <row r="31036" spans="45:45">
      <c r="AS31036" s="47"/>
    </row>
    <row r="31037" spans="45:45">
      <c r="AS31037" s="47"/>
    </row>
    <row r="31038" spans="45:45">
      <c r="AS31038" s="47"/>
    </row>
    <row r="31039" spans="45:45">
      <c r="AS31039" s="47"/>
    </row>
    <row r="31040" spans="45:45">
      <c r="AS31040" s="47"/>
    </row>
    <row r="31041" spans="45:45">
      <c r="AS31041" s="47"/>
    </row>
    <row r="31042" spans="45:45">
      <c r="AS31042" s="47"/>
    </row>
    <row r="31043" spans="45:45">
      <c r="AS31043" s="47"/>
    </row>
    <row r="31044" spans="45:45">
      <c r="AS31044" s="47"/>
    </row>
    <row r="31045" spans="45:45">
      <c r="AS31045" s="47"/>
    </row>
    <row r="31046" spans="45:45">
      <c r="AS31046" s="47"/>
    </row>
    <row r="31047" spans="45:45">
      <c r="AS31047" s="47"/>
    </row>
    <row r="31048" spans="45:45">
      <c r="AS31048" s="47"/>
    </row>
    <row r="31049" spans="45:45">
      <c r="AS31049" s="47"/>
    </row>
    <row r="31050" spans="45:45">
      <c r="AS31050" s="47"/>
    </row>
    <row r="31051" spans="45:45">
      <c r="AS31051" s="47"/>
    </row>
    <row r="31052" spans="45:45">
      <c r="AS31052" s="47"/>
    </row>
    <row r="31053" spans="45:45">
      <c r="AS31053" s="47"/>
    </row>
    <row r="31054" spans="45:45">
      <c r="AS31054" s="47"/>
    </row>
    <row r="31055" spans="45:45">
      <c r="AS31055" s="47"/>
    </row>
    <row r="31056" spans="45:45">
      <c r="AS31056" s="47"/>
    </row>
    <row r="31057" spans="45:45">
      <c r="AS31057" s="47"/>
    </row>
    <row r="31058" spans="45:45">
      <c r="AS31058" s="47"/>
    </row>
    <row r="31059" spans="45:45">
      <c r="AS31059" s="47"/>
    </row>
    <row r="31060" spans="45:45">
      <c r="AS31060" s="47"/>
    </row>
    <row r="31061" spans="45:45">
      <c r="AS31061" s="47"/>
    </row>
    <row r="31062" spans="45:45">
      <c r="AS31062" s="47"/>
    </row>
    <row r="31063" spans="45:45">
      <c r="AS31063" s="47"/>
    </row>
    <row r="31064" spans="45:45">
      <c r="AS31064" s="47"/>
    </row>
    <row r="31065" spans="45:45">
      <c r="AS31065" s="47"/>
    </row>
    <row r="31066" spans="45:45">
      <c r="AS31066" s="47"/>
    </row>
    <row r="31067" spans="45:45">
      <c r="AS31067" s="47"/>
    </row>
    <row r="31068" spans="45:45">
      <c r="AS31068" s="47"/>
    </row>
    <row r="31069" spans="45:45">
      <c r="AS31069" s="47"/>
    </row>
    <row r="31070" spans="45:45">
      <c r="AS31070" s="47"/>
    </row>
    <row r="31071" spans="45:45">
      <c r="AS31071" s="47"/>
    </row>
    <row r="31072" spans="45:45">
      <c r="AS31072" s="47"/>
    </row>
    <row r="31073" spans="45:45">
      <c r="AS31073" s="47"/>
    </row>
    <row r="31074" spans="45:45">
      <c r="AS31074" s="47"/>
    </row>
    <row r="31075" spans="45:45">
      <c r="AS31075" s="47"/>
    </row>
    <row r="31076" spans="45:45">
      <c r="AS31076" s="47"/>
    </row>
    <row r="31077" spans="45:45">
      <c r="AS31077" s="47"/>
    </row>
    <row r="31078" spans="45:45">
      <c r="AS31078" s="47"/>
    </row>
    <row r="31079" spans="45:45">
      <c r="AS31079" s="47"/>
    </row>
    <row r="31080" spans="45:45">
      <c r="AS31080" s="47"/>
    </row>
    <row r="31081" spans="45:45">
      <c r="AS31081" s="47"/>
    </row>
    <row r="31082" spans="45:45">
      <c r="AS31082" s="47"/>
    </row>
    <row r="31083" spans="45:45">
      <c r="AS31083" s="47"/>
    </row>
    <row r="31084" spans="45:45">
      <c r="AS31084" s="47"/>
    </row>
    <row r="31085" spans="45:45">
      <c r="AS31085" s="47"/>
    </row>
    <row r="31086" spans="45:45">
      <c r="AS31086" s="47"/>
    </row>
    <row r="31087" spans="45:45">
      <c r="AS31087" s="47"/>
    </row>
    <row r="31088" spans="45:45">
      <c r="AS31088" s="47"/>
    </row>
    <row r="31089" spans="45:45">
      <c r="AS31089" s="47"/>
    </row>
    <row r="31090" spans="45:45">
      <c r="AS31090" s="47"/>
    </row>
    <row r="31091" spans="45:45">
      <c r="AS31091" s="47"/>
    </row>
    <row r="31092" spans="45:45">
      <c r="AS31092" s="47"/>
    </row>
    <row r="31093" spans="45:45">
      <c r="AS31093" s="47"/>
    </row>
    <row r="31094" spans="45:45">
      <c r="AS31094" s="47"/>
    </row>
    <row r="31095" spans="45:45">
      <c r="AS31095" s="47"/>
    </row>
    <row r="31096" spans="45:45">
      <c r="AS31096" s="47"/>
    </row>
    <row r="31097" spans="45:45">
      <c r="AS31097" s="47"/>
    </row>
    <row r="31098" spans="45:45">
      <c r="AS31098" s="47"/>
    </row>
    <row r="31099" spans="45:45">
      <c r="AS31099" s="47"/>
    </row>
    <row r="31100" spans="45:45">
      <c r="AS31100" s="47"/>
    </row>
    <row r="31101" spans="45:45">
      <c r="AS31101" s="47"/>
    </row>
    <row r="31102" spans="45:45">
      <c r="AS31102" s="47"/>
    </row>
    <row r="31103" spans="45:45">
      <c r="AS31103" s="47"/>
    </row>
    <row r="31104" spans="45:45">
      <c r="AS31104" s="47"/>
    </row>
    <row r="31105" spans="45:45">
      <c r="AS31105" s="47"/>
    </row>
    <row r="31106" spans="45:45">
      <c r="AS31106" s="47"/>
    </row>
    <row r="31107" spans="45:45">
      <c r="AS31107" s="47"/>
    </row>
    <row r="31108" spans="45:45">
      <c r="AS31108" s="47"/>
    </row>
    <row r="31109" spans="45:45">
      <c r="AS31109" s="47"/>
    </row>
    <row r="31110" spans="45:45">
      <c r="AS31110" s="47"/>
    </row>
    <row r="31111" spans="45:45">
      <c r="AS31111" s="47"/>
    </row>
    <row r="31112" spans="45:45">
      <c r="AS31112" s="47"/>
    </row>
    <row r="31113" spans="45:45">
      <c r="AS31113" s="47"/>
    </row>
    <row r="31114" spans="45:45">
      <c r="AS31114" s="47"/>
    </row>
    <row r="31115" spans="45:45">
      <c r="AS31115" s="47"/>
    </row>
    <row r="31116" spans="45:45">
      <c r="AS31116" s="47"/>
    </row>
    <row r="31117" spans="45:45">
      <c r="AS31117" s="47"/>
    </row>
    <row r="31118" spans="45:45">
      <c r="AS31118" s="47"/>
    </row>
    <row r="31119" spans="45:45">
      <c r="AS31119" s="47"/>
    </row>
    <row r="31120" spans="45:45">
      <c r="AS31120" s="47"/>
    </row>
    <row r="31121" spans="45:45">
      <c r="AS31121" s="47"/>
    </row>
    <row r="31122" spans="45:45">
      <c r="AS31122" s="47"/>
    </row>
    <row r="31123" spans="45:45">
      <c r="AS31123" s="47"/>
    </row>
    <row r="31124" spans="45:45">
      <c r="AS31124" s="47"/>
    </row>
    <row r="31125" spans="45:45">
      <c r="AS31125" s="47"/>
    </row>
    <row r="31126" spans="45:45">
      <c r="AS31126" s="47"/>
    </row>
    <row r="31127" spans="45:45">
      <c r="AS31127" s="47"/>
    </row>
    <row r="31128" spans="45:45">
      <c r="AS31128" s="47"/>
    </row>
    <row r="31129" spans="45:45">
      <c r="AS31129" s="47"/>
    </row>
    <row r="31130" spans="45:45">
      <c r="AS31130" s="47"/>
    </row>
    <row r="31131" spans="45:45">
      <c r="AS31131" s="47"/>
    </row>
    <row r="31132" spans="45:45">
      <c r="AS31132" s="47"/>
    </row>
    <row r="31133" spans="45:45">
      <c r="AS31133" s="47"/>
    </row>
    <row r="31134" spans="45:45">
      <c r="AS31134" s="47"/>
    </row>
    <row r="31135" spans="45:45">
      <c r="AS31135" s="47"/>
    </row>
    <row r="31136" spans="45:45">
      <c r="AS31136" s="47"/>
    </row>
    <row r="31137" spans="45:45">
      <c r="AS31137" s="47"/>
    </row>
    <row r="31138" spans="45:45">
      <c r="AS31138" s="47"/>
    </row>
    <row r="31139" spans="45:45">
      <c r="AS31139" s="47"/>
    </row>
    <row r="31140" spans="45:45">
      <c r="AS31140" s="47"/>
    </row>
    <row r="31141" spans="45:45">
      <c r="AS31141" s="47"/>
    </row>
    <row r="31142" spans="45:45">
      <c r="AS31142" s="47"/>
    </row>
    <row r="31143" spans="45:45">
      <c r="AS31143" s="47"/>
    </row>
    <row r="31144" spans="45:45">
      <c r="AS31144" s="47"/>
    </row>
    <row r="31145" spans="45:45">
      <c r="AS31145" s="47"/>
    </row>
    <row r="31146" spans="45:45">
      <c r="AS31146" s="47"/>
    </row>
    <row r="31147" spans="45:45">
      <c r="AS31147" s="47"/>
    </row>
    <row r="31148" spans="45:45">
      <c r="AS31148" s="47"/>
    </row>
    <row r="31149" spans="45:45">
      <c r="AS31149" s="47"/>
    </row>
    <row r="31150" spans="45:45">
      <c r="AS31150" s="47"/>
    </row>
    <row r="31151" spans="45:45">
      <c r="AS31151" s="47"/>
    </row>
    <row r="31152" spans="45:45">
      <c r="AS31152" s="47"/>
    </row>
    <row r="31153" spans="45:45">
      <c r="AS31153" s="47"/>
    </row>
    <row r="31154" spans="45:45">
      <c r="AS31154" s="47"/>
    </row>
    <row r="31155" spans="45:45">
      <c r="AS31155" s="47"/>
    </row>
    <row r="31156" spans="45:45">
      <c r="AS31156" s="47"/>
    </row>
    <row r="31157" spans="45:45">
      <c r="AS31157" s="47"/>
    </row>
    <row r="31158" spans="45:45">
      <c r="AS31158" s="47"/>
    </row>
    <row r="31159" spans="45:45">
      <c r="AS31159" s="47"/>
    </row>
    <row r="31160" spans="45:45">
      <c r="AS31160" s="47"/>
    </row>
    <row r="31161" spans="45:45">
      <c r="AS31161" s="47"/>
    </row>
    <row r="31162" spans="45:45">
      <c r="AS31162" s="47"/>
    </row>
    <row r="31163" spans="45:45">
      <c r="AS31163" s="47"/>
    </row>
    <row r="31164" spans="45:45">
      <c r="AS31164" s="47"/>
    </row>
    <row r="31165" spans="45:45">
      <c r="AS31165" s="47"/>
    </row>
    <row r="31166" spans="45:45">
      <c r="AS31166" s="47"/>
    </row>
    <row r="31167" spans="45:45">
      <c r="AS31167" s="47"/>
    </row>
    <row r="31168" spans="45:45">
      <c r="AS31168" s="47"/>
    </row>
    <row r="31169" spans="45:45">
      <c r="AS31169" s="47"/>
    </row>
    <row r="31170" spans="45:45">
      <c r="AS31170" s="47"/>
    </row>
    <row r="31171" spans="45:45">
      <c r="AS31171" s="47"/>
    </row>
    <row r="31172" spans="45:45">
      <c r="AS31172" s="47"/>
    </row>
    <row r="31173" spans="45:45">
      <c r="AS31173" s="47"/>
    </row>
    <row r="31174" spans="45:45">
      <c r="AS31174" s="47"/>
    </row>
    <row r="31175" spans="45:45">
      <c r="AS31175" s="47"/>
    </row>
    <row r="31176" spans="45:45">
      <c r="AS31176" s="47"/>
    </row>
    <row r="31177" spans="45:45">
      <c r="AS31177" s="47"/>
    </row>
    <row r="31178" spans="45:45">
      <c r="AS31178" s="47"/>
    </row>
    <row r="31179" spans="45:45">
      <c r="AS31179" s="47"/>
    </row>
    <row r="31180" spans="45:45">
      <c r="AS31180" s="47"/>
    </row>
    <row r="31181" spans="45:45">
      <c r="AS31181" s="47"/>
    </row>
    <row r="31182" spans="45:45">
      <c r="AS31182" s="47"/>
    </row>
    <row r="31183" spans="45:45">
      <c r="AS31183" s="47"/>
    </row>
    <row r="31184" spans="45:45">
      <c r="AS31184" s="47"/>
    </row>
    <row r="31185" spans="45:45">
      <c r="AS31185" s="47"/>
    </row>
    <row r="31186" spans="45:45">
      <c r="AS31186" s="47"/>
    </row>
    <row r="31187" spans="45:45">
      <c r="AS31187" s="47"/>
    </row>
    <row r="31188" spans="45:45">
      <c r="AS31188" s="47"/>
    </row>
    <row r="31189" spans="45:45">
      <c r="AS31189" s="47"/>
    </row>
    <row r="31190" spans="45:45">
      <c r="AS31190" s="47"/>
    </row>
    <row r="31191" spans="45:45">
      <c r="AS31191" s="47"/>
    </row>
    <row r="31192" spans="45:45">
      <c r="AS31192" s="47"/>
    </row>
    <row r="31193" spans="45:45">
      <c r="AS31193" s="47"/>
    </row>
    <row r="31194" spans="45:45">
      <c r="AS31194" s="47"/>
    </row>
    <row r="31195" spans="45:45">
      <c r="AS31195" s="47"/>
    </row>
    <row r="31196" spans="45:45">
      <c r="AS31196" s="47"/>
    </row>
    <row r="31197" spans="45:45">
      <c r="AS31197" s="47"/>
    </row>
    <row r="31198" spans="45:45">
      <c r="AS31198" s="47"/>
    </row>
    <row r="31199" spans="45:45">
      <c r="AS31199" s="47"/>
    </row>
    <row r="31200" spans="45:45">
      <c r="AS31200" s="47"/>
    </row>
    <row r="31201" spans="45:45">
      <c r="AS31201" s="47"/>
    </row>
    <row r="31202" spans="45:45">
      <c r="AS31202" s="47"/>
    </row>
    <row r="31203" spans="45:45">
      <c r="AS31203" s="47"/>
    </row>
    <row r="31204" spans="45:45">
      <c r="AS31204" s="47"/>
    </row>
    <row r="31205" spans="45:45">
      <c r="AS31205" s="47"/>
    </row>
    <row r="31206" spans="45:45">
      <c r="AS31206" s="47"/>
    </row>
    <row r="31207" spans="45:45">
      <c r="AS31207" s="47"/>
    </row>
    <row r="31208" spans="45:45">
      <c r="AS31208" s="47"/>
    </row>
    <row r="31209" spans="45:45">
      <c r="AS31209" s="47"/>
    </row>
    <row r="31210" spans="45:45">
      <c r="AS31210" s="47"/>
    </row>
    <row r="31211" spans="45:45">
      <c r="AS31211" s="47"/>
    </row>
    <row r="31212" spans="45:45">
      <c r="AS31212" s="47"/>
    </row>
    <row r="31213" spans="45:45">
      <c r="AS31213" s="47"/>
    </row>
    <row r="31214" spans="45:45">
      <c r="AS31214" s="47"/>
    </row>
    <row r="31215" spans="45:45">
      <c r="AS31215" s="47"/>
    </row>
    <row r="31216" spans="45:45">
      <c r="AS31216" s="47"/>
    </row>
    <row r="31217" spans="45:45">
      <c r="AS31217" s="47"/>
    </row>
    <row r="31218" spans="45:45">
      <c r="AS31218" s="47"/>
    </row>
    <row r="31219" spans="45:45">
      <c r="AS31219" s="47"/>
    </row>
    <row r="31220" spans="45:45">
      <c r="AS31220" s="47"/>
    </row>
    <row r="31221" spans="45:45">
      <c r="AS31221" s="47"/>
    </row>
    <row r="31222" spans="45:45">
      <c r="AS31222" s="47"/>
    </row>
    <row r="31223" spans="45:45">
      <c r="AS31223" s="47"/>
    </row>
    <row r="31224" spans="45:45">
      <c r="AS31224" s="47"/>
    </row>
    <row r="31225" spans="45:45">
      <c r="AS31225" s="47"/>
    </row>
    <row r="31226" spans="45:45">
      <c r="AS31226" s="47"/>
    </row>
    <row r="31227" spans="45:45">
      <c r="AS31227" s="47"/>
    </row>
    <row r="31228" spans="45:45">
      <c r="AS31228" s="47"/>
    </row>
    <row r="31229" spans="45:45">
      <c r="AS31229" s="47"/>
    </row>
    <row r="31230" spans="45:45">
      <c r="AS31230" s="47"/>
    </row>
    <row r="31231" spans="45:45">
      <c r="AS31231" s="47"/>
    </row>
    <row r="31232" spans="45:45">
      <c r="AS31232" s="47"/>
    </row>
    <row r="31233" spans="45:45">
      <c r="AS31233" s="47"/>
    </row>
    <row r="31234" spans="45:45">
      <c r="AS31234" s="47"/>
    </row>
    <row r="31235" spans="45:45">
      <c r="AS31235" s="47"/>
    </row>
    <row r="31236" spans="45:45">
      <c r="AS31236" s="47"/>
    </row>
    <row r="31237" spans="45:45">
      <c r="AS31237" s="47"/>
    </row>
    <row r="31238" spans="45:45">
      <c r="AS31238" s="47"/>
    </row>
    <row r="31239" spans="45:45">
      <c r="AS31239" s="47"/>
    </row>
    <row r="31240" spans="45:45">
      <c r="AS31240" s="47"/>
    </row>
    <row r="31241" spans="45:45">
      <c r="AS31241" s="47"/>
    </row>
    <row r="31242" spans="45:45">
      <c r="AS31242" s="47"/>
    </row>
    <row r="31243" spans="45:45">
      <c r="AS31243" s="47"/>
    </row>
    <row r="31244" spans="45:45">
      <c r="AS31244" s="47"/>
    </row>
    <row r="31245" spans="45:45">
      <c r="AS31245" s="47"/>
    </row>
    <row r="31246" spans="45:45">
      <c r="AS31246" s="47"/>
    </row>
    <row r="31247" spans="45:45">
      <c r="AS31247" s="47"/>
    </row>
    <row r="31248" spans="45:45">
      <c r="AS31248" s="47"/>
    </row>
    <row r="31249" spans="45:45">
      <c r="AS31249" s="47"/>
    </row>
    <row r="31250" spans="45:45">
      <c r="AS31250" s="47"/>
    </row>
    <row r="31251" spans="45:45">
      <c r="AS31251" s="47"/>
    </row>
    <row r="31252" spans="45:45">
      <c r="AS31252" s="47"/>
    </row>
    <row r="31253" spans="45:45">
      <c r="AS31253" s="47"/>
    </row>
    <row r="31254" spans="45:45">
      <c r="AS31254" s="47"/>
    </row>
    <row r="31255" spans="45:45">
      <c r="AS31255" s="47"/>
    </row>
    <row r="31256" spans="45:45">
      <c r="AS31256" s="47"/>
    </row>
    <row r="31257" spans="45:45">
      <c r="AS31257" s="47"/>
    </row>
    <row r="31258" spans="45:45">
      <c r="AS31258" s="47"/>
    </row>
    <row r="31259" spans="45:45">
      <c r="AS31259" s="47"/>
    </row>
    <row r="31260" spans="45:45">
      <c r="AS31260" s="47"/>
    </row>
    <row r="31261" spans="45:45">
      <c r="AS31261" s="47"/>
    </row>
    <row r="31262" spans="45:45">
      <c r="AS31262" s="47"/>
    </row>
    <row r="31263" spans="45:45">
      <c r="AS31263" s="47"/>
    </row>
    <row r="31264" spans="45:45">
      <c r="AS31264" s="47"/>
    </row>
    <row r="31265" spans="45:45">
      <c r="AS31265" s="47"/>
    </row>
    <row r="31266" spans="45:45">
      <c r="AS31266" s="47"/>
    </row>
    <row r="31267" spans="45:45">
      <c r="AS31267" s="47"/>
    </row>
    <row r="31268" spans="45:45">
      <c r="AS31268" s="47"/>
    </row>
    <row r="31269" spans="45:45">
      <c r="AS31269" s="47"/>
    </row>
    <row r="31270" spans="45:45">
      <c r="AS31270" s="47"/>
    </row>
    <row r="31271" spans="45:45">
      <c r="AS31271" s="47"/>
    </row>
    <row r="31272" spans="45:45">
      <c r="AS31272" s="47"/>
    </row>
    <row r="31273" spans="45:45">
      <c r="AS31273" s="47"/>
    </row>
    <row r="31274" spans="45:45">
      <c r="AS31274" s="47"/>
    </row>
    <row r="31275" spans="45:45">
      <c r="AS31275" s="47"/>
    </row>
    <row r="31276" spans="45:45">
      <c r="AS31276" s="47"/>
    </row>
    <row r="31277" spans="45:45">
      <c r="AS31277" s="47"/>
    </row>
    <row r="31278" spans="45:45">
      <c r="AS31278" s="47"/>
    </row>
    <row r="31279" spans="45:45">
      <c r="AS31279" s="47"/>
    </row>
    <row r="31280" spans="45:45">
      <c r="AS31280" s="47"/>
    </row>
    <row r="31281" spans="45:45">
      <c r="AS31281" s="47"/>
    </row>
    <row r="31282" spans="45:45">
      <c r="AS31282" s="47"/>
    </row>
    <row r="31283" spans="45:45">
      <c r="AS31283" s="47"/>
    </row>
    <row r="31284" spans="45:45">
      <c r="AS31284" s="47"/>
    </row>
    <row r="31285" spans="45:45">
      <c r="AS31285" s="47"/>
    </row>
    <row r="31286" spans="45:45">
      <c r="AS31286" s="47"/>
    </row>
    <row r="31287" spans="45:45">
      <c r="AS31287" s="47"/>
    </row>
    <row r="31288" spans="45:45">
      <c r="AS31288" s="47"/>
    </row>
    <row r="31289" spans="45:45">
      <c r="AS31289" s="47"/>
    </row>
    <row r="31290" spans="45:45">
      <c r="AS31290" s="47"/>
    </row>
    <row r="31291" spans="45:45">
      <c r="AS31291" s="47"/>
    </row>
    <row r="31292" spans="45:45">
      <c r="AS31292" s="47"/>
    </row>
    <row r="31293" spans="45:45">
      <c r="AS31293" s="47"/>
    </row>
    <row r="31294" spans="45:45">
      <c r="AS31294" s="47"/>
    </row>
    <row r="31295" spans="45:45">
      <c r="AS31295" s="47"/>
    </row>
    <row r="31296" spans="45:45">
      <c r="AS31296" s="47"/>
    </row>
    <row r="31297" spans="45:45">
      <c r="AS31297" s="47"/>
    </row>
    <row r="31298" spans="45:45">
      <c r="AS31298" s="47"/>
    </row>
    <row r="31299" spans="45:45">
      <c r="AS31299" s="47"/>
    </row>
    <row r="31300" spans="45:45">
      <c r="AS31300" s="47"/>
    </row>
    <row r="31301" spans="45:45">
      <c r="AS31301" s="47"/>
    </row>
    <row r="31302" spans="45:45">
      <c r="AS31302" s="47"/>
    </row>
    <row r="31303" spans="45:45">
      <c r="AS31303" s="47"/>
    </row>
    <row r="31304" spans="45:45">
      <c r="AS31304" s="47"/>
    </row>
    <row r="31305" spans="45:45">
      <c r="AS31305" s="47"/>
    </row>
    <row r="31306" spans="45:45">
      <c r="AS31306" s="47"/>
    </row>
    <row r="31307" spans="45:45">
      <c r="AS31307" s="47"/>
    </row>
    <row r="31308" spans="45:45">
      <c r="AS31308" s="47"/>
    </row>
    <row r="31309" spans="45:45">
      <c r="AS31309" s="47"/>
    </row>
    <row r="31310" spans="45:45">
      <c r="AS31310" s="47"/>
    </row>
    <row r="31311" spans="45:45">
      <c r="AS31311" s="47"/>
    </row>
    <row r="31312" spans="45:45">
      <c r="AS31312" s="47"/>
    </row>
    <row r="31313" spans="45:45">
      <c r="AS31313" s="47"/>
    </row>
    <row r="31314" spans="45:45">
      <c r="AS31314" s="47"/>
    </row>
    <row r="31315" spans="45:45">
      <c r="AS31315" s="47"/>
    </row>
    <row r="31316" spans="45:45">
      <c r="AS31316" s="47"/>
    </row>
    <row r="31317" spans="45:45">
      <c r="AS31317" s="47"/>
    </row>
    <row r="31318" spans="45:45">
      <c r="AS31318" s="47"/>
    </row>
    <row r="31319" spans="45:45">
      <c r="AS31319" s="47"/>
    </row>
    <row r="31320" spans="45:45">
      <c r="AS31320" s="47"/>
    </row>
    <row r="31321" spans="45:45">
      <c r="AS31321" s="47"/>
    </row>
    <row r="31322" spans="45:45">
      <c r="AS31322" s="47"/>
    </row>
    <row r="31323" spans="45:45">
      <c r="AS31323" s="47"/>
    </row>
    <row r="31324" spans="45:45">
      <c r="AS31324" s="47"/>
    </row>
    <row r="31325" spans="45:45">
      <c r="AS31325" s="47"/>
    </row>
    <row r="31326" spans="45:45">
      <c r="AS31326" s="47"/>
    </row>
    <row r="31327" spans="45:45">
      <c r="AS31327" s="47"/>
    </row>
    <row r="31328" spans="45:45">
      <c r="AS31328" s="47"/>
    </row>
    <row r="31329" spans="45:45">
      <c r="AS31329" s="47"/>
    </row>
    <row r="31330" spans="45:45">
      <c r="AS31330" s="47"/>
    </row>
    <row r="31331" spans="45:45">
      <c r="AS31331" s="47"/>
    </row>
    <row r="31332" spans="45:45">
      <c r="AS31332" s="47"/>
    </row>
    <row r="31333" spans="45:45">
      <c r="AS31333" s="47"/>
    </row>
    <row r="31334" spans="45:45">
      <c r="AS31334" s="47"/>
    </row>
    <row r="31335" spans="45:45">
      <c r="AS31335" s="47"/>
    </row>
    <row r="31336" spans="45:45">
      <c r="AS31336" s="47"/>
    </row>
    <row r="31337" spans="45:45">
      <c r="AS31337" s="47"/>
    </row>
    <row r="31338" spans="45:45">
      <c r="AS31338" s="47"/>
    </row>
    <row r="31339" spans="45:45">
      <c r="AS31339" s="47"/>
    </row>
    <row r="31340" spans="45:45">
      <c r="AS31340" s="47"/>
    </row>
    <row r="31341" spans="45:45">
      <c r="AS31341" s="47"/>
    </row>
    <row r="31342" spans="45:45">
      <c r="AS31342" s="47"/>
    </row>
    <row r="31343" spans="45:45">
      <c r="AS31343" s="47"/>
    </row>
    <row r="31344" spans="45:45">
      <c r="AS31344" s="47"/>
    </row>
    <row r="31345" spans="45:45">
      <c r="AS31345" s="47"/>
    </row>
    <row r="31346" spans="45:45">
      <c r="AS31346" s="47"/>
    </row>
    <row r="31347" spans="45:45">
      <c r="AS31347" s="47"/>
    </row>
    <row r="31348" spans="45:45">
      <c r="AS31348" s="47"/>
    </row>
    <row r="31349" spans="45:45">
      <c r="AS31349" s="47"/>
    </row>
    <row r="31350" spans="45:45">
      <c r="AS31350" s="47"/>
    </row>
    <row r="31351" spans="45:45">
      <c r="AS31351" s="47"/>
    </row>
    <row r="31352" spans="45:45">
      <c r="AS31352" s="47"/>
    </row>
    <row r="31353" spans="45:45">
      <c r="AS31353" s="47"/>
    </row>
    <row r="31354" spans="45:45">
      <c r="AS31354" s="47"/>
    </row>
    <row r="31355" spans="45:45">
      <c r="AS31355" s="47"/>
    </row>
    <row r="31356" spans="45:45">
      <c r="AS31356" s="47"/>
    </row>
    <row r="31357" spans="45:45">
      <c r="AS31357" s="47"/>
    </row>
    <row r="31358" spans="45:45">
      <c r="AS31358" s="47"/>
    </row>
    <row r="31359" spans="45:45">
      <c r="AS31359" s="47"/>
    </row>
    <row r="31360" spans="45:45">
      <c r="AS31360" s="47"/>
    </row>
    <row r="31361" spans="45:45">
      <c r="AS31361" s="47"/>
    </row>
    <row r="31362" spans="45:45">
      <c r="AS31362" s="47"/>
    </row>
    <row r="31363" spans="45:45">
      <c r="AS31363" s="47"/>
    </row>
    <row r="31364" spans="45:45">
      <c r="AS31364" s="47"/>
    </row>
    <row r="31365" spans="45:45">
      <c r="AS31365" s="47"/>
    </row>
    <row r="31366" spans="45:45">
      <c r="AS31366" s="47"/>
    </row>
    <row r="31367" spans="45:45">
      <c r="AS31367" s="47"/>
    </row>
    <row r="31368" spans="45:45">
      <c r="AS31368" s="47"/>
    </row>
    <row r="31369" spans="45:45">
      <c r="AS31369" s="47"/>
    </row>
    <row r="31370" spans="45:45">
      <c r="AS31370" s="47"/>
    </row>
    <row r="31371" spans="45:45">
      <c r="AS31371" s="47"/>
    </row>
    <row r="31372" spans="45:45">
      <c r="AS31372" s="47"/>
    </row>
    <row r="31373" spans="45:45">
      <c r="AS31373" s="47"/>
    </row>
    <row r="31374" spans="45:45">
      <c r="AS31374" s="47"/>
    </row>
    <row r="31375" spans="45:45">
      <c r="AS31375" s="47"/>
    </row>
    <row r="31376" spans="45:45">
      <c r="AS31376" s="47"/>
    </row>
    <row r="31377" spans="45:45">
      <c r="AS31377" s="47"/>
    </row>
    <row r="31378" spans="45:45">
      <c r="AS31378" s="47"/>
    </row>
    <row r="31379" spans="45:45">
      <c r="AS31379" s="47"/>
    </row>
    <row r="31380" spans="45:45">
      <c r="AS31380" s="47"/>
    </row>
    <row r="31381" spans="45:45">
      <c r="AS31381" s="47"/>
    </row>
    <row r="31382" spans="45:45">
      <c r="AS31382" s="47"/>
    </row>
    <row r="31383" spans="45:45">
      <c r="AS31383" s="47"/>
    </row>
    <row r="31384" spans="45:45">
      <c r="AS31384" s="47"/>
    </row>
    <row r="31385" spans="45:45">
      <c r="AS31385" s="47"/>
    </row>
    <row r="31386" spans="45:45">
      <c r="AS31386" s="47"/>
    </row>
    <row r="31387" spans="45:45">
      <c r="AS31387" s="47"/>
    </row>
    <row r="31388" spans="45:45">
      <c r="AS31388" s="47"/>
    </row>
    <row r="31389" spans="45:45">
      <c r="AS31389" s="47"/>
    </row>
    <row r="31390" spans="45:45">
      <c r="AS31390" s="47"/>
    </row>
    <row r="31391" spans="45:45">
      <c r="AS31391" s="47"/>
    </row>
    <row r="31392" spans="45:45">
      <c r="AS31392" s="47"/>
    </row>
    <row r="31393" spans="45:45">
      <c r="AS31393" s="47"/>
    </row>
    <row r="31394" spans="45:45">
      <c r="AS31394" s="47"/>
    </row>
    <row r="31395" spans="45:45">
      <c r="AS31395" s="47"/>
    </row>
    <row r="31396" spans="45:45">
      <c r="AS31396" s="47"/>
    </row>
    <row r="31397" spans="45:45">
      <c r="AS31397" s="47"/>
    </row>
    <row r="31398" spans="45:45">
      <c r="AS31398" s="47"/>
    </row>
    <row r="31399" spans="45:45">
      <c r="AS31399" s="47"/>
    </row>
    <row r="31400" spans="45:45">
      <c r="AS31400" s="47"/>
    </row>
    <row r="31401" spans="45:45">
      <c r="AS31401" s="47"/>
    </row>
    <row r="31402" spans="45:45">
      <c r="AS31402" s="47"/>
    </row>
    <row r="31403" spans="45:45">
      <c r="AS31403" s="47"/>
    </row>
    <row r="31404" spans="45:45">
      <c r="AS31404" s="47"/>
    </row>
    <row r="31405" spans="45:45">
      <c r="AS31405" s="47"/>
    </row>
    <row r="31406" spans="45:45">
      <c r="AS31406" s="47"/>
    </row>
    <row r="31407" spans="45:45">
      <c r="AS31407" s="47"/>
    </row>
    <row r="31408" spans="45:45">
      <c r="AS31408" s="47"/>
    </row>
    <row r="31409" spans="45:45">
      <c r="AS31409" s="47"/>
    </row>
    <row r="31410" spans="45:45">
      <c r="AS31410" s="47"/>
    </row>
    <row r="31411" spans="45:45">
      <c r="AS31411" s="47"/>
    </row>
    <row r="31412" spans="45:45">
      <c r="AS31412" s="47"/>
    </row>
    <row r="31413" spans="45:45">
      <c r="AS31413" s="47"/>
    </row>
    <row r="31414" spans="45:45">
      <c r="AS31414" s="47"/>
    </row>
    <row r="31415" spans="45:45">
      <c r="AS31415" s="47"/>
    </row>
    <row r="31416" spans="45:45">
      <c r="AS31416" s="47"/>
    </row>
    <row r="31417" spans="45:45">
      <c r="AS31417" s="47"/>
    </row>
    <row r="31418" spans="45:45">
      <c r="AS31418" s="47"/>
    </row>
    <row r="31419" spans="45:45">
      <c r="AS31419" s="47"/>
    </row>
    <row r="31420" spans="45:45">
      <c r="AS31420" s="47"/>
    </row>
    <row r="31421" spans="45:45">
      <c r="AS31421" s="47"/>
    </row>
    <row r="31422" spans="45:45">
      <c r="AS31422" s="47"/>
    </row>
    <row r="31423" spans="45:45">
      <c r="AS31423" s="47"/>
    </row>
    <row r="31424" spans="45:45">
      <c r="AS31424" s="47"/>
    </row>
    <row r="31425" spans="45:45">
      <c r="AS31425" s="47"/>
    </row>
    <row r="31426" spans="45:45">
      <c r="AS31426" s="47"/>
    </row>
    <row r="31427" spans="45:45">
      <c r="AS31427" s="47"/>
    </row>
    <row r="31428" spans="45:45">
      <c r="AS31428" s="47"/>
    </row>
    <row r="31429" spans="45:45">
      <c r="AS31429" s="47"/>
    </row>
    <row r="31430" spans="45:45">
      <c r="AS31430" s="47"/>
    </row>
    <row r="31431" spans="45:45">
      <c r="AS31431" s="47"/>
    </row>
    <row r="31432" spans="45:45">
      <c r="AS31432" s="47"/>
    </row>
    <row r="31433" spans="45:45">
      <c r="AS31433" s="47"/>
    </row>
    <row r="31434" spans="45:45">
      <c r="AS31434" s="47"/>
    </row>
    <row r="31435" spans="45:45">
      <c r="AS31435" s="47"/>
    </row>
    <row r="31436" spans="45:45">
      <c r="AS31436" s="47"/>
    </row>
    <row r="31437" spans="45:45">
      <c r="AS31437" s="47"/>
    </row>
    <row r="31438" spans="45:45">
      <c r="AS31438" s="47"/>
    </row>
    <row r="31439" spans="45:45">
      <c r="AS31439" s="47"/>
    </row>
    <row r="31440" spans="45:45">
      <c r="AS31440" s="47"/>
    </row>
    <row r="31441" spans="45:45">
      <c r="AS31441" s="47"/>
    </row>
    <row r="31442" spans="45:45">
      <c r="AS31442" s="47"/>
    </row>
    <row r="31443" spans="45:45">
      <c r="AS31443" s="47"/>
    </row>
    <row r="31444" spans="45:45">
      <c r="AS31444" s="47"/>
    </row>
    <row r="31445" spans="45:45">
      <c r="AS31445" s="47"/>
    </row>
    <row r="31446" spans="45:45">
      <c r="AS31446" s="47"/>
    </row>
    <row r="31447" spans="45:45">
      <c r="AS31447" s="47"/>
    </row>
    <row r="31448" spans="45:45">
      <c r="AS31448" s="47"/>
    </row>
    <row r="31449" spans="45:45">
      <c r="AS31449" s="47"/>
    </row>
    <row r="31450" spans="45:45">
      <c r="AS31450" s="47"/>
    </row>
    <row r="31451" spans="45:45">
      <c r="AS31451" s="47"/>
    </row>
    <row r="31452" spans="45:45">
      <c r="AS31452" s="47"/>
    </row>
    <row r="31453" spans="45:45">
      <c r="AS31453" s="47"/>
    </row>
    <row r="31454" spans="45:45">
      <c r="AS31454" s="47"/>
    </row>
    <row r="31455" spans="45:45">
      <c r="AS31455" s="47"/>
    </row>
    <row r="31456" spans="45:45">
      <c r="AS31456" s="47"/>
    </row>
    <row r="31457" spans="45:45">
      <c r="AS31457" s="47"/>
    </row>
    <row r="31458" spans="45:45">
      <c r="AS31458" s="47"/>
    </row>
    <row r="31459" spans="45:45">
      <c r="AS31459" s="47"/>
    </row>
    <row r="31460" spans="45:45">
      <c r="AS31460" s="47"/>
    </row>
    <row r="31461" spans="45:45">
      <c r="AS31461" s="47"/>
    </row>
    <row r="31462" spans="45:45">
      <c r="AS31462" s="47"/>
    </row>
    <row r="31463" spans="45:45">
      <c r="AS31463" s="47"/>
    </row>
    <row r="31464" spans="45:45">
      <c r="AS31464" s="47"/>
    </row>
    <row r="31465" spans="45:45">
      <c r="AS31465" s="47"/>
    </row>
    <row r="31466" spans="45:45">
      <c r="AS31466" s="47"/>
    </row>
    <row r="31467" spans="45:45">
      <c r="AS31467" s="47"/>
    </row>
    <row r="31468" spans="45:45">
      <c r="AS31468" s="47"/>
    </row>
    <row r="31469" spans="45:45">
      <c r="AS31469" s="47"/>
    </row>
    <row r="31470" spans="45:45">
      <c r="AS31470" s="47"/>
    </row>
    <row r="31471" spans="45:45">
      <c r="AS31471" s="47"/>
    </row>
    <row r="31472" spans="45:45">
      <c r="AS31472" s="47"/>
    </row>
    <row r="31473" spans="45:45">
      <c r="AS31473" s="47"/>
    </row>
    <row r="31474" spans="45:45">
      <c r="AS31474" s="47"/>
    </row>
    <row r="31475" spans="45:45">
      <c r="AS31475" s="47"/>
    </row>
    <row r="31476" spans="45:45">
      <c r="AS31476" s="47"/>
    </row>
    <row r="31477" spans="45:45">
      <c r="AS31477" s="47"/>
    </row>
    <row r="31478" spans="45:45">
      <c r="AS31478" s="47"/>
    </row>
    <row r="31479" spans="45:45">
      <c r="AS31479" s="47"/>
    </row>
    <row r="31480" spans="45:45">
      <c r="AS31480" s="47"/>
    </row>
    <row r="31481" spans="45:45">
      <c r="AS31481" s="47"/>
    </row>
    <row r="31482" spans="45:45">
      <c r="AS31482" s="47"/>
    </row>
    <row r="31483" spans="45:45">
      <c r="AS31483" s="47"/>
    </row>
    <row r="31484" spans="45:45">
      <c r="AS31484" s="47"/>
    </row>
    <row r="31485" spans="45:45">
      <c r="AS31485" s="47"/>
    </row>
    <row r="31486" spans="45:45">
      <c r="AS31486" s="47"/>
    </row>
    <row r="31487" spans="45:45">
      <c r="AS31487" s="47"/>
    </row>
    <row r="31488" spans="45:45">
      <c r="AS31488" s="47"/>
    </row>
    <row r="31489" spans="45:45">
      <c r="AS31489" s="47"/>
    </row>
    <row r="31490" spans="45:45">
      <c r="AS31490" s="47"/>
    </row>
    <row r="31491" spans="45:45">
      <c r="AS31491" s="47"/>
    </row>
    <row r="31492" spans="45:45">
      <c r="AS31492" s="47"/>
    </row>
    <row r="31493" spans="45:45">
      <c r="AS31493" s="47"/>
    </row>
    <row r="31494" spans="45:45">
      <c r="AS31494" s="47"/>
    </row>
    <row r="31495" spans="45:45">
      <c r="AS31495" s="47"/>
    </row>
    <row r="31496" spans="45:45">
      <c r="AS31496" s="47"/>
    </row>
    <row r="31497" spans="45:45">
      <c r="AS31497" s="47"/>
    </row>
    <row r="31498" spans="45:45">
      <c r="AS31498" s="47"/>
    </row>
    <row r="31499" spans="45:45">
      <c r="AS31499" s="47"/>
    </row>
    <row r="31500" spans="45:45">
      <c r="AS31500" s="47"/>
    </row>
    <row r="31501" spans="45:45">
      <c r="AS31501" s="47"/>
    </row>
    <row r="31502" spans="45:45">
      <c r="AS31502" s="47"/>
    </row>
    <row r="31503" spans="45:45">
      <c r="AS31503" s="47"/>
    </row>
    <row r="31504" spans="45:45">
      <c r="AS31504" s="47"/>
    </row>
    <row r="31505" spans="45:45">
      <c r="AS31505" s="47"/>
    </row>
    <row r="31506" spans="45:45">
      <c r="AS31506" s="47"/>
    </row>
    <row r="31507" spans="45:45">
      <c r="AS31507" s="47"/>
    </row>
    <row r="31508" spans="45:45">
      <c r="AS31508" s="47"/>
    </row>
    <row r="31509" spans="45:45">
      <c r="AS31509" s="47"/>
    </row>
    <row r="31510" spans="45:45">
      <c r="AS31510" s="47"/>
    </row>
    <row r="31511" spans="45:45">
      <c r="AS31511" s="47"/>
    </row>
    <row r="31512" spans="45:45">
      <c r="AS31512" s="47"/>
    </row>
    <row r="31513" spans="45:45">
      <c r="AS31513" s="47"/>
    </row>
    <row r="31514" spans="45:45">
      <c r="AS31514" s="47"/>
    </row>
    <row r="31515" spans="45:45">
      <c r="AS31515" s="47"/>
    </row>
    <row r="31516" spans="45:45">
      <c r="AS31516" s="47"/>
    </row>
    <row r="31517" spans="45:45">
      <c r="AS31517" s="47"/>
    </row>
    <row r="31518" spans="45:45">
      <c r="AS31518" s="47"/>
    </row>
    <row r="31519" spans="45:45">
      <c r="AS31519" s="47"/>
    </row>
    <row r="31520" spans="45:45">
      <c r="AS31520" s="47"/>
    </row>
    <row r="31521" spans="45:45">
      <c r="AS31521" s="47"/>
    </row>
    <row r="31522" spans="45:45">
      <c r="AS31522" s="47"/>
    </row>
    <row r="31523" spans="45:45">
      <c r="AS31523" s="47"/>
    </row>
    <row r="31524" spans="45:45">
      <c r="AS31524" s="47"/>
    </row>
    <row r="31525" spans="45:45">
      <c r="AS31525" s="47"/>
    </row>
    <row r="31526" spans="45:45">
      <c r="AS31526" s="47"/>
    </row>
    <row r="31527" spans="45:45">
      <c r="AS31527" s="47"/>
    </row>
    <row r="31528" spans="45:45">
      <c r="AS31528" s="47"/>
    </row>
    <row r="31529" spans="45:45">
      <c r="AS31529" s="47"/>
    </row>
    <row r="31530" spans="45:45">
      <c r="AS31530" s="47"/>
    </row>
    <row r="31531" spans="45:45">
      <c r="AS31531" s="47"/>
    </row>
    <row r="31532" spans="45:45">
      <c r="AS31532" s="47"/>
    </row>
    <row r="31533" spans="45:45">
      <c r="AS31533" s="47"/>
    </row>
    <row r="31534" spans="45:45">
      <c r="AS31534" s="47"/>
    </row>
    <row r="31535" spans="45:45">
      <c r="AS31535" s="47"/>
    </row>
    <row r="31536" spans="45:45">
      <c r="AS31536" s="47"/>
    </row>
    <row r="31537" spans="45:45">
      <c r="AS31537" s="47"/>
    </row>
    <row r="31538" spans="45:45">
      <c r="AS31538" s="47"/>
    </row>
    <row r="31539" spans="45:45">
      <c r="AS31539" s="47"/>
    </row>
    <row r="31540" spans="45:45">
      <c r="AS31540" s="47"/>
    </row>
    <row r="31541" spans="45:45">
      <c r="AS31541" s="47"/>
    </row>
    <row r="31542" spans="45:45">
      <c r="AS31542" s="47"/>
    </row>
    <row r="31543" spans="45:45">
      <c r="AS31543" s="47"/>
    </row>
    <row r="31544" spans="45:45">
      <c r="AS31544" s="47"/>
    </row>
    <row r="31545" spans="45:45">
      <c r="AS31545" s="47"/>
    </row>
    <row r="31546" spans="45:45">
      <c r="AS31546" s="47"/>
    </row>
    <row r="31547" spans="45:45">
      <c r="AS31547" s="47"/>
    </row>
    <row r="31548" spans="45:45">
      <c r="AS31548" s="47"/>
    </row>
    <row r="31549" spans="45:45">
      <c r="AS31549" s="47"/>
    </row>
    <row r="31550" spans="45:45">
      <c r="AS31550" s="47"/>
    </row>
    <row r="31551" spans="45:45">
      <c r="AS31551" s="47"/>
    </row>
    <row r="31552" spans="45:45">
      <c r="AS31552" s="47"/>
    </row>
    <row r="31553" spans="45:45">
      <c r="AS31553" s="47"/>
    </row>
    <row r="31554" spans="45:45">
      <c r="AS31554" s="47"/>
    </row>
    <row r="31555" spans="45:45">
      <c r="AS31555" s="47"/>
    </row>
    <row r="31556" spans="45:45">
      <c r="AS31556" s="47"/>
    </row>
    <row r="31557" spans="45:45">
      <c r="AS31557" s="47"/>
    </row>
    <row r="31558" spans="45:45">
      <c r="AS31558" s="47"/>
    </row>
    <row r="31559" spans="45:45">
      <c r="AS31559" s="47"/>
    </row>
    <row r="31560" spans="45:45">
      <c r="AS31560" s="47"/>
    </row>
    <row r="31561" spans="45:45">
      <c r="AS31561" s="47"/>
    </row>
    <row r="31562" spans="45:45">
      <c r="AS31562" s="47"/>
    </row>
    <row r="31563" spans="45:45">
      <c r="AS31563" s="47"/>
    </row>
    <row r="31564" spans="45:45">
      <c r="AS31564" s="47"/>
    </row>
    <row r="31565" spans="45:45">
      <c r="AS31565" s="47"/>
    </row>
    <row r="31566" spans="45:45">
      <c r="AS31566" s="47"/>
    </row>
    <row r="31567" spans="45:45">
      <c r="AS31567" s="47"/>
    </row>
    <row r="31568" spans="45:45">
      <c r="AS31568" s="47"/>
    </row>
    <row r="31569" spans="45:45">
      <c r="AS31569" s="47"/>
    </row>
    <row r="31570" spans="45:45">
      <c r="AS31570" s="47"/>
    </row>
    <row r="31571" spans="45:45">
      <c r="AS31571" s="47"/>
    </row>
    <row r="31572" spans="45:45">
      <c r="AS31572" s="47"/>
    </row>
    <row r="31573" spans="45:45">
      <c r="AS31573" s="47"/>
    </row>
    <row r="31574" spans="45:45">
      <c r="AS31574" s="47"/>
    </row>
    <row r="31575" spans="45:45">
      <c r="AS31575" s="47"/>
    </row>
    <row r="31576" spans="45:45">
      <c r="AS31576" s="47"/>
    </row>
    <row r="31577" spans="45:45">
      <c r="AS31577" s="47"/>
    </row>
    <row r="31578" spans="45:45">
      <c r="AS31578" s="47"/>
    </row>
    <row r="31579" spans="45:45">
      <c r="AS31579" s="47"/>
    </row>
    <row r="31580" spans="45:45">
      <c r="AS31580" s="47"/>
    </row>
    <row r="31581" spans="45:45">
      <c r="AS31581" s="47"/>
    </row>
    <row r="31582" spans="45:45">
      <c r="AS31582" s="47"/>
    </row>
    <row r="31583" spans="45:45">
      <c r="AS31583" s="47"/>
    </row>
    <row r="31584" spans="45:45">
      <c r="AS31584" s="47"/>
    </row>
    <row r="31585" spans="45:45">
      <c r="AS31585" s="47"/>
    </row>
    <row r="31586" spans="45:45">
      <c r="AS31586" s="47"/>
    </row>
    <row r="31587" spans="45:45">
      <c r="AS31587" s="47"/>
    </row>
    <row r="31588" spans="45:45">
      <c r="AS31588" s="47"/>
    </row>
    <row r="31589" spans="45:45">
      <c r="AS31589" s="47"/>
    </row>
    <row r="31590" spans="45:45">
      <c r="AS31590" s="47"/>
    </row>
    <row r="31591" spans="45:45">
      <c r="AS31591" s="47"/>
    </row>
    <row r="31592" spans="45:45">
      <c r="AS31592" s="47"/>
    </row>
    <row r="31593" spans="45:45">
      <c r="AS31593" s="47"/>
    </row>
    <row r="31594" spans="45:45">
      <c r="AS31594" s="47"/>
    </row>
    <row r="31595" spans="45:45">
      <c r="AS31595" s="47"/>
    </row>
    <row r="31596" spans="45:45">
      <c r="AS31596" s="47"/>
    </row>
    <row r="31597" spans="45:45">
      <c r="AS31597" s="47"/>
    </row>
    <row r="31598" spans="45:45">
      <c r="AS31598" s="47"/>
    </row>
    <row r="31599" spans="45:45">
      <c r="AS31599" s="47"/>
    </row>
    <row r="31600" spans="45:45">
      <c r="AS31600" s="47"/>
    </row>
    <row r="31601" spans="45:45">
      <c r="AS31601" s="47"/>
    </row>
    <row r="31602" spans="45:45">
      <c r="AS31602" s="47"/>
    </row>
    <row r="31603" spans="45:45">
      <c r="AS31603" s="47"/>
    </row>
    <row r="31604" spans="45:45">
      <c r="AS31604" s="47"/>
    </row>
    <row r="31605" spans="45:45">
      <c r="AS31605" s="47"/>
    </row>
    <row r="31606" spans="45:45">
      <c r="AS31606" s="47"/>
    </row>
    <row r="31607" spans="45:45">
      <c r="AS31607" s="47"/>
    </row>
    <row r="31608" spans="45:45">
      <c r="AS31608" s="47"/>
    </row>
    <row r="31609" spans="45:45">
      <c r="AS31609" s="47"/>
    </row>
    <row r="31610" spans="45:45">
      <c r="AS31610" s="47"/>
    </row>
    <row r="31611" spans="45:45">
      <c r="AS31611" s="47"/>
    </row>
    <row r="31612" spans="45:45">
      <c r="AS31612" s="47"/>
    </row>
    <row r="31613" spans="45:45">
      <c r="AS31613" s="47"/>
    </row>
    <row r="31614" spans="45:45">
      <c r="AS31614" s="47"/>
    </row>
    <row r="31615" spans="45:45">
      <c r="AS31615" s="47"/>
    </row>
    <row r="31616" spans="45:45">
      <c r="AS31616" s="47"/>
    </row>
    <row r="31617" spans="45:45">
      <c r="AS31617" s="47"/>
    </row>
    <row r="31618" spans="45:45">
      <c r="AS31618" s="47"/>
    </row>
    <row r="31619" spans="45:45">
      <c r="AS31619" s="47"/>
    </row>
    <row r="31620" spans="45:45">
      <c r="AS31620" s="47"/>
    </row>
    <row r="31621" spans="45:45">
      <c r="AS31621" s="47"/>
    </row>
    <row r="31622" spans="45:45">
      <c r="AS31622" s="47"/>
    </row>
    <row r="31623" spans="45:45">
      <c r="AS31623" s="47"/>
    </row>
    <row r="31624" spans="45:45">
      <c r="AS31624" s="47"/>
    </row>
    <row r="31625" spans="45:45">
      <c r="AS31625" s="47"/>
    </row>
    <row r="31626" spans="45:45">
      <c r="AS31626" s="47"/>
    </row>
    <row r="31627" spans="45:45">
      <c r="AS31627" s="47"/>
    </row>
    <row r="31628" spans="45:45">
      <c r="AS31628" s="47"/>
    </row>
    <row r="31629" spans="45:45">
      <c r="AS31629" s="47"/>
    </row>
    <row r="31630" spans="45:45">
      <c r="AS31630" s="47"/>
    </row>
    <row r="31631" spans="45:45">
      <c r="AS31631" s="47"/>
    </row>
    <row r="31632" spans="45:45">
      <c r="AS31632" s="47"/>
    </row>
    <row r="31633" spans="45:45">
      <c r="AS31633" s="47"/>
    </row>
    <row r="31634" spans="45:45">
      <c r="AS31634" s="47"/>
    </row>
    <row r="31635" spans="45:45">
      <c r="AS31635" s="47"/>
    </row>
    <row r="31636" spans="45:45">
      <c r="AS31636" s="47"/>
    </row>
    <row r="31637" spans="45:45">
      <c r="AS31637" s="47"/>
    </row>
    <row r="31638" spans="45:45">
      <c r="AS31638" s="47"/>
    </row>
    <row r="31639" spans="45:45">
      <c r="AS31639" s="47"/>
    </row>
    <row r="31640" spans="45:45">
      <c r="AS31640" s="47"/>
    </row>
    <row r="31641" spans="45:45">
      <c r="AS31641" s="47"/>
    </row>
    <row r="31642" spans="45:45">
      <c r="AS31642" s="47"/>
    </row>
    <row r="31643" spans="45:45">
      <c r="AS31643" s="47"/>
    </row>
    <row r="31644" spans="45:45">
      <c r="AS31644" s="47"/>
    </row>
    <row r="31645" spans="45:45">
      <c r="AS31645" s="47"/>
    </row>
    <row r="31646" spans="45:45">
      <c r="AS31646" s="47"/>
    </row>
    <row r="31647" spans="45:45">
      <c r="AS31647" s="47"/>
    </row>
    <row r="31648" spans="45:45">
      <c r="AS31648" s="47"/>
    </row>
    <row r="31649" spans="45:45">
      <c r="AS31649" s="47"/>
    </row>
    <row r="31650" spans="45:45">
      <c r="AS31650" s="47"/>
    </row>
    <row r="31651" spans="45:45">
      <c r="AS31651" s="47"/>
    </row>
    <row r="31652" spans="45:45">
      <c r="AS31652" s="47"/>
    </row>
    <row r="31653" spans="45:45">
      <c r="AS31653" s="47"/>
    </row>
    <row r="31654" spans="45:45">
      <c r="AS31654" s="47"/>
    </row>
    <row r="31655" spans="45:45">
      <c r="AS31655" s="47"/>
    </row>
    <row r="31656" spans="45:45">
      <c r="AS31656" s="47"/>
    </row>
    <row r="31657" spans="45:45">
      <c r="AS31657" s="47"/>
    </row>
    <row r="31658" spans="45:45">
      <c r="AS31658" s="47"/>
    </row>
    <row r="31659" spans="45:45">
      <c r="AS31659" s="47"/>
    </row>
    <row r="31660" spans="45:45">
      <c r="AS31660" s="47"/>
    </row>
    <row r="31661" spans="45:45">
      <c r="AS31661" s="47"/>
    </row>
    <row r="31662" spans="45:45">
      <c r="AS31662" s="47"/>
    </row>
    <row r="31663" spans="45:45">
      <c r="AS31663" s="47"/>
    </row>
    <row r="31664" spans="45:45">
      <c r="AS31664" s="47"/>
    </row>
    <row r="31665" spans="45:45">
      <c r="AS31665" s="47"/>
    </row>
    <row r="31666" spans="45:45">
      <c r="AS31666" s="47"/>
    </row>
    <row r="31667" spans="45:45">
      <c r="AS31667" s="47"/>
    </row>
    <row r="31668" spans="45:45">
      <c r="AS31668" s="47"/>
    </row>
    <row r="31669" spans="45:45">
      <c r="AS31669" s="47"/>
    </row>
    <row r="31670" spans="45:45">
      <c r="AS31670" s="47"/>
    </row>
    <row r="31671" spans="45:45">
      <c r="AS31671" s="47"/>
    </row>
    <row r="31672" spans="45:45">
      <c r="AS31672" s="47"/>
    </row>
    <row r="31673" spans="45:45">
      <c r="AS31673" s="47"/>
    </row>
    <row r="31674" spans="45:45">
      <c r="AS31674" s="47"/>
    </row>
    <row r="31675" spans="45:45">
      <c r="AS31675" s="47"/>
    </row>
    <row r="31676" spans="45:45">
      <c r="AS31676" s="47"/>
    </row>
    <row r="31677" spans="45:45">
      <c r="AS31677" s="47"/>
    </row>
    <row r="31678" spans="45:45">
      <c r="AS31678" s="47"/>
    </row>
    <row r="31679" spans="45:45">
      <c r="AS31679" s="47"/>
    </row>
    <row r="31680" spans="45:45">
      <c r="AS31680" s="47"/>
    </row>
    <row r="31681" spans="45:45">
      <c r="AS31681" s="47"/>
    </row>
    <row r="31682" spans="45:45">
      <c r="AS31682" s="47"/>
    </row>
    <row r="31683" spans="45:45">
      <c r="AS31683" s="47"/>
    </row>
    <row r="31684" spans="45:45">
      <c r="AS31684" s="47"/>
    </row>
    <row r="31685" spans="45:45">
      <c r="AS31685" s="47"/>
    </row>
    <row r="31686" spans="45:45">
      <c r="AS31686" s="47"/>
    </row>
    <row r="31687" spans="45:45">
      <c r="AS31687" s="47"/>
    </row>
    <row r="31688" spans="45:45">
      <c r="AS31688" s="47"/>
    </row>
    <row r="31689" spans="45:45">
      <c r="AS31689" s="47"/>
    </row>
    <row r="31690" spans="45:45">
      <c r="AS31690" s="47"/>
    </row>
    <row r="31691" spans="45:45">
      <c r="AS31691" s="47"/>
    </row>
    <row r="31692" spans="45:45">
      <c r="AS31692" s="47"/>
    </row>
    <row r="31693" spans="45:45">
      <c r="AS31693" s="47"/>
    </row>
    <row r="31694" spans="45:45">
      <c r="AS31694" s="47"/>
    </row>
    <row r="31695" spans="45:45">
      <c r="AS31695" s="47"/>
    </row>
    <row r="31696" spans="45:45">
      <c r="AS31696" s="47"/>
    </row>
    <row r="31697" spans="45:45">
      <c r="AS31697" s="47"/>
    </row>
    <row r="31698" spans="45:45">
      <c r="AS31698" s="47"/>
    </row>
    <row r="31699" spans="45:45">
      <c r="AS31699" s="47"/>
    </row>
    <row r="31700" spans="45:45">
      <c r="AS31700" s="47"/>
    </row>
    <row r="31701" spans="45:45">
      <c r="AS31701" s="47"/>
    </row>
    <row r="31702" spans="45:45">
      <c r="AS31702" s="47"/>
    </row>
    <row r="31703" spans="45:45">
      <c r="AS31703" s="47"/>
    </row>
    <row r="31704" spans="45:45">
      <c r="AS31704" s="47"/>
    </row>
    <row r="31705" spans="45:45">
      <c r="AS31705" s="47"/>
    </row>
    <row r="31706" spans="45:45">
      <c r="AS31706" s="47"/>
    </row>
    <row r="31707" spans="45:45">
      <c r="AS31707" s="47"/>
    </row>
    <row r="31708" spans="45:45">
      <c r="AS31708" s="47"/>
    </row>
    <row r="31709" spans="45:45">
      <c r="AS31709" s="47"/>
    </row>
    <row r="31710" spans="45:45">
      <c r="AS31710" s="47"/>
    </row>
    <row r="31711" spans="45:45">
      <c r="AS31711" s="47"/>
    </row>
    <row r="31712" spans="45:45">
      <c r="AS31712" s="47"/>
    </row>
    <row r="31713" spans="45:45">
      <c r="AS31713" s="47"/>
    </row>
    <row r="31714" spans="45:45">
      <c r="AS31714" s="47"/>
    </row>
    <row r="31715" spans="45:45">
      <c r="AS31715" s="47"/>
    </row>
    <row r="31716" spans="45:45">
      <c r="AS31716" s="47"/>
    </row>
    <row r="31717" spans="45:45">
      <c r="AS31717" s="47"/>
    </row>
    <row r="31718" spans="45:45">
      <c r="AS31718" s="47"/>
    </row>
    <row r="31719" spans="45:45">
      <c r="AS31719" s="47"/>
    </row>
    <row r="31720" spans="45:45">
      <c r="AS31720" s="47"/>
    </row>
    <row r="31721" spans="45:45">
      <c r="AS31721" s="47"/>
    </row>
    <row r="31722" spans="45:45">
      <c r="AS31722" s="47"/>
    </row>
    <row r="31723" spans="45:45">
      <c r="AS31723" s="47"/>
    </row>
    <row r="31724" spans="45:45">
      <c r="AS31724" s="47"/>
    </row>
    <row r="31725" spans="45:45">
      <c r="AS31725" s="47"/>
    </row>
    <row r="31726" spans="45:45">
      <c r="AS31726" s="47"/>
    </row>
    <row r="31727" spans="45:45">
      <c r="AS31727" s="47"/>
    </row>
    <row r="31728" spans="45:45">
      <c r="AS31728" s="47"/>
    </row>
    <row r="31729" spans="45:45">
      <c r="AS31729" s="47"/>
    </row>
    <row r="31730" spans="45:45">
      <c r="AS31730" s="47"/>
    </row>
    <row r="31731" spans="45:45">
      <c r="AS31731" s="47"/>
    </row>
    <row r="31732" spans="45:45">
      <c r="AS31732" s="47"/>
    </row>
    <row r="31733" spans="45:45">
      <c r="AS31733" s="47"/>
    </row>
    <row r="31734" spans="45:45">
      <c r="AS31734" s="47"/>
    </row>
    <row r="31735" spans="45:45">
      <c r="AS31735" s="47"/>
    </row>
    <row r="31736" spans="45:45">
      <c r="AS31736" s="47"/>
    </row>
    <row r="31737" spans="45:45">
      <c r="AS31737" s="47"/>
    </row>
    <row r="31738" spans="45:45">
      <c r="AS31738" s="47"/>
    </row>
    <row r="31739" spans="45:45">
      <c r="AS31739" s="47"/>
    </row>
    <row r="31740" spans="45:45">
      <c r="AS31740" s="47"/>
    </row>
    <row r="31741" spans="45:45">
      <c r="AS31741" s="47"/>
    </row>
    <row r="31742" spans="45:45">
      <c r="AS31742" s="47"/>
    </row>
    <row r="31743" spans="45:45">
      <c r="AS31743" s="47"/>
    </row>
    <row r="31744" spans="45:45">
      <c r="AS31744" s="47"/>
    </row>
    <row r="31745" spans="45:45">
      <c r="AS31745" s="47"/>
    </row>
    <row r="31746" spans="45:45">
      <c r="AS31746" s="47"/>
    </row>
    <row r="31747" spans="45:45">
      <c r="AS31747" s="47"/>
    </row>
    <row r="31748" spans="45:45">
      <c r="AS31748" s="47"/>
    </row>
    <row r="31749" spans="45:45">
      <c r="AS31749" s="47"/>
    </row>
    <row r="31750" spans="45:45">
      <c r="AS31750" s="47"/>
    </row>
    <row r="31751" spans="45:45">
      <c r="AS31751" s="47"/>
    </row>
    <row r="31752" spans="45:45">
      <c r="AS31752" s="47"/>
    </row>
    <row r="31753" spans="45:45">
      <c r="AS31753" s="47"/>
    </row>
    <row r="31754" spans="45:45">
      <c r="AS31754" s="47"/>
    </row>
    <row r="31755" spans="45:45">
      <c r="AS31755" s="47"/>
    </row>
    <row r="31756" spans="45:45">
      <c r="AS31756" s="47"/>
    </row>
    <row r="31757" spans="45:45">
      <c r="AS31757" s="47"/>
    </row>
    <row r="31758" spans="45:45">
      <c r="AS31758" s="47"/>
    </row>
    <row r="31759" spans="45:45">
      <c r="AS31759" s="47"/>
    </row>
    <row r="31760" spans="45:45">
      <c r="AS31760" s="47"/>
    </row>
    <row r="31761" spans="45:45">
      <c r="AS31761" s="47"/>
    </row>
    <row r="31762" spans="45:45">
      <c r="AS31762" s="47"/>
    </row>
    <row r="31763" spans="45:45">
      <c r="AS31763" s="47"/>
    </row>
    <row r="31764" spans="45:45">
      <c r="AS31764" s="47"/>
    </row>
    <row r="31765" spans="45:45">
      <c r="AS31765" s="47"/>
    </row>
    <row r="31766" spans="45:45">
      <c r="AS31766" s="47"/>
    </row>
    <row r="31767" spans="45:45">
      <c r="AS31767" s="47"/>
    </row>
    <row r="31768" spans="45:45">
      <c r="AS31768" s="47"/>
    </row>
    <row r="31769" spans="45:45">
      <c r="AS31769" s="47"/>
    </row>
    <row r="31770" spans="45:45">
      <c r="AS31770" s="47"/>
    </row>
    <row r="31771" spans="45:45">
      <c r="AS31771" s="47"/>
    </row>
    <row r="31772" spans="45:45">
      <c r="AS31772" s="47"/>
    </row>
    <row r="31773" spans="45:45">
      <c r="AS31773" s="47"/>
    </row>
    <row r="31774" spans="45:45">
      <c r="AS31774" s="47"/>
    </row>
    <row r="31775" spans="45:45">
      <c r="AS31775" s="47"/>
    </row>
    <row r="31776" spans="45:45">
      <c r="AS31776" s="47"/>
    </row>
    <row r="31777" spans="45:45">
      <c r="AS31777" s="47"/>
    </row>
    <row r="31778" spans="45:45">
      <c r="AS31778" s="47"/>
    </row>
    <row r="31779" spans="45:45">
      <c r="AS31779" s="47"/>
    </row>
    <row r="31780" spans="45:45">
      <c r="AS31780" s="47"/>
    </row>
    <row r="31781" spans="45:45">
      <c r="AS31781" s="47"/>
    </row>
    <row r="31782" spans="45:45">
      <c r="AS31782" s="47"/>
    </row>
    <row r="31783" spans="45:45">
      <c r="AS31783" s="47"/>
    </row>
    <row r="31784" spans="45:45">
      <c r="AS31784" s="47"/>
    </row>
    <row r="31785" spans="45:45">
      <c r="AS31785" s="47"/>
    </row>
    <row r="31786" spans="45:45">
      <c r="AS31786" s="47"/>
    </row>
    <row r="31787" spans="45:45">
      <c r="AS31787" s="47"/>
    </row>
    <row r="31788" spans="45:45">
      <c r="AS31788" s="47"/>
    </row>
    <row r="31789" spans="45:45">
      <c r="AS31789" s="47"/>
    </row>
    <row r="31790" spans="45:45">
      <c r="AS31790" s="47"/>
    </row>
    <row r="31791" spans="45:45">
      <c r="AS31791" s="47"/>
    </row>
    <row r="31792" spans="45:45">
      <c r="AS31792" s="47"/>
    </row>
    <row r="31793" spans="45:45">
      <c r="AS31793" s="47"/>
    </row>
    <row r="31794" spans="45:45">
      <c r="AS31794" s="47"/>
    </row>
    <row r="31795" spans="45:45">
      <c r="AS31795" s="47"/>
    </row>
    <row r="31796" spans="45:45">
      <c r="AS31796" s="47"/>
    </row>
    <row r="31797" spans="45:45">
      <c r="AS31797" s="47"/>
    </row>
    <row r="31798" spans="45:45">
      <c r="AS31798" s="47"/>
    </row>
    <row r="31799" spans="45:45">
      <c r="AS31799" s="47"/>
    </row>
    <row r="31800" spans="45:45">
      <c r="AS31800" s="47"/>
    </row>
    <row r="31801" spans="45:45">
      <c r="AS31801" s="47"/>
    </row>
    <row r="31802" spans="45:45">
      <c r="AS31802" s="47"/>
    </row>
    <row r="31803" spans="45:45">
      <c r="AS31803" s="47"/>
    </row>
    <row r="31804" spans="45:45">
      <c r="AS31804" s="47"/>
    </row>
    <row r="31805" spans="45:45">
      <c r="AS31805" s="47"/>
    </row>
    <row r="31806" spans="45:45">
      <c r="AS31806" s="47"/>
    </row>
    <row r="31807" spans="45:45">
      <c r="AS31807" s="47"/>
    </row>
    <row r="31808" spans="45:45">
      <c r="AS31808" s="47"/>
    </row>
    <row r="31809" spans="45:45">
      <c r="AS31809" s="47"/>
    </row>
    <row r="31810" spans="45:45">
      <c r="AS31810" s="47"/>
    </row>
    <row r="31811" spans="45:45">
      <c r="AS31811" s="47"/>
    </row>
    <row r="31812" spans="45:45">
      <c r="AS31812" s="47"/>
    </row>
    <row r="31813" spans="45:45">
      <c r="AS31813" s="47"/>
    </row>
    <row r="31814" spans="45:45">
      <c r="AS31814" s="47"/>
    </row>
    <row r="31815" spans="45:45">
      <c r="AS31815" s="47"/>
    </row>
    <row r="31816" spans="45:45">
      <c r="AS31816" s="47"/>
    </row>
    <row r="31817" spans="45:45">
      <c r="AS31817" s="47"/>
    </row>
    <row r="31818" spans="45:45">
      <c r="AS31818" s="47"/>
    </row>
    <row r="31819" spans="45:45">
      <c r="AS31819" s="47"/>
    </row>
    <row r="31820" spans="45:45">
      <c r="AS31820" s="47"/>
    </row>
    <row r="31821" spans="45:45">
      <c r="AS31821" s="47"/>
    </row>
    <row r="31822" spans="45:45">
      <c r="AS31822" s="47"/>
    </row>
    <row r="31823" spans="45:45">
      <c r="AS31823" s="47"/>
    </row>
    <row r="31824" spans="45:45">
      <c r="AS31824" s="47"/>
    </row>
    <row r="31825" spans="45:45">
      <c r="AS31825" s="47"/>
    </row>
    <row r="31826" spans="45:45">
      <c r="AS31826" s="47"/>
    </row>
    <row r="31827" spans="45:45">
      <c r="AS31827" s="47"/>
    </row>
    <row r="31828" spans="45:45">
      <c r="AS31828" s="47"/>
    </row>
    <row r="31829" spans="45:45">
      <c r="AS31829" s="47"/>
    </row>
    <row r="31830" spans="45:45">
      <c r="AS31830" s="47"/>
    </row>
    <row r="31831" spans="45:45">
      <c r="AS31831" s="47"/>
    </row>
    <row r="31832" spans="45:45">
      <c r="AS31832" s="47"/>
    </row>
    <row r="31833" spans="45:45">
      <c r="AS31833" s="47"/>
    </row>
    <row r="31834" spans="45:45">
      <c r="AS31834" s="47"/>
    </row>
    <row r="31835" spans="45:45">
      <c r="AS31835" s="47"/>
    </row>
    <row r="31836" spans="45:45">
      <c r="AS31836" s="47"/>
    </row>
    <row r="31837" spans="45:45">
      <c r="AS31837" s="47"/>
    </row>
    <row r="31838" spans="45:45">
      <c r="AS31838" s="47"/>
    </row>
    <row r="31839" spans="45:45">
      <c r="AS31839" s="47"/>
    </row>
    <row r="31840" spans="45:45">
      <c r="AS31840" s="47"/>
    </row>
    <row r="31841" spans="45:45">
      <c r="AS31841" s="47"/>
    </row>
    <row r="31842" spans="45:45">
      <c r="AS31842" s="47"/>
    </row>
    <row r="31843" spans="45:45">
      <c r="AS31843" s="47"/>
    </row>
    <row r="31844" spans="45:45">
      <c r="AS31844" s="47"/>
    </row>
    <row r="31845" spans="45:45">
      <c r="AS31845" s="47"/>
    </row>
    <row r="31846" spans="45:45">
      <c r="AS31846" s="47"/>
    </row>
    <row r="31847" spans="45:45">
      <c r="AS31847" s="47"/>
    </row>
    <row r="31848" spans="45:45">
      <c r="AS31848" s="47"/>
    </row>
    <row r="31849" spans="45:45">
      <c r="AS31849" s="47"/>
    </row>
    <row r="31850" spans="45:45">
      <c r="AS31850" s="47"/>
    </row>
    <row r="31851" spans="45:45">
      <c r="AS31851" s="47"/>
    </row>
    <row r="31852" spans="45:45">
      <c r="AS31852" s="47"/>
    </row>
    <row r="31853" spans="45:45">
      <c r="AS31853" s="47"/>
    </row>
    <row r="31854" spans="45:45">
      <c r="AS31854" s="47"/>
    </row>
    <row r="31855" spans="45:45">
      <c r="AS31855" s="47"/>
    </row>
    <row r="31856" spans="45:45">
      <c r="AS31856" s="47"/>
    </row>
    <row r="31857" spans="45:45">
      <c r="AS31857" s="47"/>
    </row>
    <row r="31858" spans="45:45">
      <c r="AS31858" s="47"/>
    </row>
    <row r="31859" spans="45:45">
      <c r="AS31859" s="47"/>
    </row>
    <row r="31860" spans="45:45">
      <c r="AS31860" s="47"/>
    </row>
    <row r="31861" spans="45:45">
      <c r="AS31861" s="47"/>
    </row>
    <row r="31862" spans="45:45">
      <c r="AS31862" s="47"/>
    </row>
    <row r="31863" spans="45:45">
      <c r="AS31863" s="47"/>
    </row>
    <row r="31864" spans="45:45">
      <c r="AS31864" s="47"/>
    </row>
    <row r="31865" spans="45:45">
      <c r="AS31865" s="47"/>
    </row>
    <row r="31866" spans="45:45">
      <c r="AS31866" s="47"/>
    </row>
    <row r="31867" spans="45:45">
      <c r="AS31867" s="47"/>
    </row>
    <row r="31868" spans="45:45">
      <c r="AS31868" s="47"/>
    </row>
    <row r="31869" spans="45:45">
      <c r="AS31869" s="47"/>
    </row>
    <row r="31870" spans="45:45">
      <c r="AS31870" s="47"/>
    </row>
    <row r="31871" spans="45:45">
      <c r="AS31871" s="47"/>
    </row>
    <row r="31872" spans="45:45">
      <c r="AS31872" s="47"/>
    </row>
    <row r="31873" spans="45:45">
      <c r="AS31873" s="47"/>
    </row>
    <row r="31874" spans="45:45">
      <c r="AS31874" s="47"/>
    </row>
    <row r="31875" spans="45:45">
      <c r="AS31875" s="47"/>
    </row>
    <row r="31876" spans="45:45">
      <c r="AS31876" s="47"/>
    </row>
    <row r="31877" spans="45:45">
      <c r="AS31877" s="47"/>
    </row>
    <row r="31878" spans="45:45">
      <c r="AS31878" s="47"/>
    </row>
    <row r="31879" spans="45:45">
      <c r="AS31879" s="47"/>
    </row>
    <row r="31880" spans="45:45">
      <c r="AS31880" s="47"/>
    </row>
    <row r="31881" spans="45:45">
      <c r="AS31881" s="47"/>
    </row>
    <row r="31882" spans="45:45">
      <c r="AS31882" s="47"/>
    </row>
    <row r="31883" spans="45:45">
      <c r="AS31883" s="47"/>
    </row>
    <row r="31884" spans="45:45">
      <c r="AS31884" s="47"/>
    </row>
    <row r="31885" spans="45:45">
      <c r="AS31885" s="47"/>
    </row>
    <row r="31886" spans="45:45">
      <c r="AS31886" s="47"/>
    </row>
    <row r="31887" spans="45:45">
      <c r="AS31887" s="47"/>
    </row>
    <row r="31888" spans="45:45">
      <c r="AS31888" s="47"/>
    </row>
    <row r="31889" spans="45:45">
      <c r="AS31889" s="47"/>
    </row>
    <row r="31890" spans="45:45">
      <c r="AS31890" s="47"/>
    </row>
    <row r="31891" spans="45:45">
      <c r="AS31891" s="47"/>
    </row>
    <row r="31892" spans="45:45">
      <c r="AS31892" s="47"/>
    </row>
    <row r="31893" spans="45:45">
      <c r="AS31893" s="47"/>
    </row>
    <row r="31894" spans="45:45">
      <c r="AS31894" s="47"/>
    </row>
    <row r="31895" spans="45:45">
      <c r="AS31895" s="47"/>
    </row>
    <row r="31896" spans="45:45">
      <c r="AS31896" s="47"/>
    </row>
    <row r="31897" spans="45:45">
      <c r="AS31897" s="47"/>
    </row>
    <row r="31898" spans="45:45">
      <c r="AS31898" s="47"/>
    </row>
    <row r="31899" spans="45:45">
      <c r="AS31899" s="47"/>
    </row>
    <row r="31900" spans="45:45">
      <c r="AS31900" s="47"/>
    </row>
    <row r="31901" spans="45:45">
      <c r="AS31901" s="47"/>
    </row>
    <row r="31902" spans="45:45">
      <c r="AS31902" s="47"/>
    </row>
    <row r="31903" spans="45:45">
      <c r="AS31903" s="47"/>
    </row>
    <row r="31904" spans="45:45">
      <c r="AS31904" s="47"/>
    </row>
    <row r="31905" spans="45:45">
      <c r="AS31905" s="47"/>
    </row>
    <row r="31906" spans="45:45">
      <c r="AS31906" s="47"/>
    </row>
    <row r="31907" spans="45:45">
      <c r="AS31907" s="47"/>
    </row>
    <row r="31908" spans="45:45">
      <c r="AS31908" s="47"/>
    </row>
    <row r="31909" spans="45:45">
      <c r="AS31909" s="47"/>
    </row>
    <row r="31910" spans="45:45">
      <c r="AS31910" s="47"/>
    </row>
    <row r="31911" spans="45:45">
      <c r="AS31911" s="47"/>
    </row>
    <row r="31912" spans="45:45">
      <c r="AS31912" s="47"/>
    </row>
    <row r="31913" spans="45:45">
      <c r="AS31913" s="47"/>
    </row>
    <row r="31914" spans="45:45">
      <c r="AS31914" s="47"/>
    </row>
    <row r="31915" spans="45:45">
      <c r="AS31915" s="47"/>
    </row>
    <row r="31916" spans="45:45">
      <c r="AS31916" s="47"/>
    </row>
    <row r="31917" spans="45:45">
      <c r="AS31917" s="47"/>
    </row>
    <row r="31918" spans="45:45">
      <c r="AS31918" s="47"/>
    </row>
    <row r="31919" spans="45:45">
      <c r="AS31919" s="47"/>
    </row>
    <row r="31920" spans="45:45">
      <c r="AS31920" s="47"/>
    </row>
    <row r="31921" spans="45:45">
      <c r="AS31921" s="47"/>
    </row>
    <row r="31922" spans="45:45">
      <c r="AS31922" s="47"/>
    </row>
    <row r="31923" spans="45:45">
      <c r="AS31923" s="47"/>
    </row>
    <row r="31924" spans="45:45">
      <c r="AS31924" s="47"/>
    </row>
    <row r="31925" spans="45:45">
      <c r="AS31925" s="47"/>
    </row>
    <row r="31926" spans="45:45">
      <c r="AS31926" s="47"/>
    </row>
    <row r="31927" spans="45:45">
      <c r="AS31927" s="47"/>
    </row>
    <row r="31928" spans="45:45">
      <c r="AS31928" s="47"/>
    </row>
    <row r="31929" spans="45:45">
      <c r="AS31929" s="47"/>
    </row>
    <row r="31930" spans="45:45">
      <c r="AS31930" s="47"/>
    </row>
    <row r="31931" spans="45:45">
      <c r="AS31931" s="47"/>
    </row>
    <row r="31932" spans="45:45">
      <c r="AS31932" s="47"/>
    </row>
    <row r="31933" spans="45:45">
      <c r="AS31933" s="47"/>
    </row>
    <row r="31934" spans="45:45">
      <c r="AS31934" s="47"/>
    </row>
    <row r="31935" spans="45:45">
      <c r="AS31935" s="47"/>
    </row>
    <row r="31936" spans="45:45">
      <c r="AS31936" s="47"/>
    </row>
    <row r="31937" spans="45:45">
      <c r="AS31937" s="47"/>
    </row>
    <row r="31938" spans="45:45">
      <c r="AS31938" s="47"/>
    </row>
    <row r="31939" spans="45:45">
      <c r="AS31939" s="47"/>
    </row>
    <row r="31940" spans="45:45">
      <c r="AS31940" s="47"/>
    </row>
    <row r="31941" spans="45:45">
      <c r="AS31941" s="47"/>
    </row>
    <row r="31942" spans="45:45">
      <c r="AS31942" s="47"/>
    </row>
    <row r="31943" spans="45:45">
      <c r="AS31943" s="47"/>
    </row>
    <row r="31944" spans="45:45">
      <c r="AS31944" s="47"/>
    </row>
    <row r="31945" spans="45:45">
      <c r="AS31945" s="47"/>
    </row>
    <row r="31946" spans="45:45">
      <c r="AS31946" s="47"/>
    </row>
    <row r="31947" spans="45:45">
      <c r="AS31947" s="47"/>
    </row>
    <row r="31948" spans="45:45">
      <c r="AS31948" s="47"/>
    </row>
    <row r="31949" spans="45:45">
      <c r="AS31949" s="47"/>
    </row>
    <row r="31950" spans="45:45">
      <c r="AS31950" s="47"/>
    </row>
    <row r="31951" spans="45:45">
      <c r="AS31951" s="47"/>
    </row>
    <row r="31952" spans="45:45">
      <c r="AS31952" s="47"/>
    </row>
    <row r="31953" spans="45:45">
      <c r="AS31953" s="47"/>
    </row>
    <row r="31954" spans="45:45">
      <c r="AS31954" s="47"/>
    </row>
    <row r="31955" spans="45:45">
      <c r="AS31955" s="47"/>
    </row>
    <row r="31956" spans="45:45">
      <c r="AS31956" s="47"/>
    </row>
    <row r="31957" spans="45:45">
      <c r="AS31957" s="47"/>
    </row>
    <row r="31958" spans="45:45">
      <c r="AS31958" s="47"/>
    </row>
    <row r="31959" spans="45:45">
      <c r="AS31959" s="47"/>
    </row>
    <row r="31960" spans="45:45">
      <c r="AS31960" s="47"/>
    </row>
    <row r="31961" spans="45:45">
      <c r="AS31961" s="47"/>
    </row>
    <row r="31962" spans="45:45">
      <c r="AS31962" s="47"/>
    </row>
    <row r="31963" spans="45:45">
      <c r="AS31963" s="47"/>
    </row>
    <row r="31964" spans="45:45">
      <c r="AS31964" s="47"/>
    </row>
    <row r="31965" spans="45:45">
      <c r="AS31965" s="47"/>
    </row>
    <row r="31966" spans="45:45">
      <c r="AS31966" s="47"/>
    </row>
    <row r="31967" spans="45:45">
      <c r="AS31967" s="47"/>
    </row>
    <row r="31968" spans="45:45">
      <c r="AS31968" s="47"/>
    </row>
    <row r="31969" spans="45:45">
      <c r="AS31969" s="47"/>
    </row>
    <row r="31970" spans="45:45">
      <c r="AS31970" s="47"/>
    </row>
    <row r="31971" spans="45:45">
      <c r="AS31971" s="47"/>
    </row>
    <row r="31972" spans="45:45">
      <c r="AS31972" s="47"/>
    </row>
    <row r="31973" spans="45:45">
      <c r="AS31973" s="47"/>
    </row>
    <row r="31974" spans="45:45">
      <c r="AS31974" s="47"/>
    </row>
    <row r="31975" spans="45:45">
      <c r="AS31975" s="47"/>
    </row>
    <row r="31976" spans="45:45">
      <c r="AS31976" s="47"/>
    </row>
    <row r="31977" spans="45:45">
      <c r="AS31977" s="47"/>
    </row>
    <row r="31978" spans="45:45">
      <c r="AS31978" s="47"/>
    </row>
    <row r="31979" spans="45:45">
      <c r="AS31979" s="47"/>
    </row>
    <row r="31980" spans="45:45">
      <c r="AS31980" s="47"/>
    </row>
    <row r="31981" spans="45:45">
      <c r="AS31981" s="47"/>
    </row>
    <row r="31982" spans="45:45">
      <c r="AS31982" s="47"/>
    </row>
    <row r="31983" spans="45:45">
      <c r="AS31983" s="47"/>
    </row>
    <row r="31984" spans="45:45">
      <c r="AS31984" s="47"/>
    </row>
    <row r="31985" spans="45:45">
      <c r="AS31985" s="47"/>
    </row>
    <row r="31986" spans="45:45">
      <c r="AS31986" s="47"/>
    </row>
    <row r="31987" spans="45:45">
      <c r="AS31987" s="47"/>
    </row>
    <row r="31988" spans="45:45">
      <c r="AS31988" s="47"/>
    </row>
    <row r="31989" spans="45:45">
      <c r="AS31989" s="47"/>
    </row>
    <row r="31990" spans="45:45">
      <c r="AS31990" s="47"/>
    </row>
    <row r="31991" spans="45:45">
      <c r="AS31991" s="47"/>
    </row>
    <row r="31992" spans="45:45">
      <c r="AS31992" s="47"/>
    </row>
    <row r="31993" spans="45:45">
      <c r="AS31993" s="47"/>
    </row>
    <row r="31994" spans="45:45">
      <c r="AS31994" s="47"/>
    </row>
    <row r="31995" spans="45:45">
      <c r="AS31995" s="47"/>
    </row>
    <row r="31996" spans="45:45">
      <c r="AS31996" s="47"/>
    </row>
    <row r="31997" spans="45:45">
      <c r="AS31997" s="47"/>
    </row>
    <row r="31998" spans="45:45">
      <c r="AS31998" s="47"/>
    </row>
    <row r="31999" spans="45:45">
      <c r="AS31999" s="47"/>
    </row>
    <row r="32000" spans="45:45">
      <c r="AS32000" s="47"/>
    </row>
    <row r="32001" spans="45:45">
      <c r="AS32001" s="47"/>
    </row>
    <row r="32002" spans="45:45">
      <c r="AS32002" s="47"/>
    </row>
    <row r="32003" spans="45:45">
      <c r="AS32003" s="47"/>
    </row>
    <row r="32004" spans="45:45">
      <c r="AS32004" s="47"/>
    </row>
    <row r="32005" spans="45:45">
      <c r="AS32005" s="47"/>
    </row>
    <row r="32006" spans="45:45">
      <c r="AS32006" s="47"/>
    </row>
    <row r="32007" spans="45:45">
      <c r="AS32007" s="47"/>
    </row>
    <row r="32008" spans="45:45">
      <c r="AS32008" s="47"/>
    </row>
    <row r="32009" spans="45:45">
      <c r="AS32009" s="47"/>
    </row>
    <row r="32010" spans="45:45">
      <c r="AS32010" s="47"/>
    </row>
    <row r="32011" spans="45:45">
      <c r="AS32011" s="47"/>
    </row>
    <row r="32012" spans="45:45">
      <c r="AS32012" s="47"/>
    </row>
    <row r="32013" spans="45:45">
      <c r="AS32013" s="47"/>
    </row>
    <row r="32014" spans="45:45">
      <c r="AS32014" s="47"/>
    </row>
    <row r="32015" spans="45:45">
      <c r="AS32015" s="47"/>
    </row>
    <row r="32016" spans="45:45">
      <c r="AS32016" s="47"/>
    </row>
    <row r="32017" spans="45:45">
      <c r="AS32017" s="47"/>
    </row>
    <row r="32018" spans="45:45">
      <c r="AS32018" s="47"/>
    </row>
    <row r="32019" spans="45:45">
      <c r="AS32019" s="47"/>
    </row>
    <row r="32020" spans="45:45">
      <c r="AS32020" s="47"/>
    </row>
    <row r="32021" spans="45:45">
      <c r="AS32021" s="47"/>
    </row>
    <row r="32022" spans="45:45">
      <c r="AS32022" s="47"/>
    </row>
    <row r="32023" spans="45:45">
      <c r="AS32023" s="47"/>
    </row>
    <row r="32024" spans="45:45">
      <c r="AS32024" s="47"/>
    </row>
    <row r="32025" spans="45:45">
      <c r="AS32025" s="47"/>
    </row>
    <row r="32026" spans="45:45">
      <c r="AS32026" s="47"/>
    </row>
    <row r="32027" spans="45:45">
      <c r="AS32027" s="47"/>
    </row>
    <row r="32028" spans="45:45">
      <c r="AS32028" s="47"/>
    </row>
    <row r="32029" spans="45:45">
      <c r="AS32029" s="47"/>
    </row>
    <row r="32030" spans="45:45">
      <c r="AS32030" s="47"/>
    </row>
    <row r="32031" spans="45:45">
      <c r="AS32031" s="47"/>
    </row>
    <row r="32032" spans="45:45">
      <c r="AS32032" s="47"/>
    </row>
    <row r="32033" spans="45:45">
      <c r="AS32033" s="47"/>
    </row>
    <row r="32034" spans="45:45">
      <c r="AS32034" s="47"/>
    </row>
    <row r="32035" spans="45:45">
      <c r="AS32035" s="47"/>
    </row>
    <row r="32036" spans="45:45">
      <c r="AS32036" s="47"/>
    </row>
    <row r="32037" spans="45:45">
      <c r="AS32037" s="47"/>
    </row>
    <row r="32038" spans="45:45">
      <c r="AS32038" s="47"/>
    </row>
    <row r="32039" spans="45:45">
      <c r="AS32039" s="47"/>
    </row>
    <row r="32040" spans="45:45">
      <c r="AS32040" s="47"/>
    </row>
    <row r="32041" spans="45:45">
      <c r="AS32041" s="47"/>
    </row>
    <row r="32042" spans="45:45">
      <c r="AS32042" s="47"/>
    </row>
    <row r="32043" spans="45:45">
      <c r="AS32043" s="47"/>
    </row>
    <row r="32044" spans="45:45">
      <c r="AS32044" s="47"/>
    </row>
    <row r="32045" spans="45:45">
      <c r="AS32045" s="47"/>
    </row>
    <row r="32046" spans="45:45">
      <c r="AS32046" s="47"/>
    </row>
    <row r="32047" spans="45:45">
      <c r="AS32047" s="47"/>
    </row>
    <row r="32048" spans="45:45">
      <c r="AS32048" s="47"/>
    </row>
    <row r="32049" spans="45:45">
      <c r="AS32049" s="47"/>
    </row>
    <row r="32050" spans="45:45">
      <c r="AS32050" s="47"/>
    </row>
    <row r="32051" spans="45:45">
      <c r="AS32051" s="47"/>
    </row>
    <row r="32052" spans="45:45">
      <c r="AS32052" s="47"/>
    </row>
    <row r="32053" spans="45:45">
      <c r="AS32053" s="47"/>
    </row>
    <row r="32054" spans="45:45">
      <c r="AS32054" s="47"/>
    </row>
    <row r="32055" spans="45:45">
      <c r="AS32055" s="47"/>
    </row>
    <row r="32056" spans="45:45">
      <c r="AS32056" s="47"/>
    </row>
    <row r="32057" spans="45:45">
      <c r="AS32057" s="47"/>
    </row>
    <row r="32058" spans="45:45">
      <c r="AS32058" s="47"/>
    </row>
    <row r="32059" spans="45:45">
      <c r="AS32059" s="47"/>
    </row>
    <row r="32060" spans="45:45">
      <c r="AS32060" s="47"/>
    </row>
    <row r="32061" spans="45:45">
      <c r="AS32061" s="47"/>
    </row>
    <row r="32062" spans="45:45">
      <c r="AS32062" s="47"/>
    </row>
    <row r="32063" spans="45:45">
      <c r="AS32063" s="47"/>
    </row>
    <row r="32064" spans="45:45">
      <c r="AS32064" s="47"/>
    </row>
    <row r="32065" spans="45:45">
      <c r="AS32065" s="47"/>
    </row>
    <row r="32066" spans="45:45">
      <c r="AS32066" s="47"/>
    </row>
    <row r="32067" spans="45:45">
      <c r="AS32067" s="47"/>
    </row>
    <row r="32068" spans="45:45">
      <c r="AS32068" s="47"/>
    </row>
    <row r="32069" spans="45:45">
      <c r="AS32069" s="47"/>
    </row>
    <row r="32070" spans="45:45">
      <c r="AS32070" s="47"/>
    </row>
    <row r="32071" spans="45:45">
      <c r="AS32071" s="47"/>
    </row>
    <row r="32072" spans="45:45">
      <c r="AS32072" s="47"/>
    </row>
    <row r="32073" spans="45:45">
      <c r="AS32073" s="47"/>
    </row>
    <row r="32074" spans="45:45">
      <c r="AS32074" s="47"/>
    </row>
    <row r="32075" spans="45:45">
      <c r="AS32075" s="47"/>
    </row>
    <row r="32076" spans="45:45">
      <c r="AS32076" s="47"/>
    </row>
    <row r="32077" spans="45:45">
      <c r="AS32077" s="47"/>
    </row>
    <row r="32078" spans="45:45">
      <c r="AS32078" s="47"/>
    </row>
    <row r="32079" spans="45:45">
      <c r="AS32079" s="47"/>
    </row>
    <row r="32080" spans="45:45">
      <c r="AS32080" s="47"/>
    </row>
    <row r="32081" spans="45:45">
      <c r="AS32081" s="47"/>
    </row>
    <row r="32082" spans="45:45">
      <c r="AS32082" s="47"/>
    </row>
    <row r="32083" spans="45:45">
      <c r="AS32083" s="47"/>
    </row>
    <row r="32084" spans="45:45">
      <c r="AS32084" s="47"/>
    </row>
    <row r="32085" spans="45:45">
      <c r="AS32085" s="47"/>
    </row>
    <row r="32086" spans="45:45">
      <c r="AS32086" s="47"/>
    </row>
    <row r="32087" spans="45:45">
      <c r="AS32087" s="47"/>
    </row>
    <row r="32088" spans="45:45">
      <c r="AS32088" s="47"/>
    </row>
    <row r="32089" spans="45:45">
      <c r="AS32089" s="47"/>
    </row>
    <row r="32090" spans="45:45">
      <c r="AS32090" s="47"/>
    </row>
    <row r="32091" spans="45:45">
      <c r="AS32091" s="47"/>
    </row>
    <row r="32092" spans="45:45">
      <c r="AS32092" s="47"/>
    </row>
    <row r="32093" spans="45:45">
      <c r="AS32093" s="47"/>
    </row>
    <row r="32094" spans="45:45">
      <c r="AS32094" s="47"/>
    </row>
    <row r="32095" spans="45:45">
      <c r="AS32095" s="47"/>
    </row>
    <row r="32096" spans="45:45">
      <c r="AS32096" s="47"/>
    </row>
    <row r="32097" spans="45:45">
      <c r="AS32097" s="47"/>
    </row>
    <row r="32098" spans="45:45">
      <c r="AS32098" s="47"/>
    </row>
    <row r="32099" spans="45:45">
      <c r="AS32099" s="47"/>
    </row>
    <row r="32100" spans="45:45">
      <c r="AS32100" s="47"/>
    </row>
    <row r="32101" spans="45:45">
      <c r="AS32101" s="47"/>
    </row>
    <row r="32102" spans="45:45">
      <c r="AS32102" s="47"/>
    </row>
    <row r="32103" spans="45:45">
      <c r="AS32103" s="47"/>
    </row>
    <row r="32104" spans="45:45">
      <c r="AS32104" s="47"/>
    </row>
    <row r="32105" spans="45:45">
      <c r="AS32105" s="47"/>
    </row>
    <row r="32106" spans="45:45">
      <c r="AS32106" s="47"/>
    </row>
    <row r="32107" spans="45:45">
      <c r="AS32107" s="47"/>
    </row>
    <row r="32108" spans="45:45">
      <c r="AS32108" s="47"/>
    </row>
    <row r="32109" spans="45:45">
      <c r="AS32109" s="47"/>
    </row>
    <row r="32110" spans="45:45">
      <c r="AS32110" s="47"/>
    </row>
    <row r="32111" spans="45:45">
      <c r="AS32111" s="47"/>
    </row>
    <row r="32112" spans="45:45">
      <c r="AS32112" s="47"/>
    </row>
    <row r="32113" spans="45:45">
      <c r="AS32113" s="47"/>
    </row>
    <row r="32114" spans="45:45">
      <c r="AS32114" s="47"/>
    </row>
    <row r="32115" spans="45:45">
      <c r="AS32115" s="47"/>
    </row>
    <row r="32116" spans="45:45">
      <c r="AS32116" s="47"/>
    </row>
    <row r="32117" spans="45:45">
      <c r="AS32117" s="47"/>
    </row>
    <row r="32118" spans="45:45">
      <c r="AS32118" s="47"/>
    </row>
    <row r="32119" spans="45:45">
      <c r="AS32119" s="47"/>
    </row>
    <row r="32120" spans="45:45">
      <c r="AS32120" s="47"/>
    </row>
    <row r="32121" spans="45:45">
      <c r="AS32121" s="47"/>
    </row>
    <row r="32122" spans="45:45">
      <c r="AS32122" s="47"/>
    </row>
    <row r="32123" spans="45:45">
      <c r="AS32123" s="47"/>
    </row>
    <row r="32124" spans="45:45">
      <c r="AS32124" s="47"/>
    </row>
    <row r="32125" spans="45:45">
      <c r="AS32125" s="47"/>
    </row>
    <row r="32126" spans="45:45">
      <c r="AS32126" s="47"/>
    </row>
    <row r="32127" spans="45:45">
      <c r="AS32127" s="47"/>
    </row>
    <row r="32128" spans="45:45">
      <c r="AS32128" s="47"/>
    </row>
    <row r="32129" spans="45:45">
      <c r="AS32129" s="47"/>
    </row>
    <row r="32130" spans="45:45">
      <c r="AS32130" s="47"/>
    </row>
    <row r="32131" spans="45:45">
      <c r="AS32131" s="47"/>
    </row>
    <row r="32132" spans="45:45">
      <c r="AS32132" s="47"/>
    </row>
    <row r="32133" spans="45:45">
      <c r="AS32133" s="47"/>
    </row>
    <row r="32134" spans="45:45">
      <c r="AS32134" s="47"/>
    </row>
    <row r="32135" spans="45:45">
      <c r="AS32135" s="47"/>
    </row>
    <row r="32136" spans="45:45">
      <c r="AS32136" s="47"/>
    </row>
    <row r="32137" spans="45:45">
      <c r="AS32137" s="47"/>
    </row>
    <row r="32138" spans="45:45">
      <c r="AS32138" s="47"/>
    </row>
    <row r="32139" spans="45:45">
      <c r="AS32139" s="47"/>
    </row>
    <row r="32140" spans="45:45">
      <c r="AS32140" s="47"/>
    </row>
    <row r="32141" spans="45:45">
      <c r="AS32141" s="47"/>
    </row>
    <row r="32142" spans="45:45">
      <c r="AS32142" s="47"/>
    </row>
    <row r="32143" spans="45:45">
      <c r="AS32143" s="47"/>
    </row>
    <row r="32144" spans="45:45">
      <c r="AS32144" s="47"/>
    </row>
    <row r="32145" spans="45:45">
      <c r="AS32145" s="47"/>
    </row>
    <row r="32146" spans="45:45">
      <c r="AS32146" s="47"/>
    </row>
    <row r="32147" spans="45:45">
      <c r="AS32147" s="47"/>
    </row>
    <row r="32148" spans="45:45">
      <c r="AS32148" s="47"/>
    </row>
    <row r="32149" spans="45:45">
      <c r="AS32149" s="47"/>
    </row>
    <row r="32150" spans="45:45">
      <c r="AS32150" s="47"/>
    </row>
    <row r="32151" spans="45:45">
      <c r="AS32151" s="47"/>
    </row>
    <row r="32152" spans="45:45">
      <c r="AS32152" s="47"/>
    </row>
    <row r="32153" spans="45:45">
      <c r="AS32153" s="47"/>
    </row>
    <row r="32154" spans="45:45">
      <c r="AS32154" s="47"/>
    </row>
    <row r="32155" spans="45:45">
      <c r="AS32155" s="47"/>
    </row>
    <row r="32156" spans="45:45">
      <c r="AS32156" s="47"/>
    </row>
    <row r="32157" spans="45:45">
      <c r="AS32157" s="47"/>
    </row>
    <row r="32158" spans="45:45">
      <c r="AS32158" s="47"/>
    </row>
    <row r="32159" spans="45:45">
      <c r="AS32159" s="47"/>
    </row>
    <row r="32160" spans="45:45">
      <c r="AS32160" s="47"/>
    </row>
    <row r="32161" spans="45:45">
      <c r="AS32161" s="47"/>
    </row>
    <row r="32162" spans="45:45">
      <c r="AS32162" s="47"/>
    </row>
    <row r="32163" spans="45:45">
      <c r="AS32163" s="47"/>
    </row>
    <row r="32164" spans="45:45">
      <c r="AS32164" s="47"/>
    </row>
    <row r="32165" spans="45:45">
      <c r="AS32165" s="47"/>
    </row>
    <row r="32166" spans="45:45">
      <c r="AS32166" s="47"/>
    </row>
    <row r="32167" spans="45:45">
      <c r="AS32167" s="47"/>
    </row>
    <row r="32168" spans="45:45">
      <c r="AS32168" s="47"/>
    </row>
    <row r="32169" spans="45:45">
      <c r="AS32169" s="47"/>
    </row>
    <row r="32170" spans="45:45">
      <c r="AS32170" s="47"/>
    </row>
    <row r="32171" spans="45:45">
      <c r="AS32171" s="47"/>
    </row>
    <row r="32172" spans="45:45">
      <c r="AS32172" s="47"/>
    </row>
    <row r="32173" spans="45:45">
      <c r="AS32173" s="47"/>
    </row>
    <row r="32174" spans="45:45">
      <c r="AS32174" s="47"/>
    </row>
    <row r="32175" spans="45:45">
      <c r="AS32175" s="47"/>
    </row>
    <row r="32176" spans="45:45">
      <c r="AS32176" s="47"/>
    </row>
    <row r="32177" spans="45:45">
      <c r="AS32177" s="47"/>
    </row>
    <row r="32178" spans="45:45">
      <c r="AS32178" s="47"/>
    </row>
    <row r="32179" spans="45:45">
      <c r="AS32179" s="47"/>
    </row>
    <row r="32180" spans="45:45">
      <c r="AS32180" s="47"/>
    </row>
    <row r="32181" spans="45:45">
      <c r="AS32181" s="47"/>
    </row>
    <row r="32182" spans="45:45">
      <c r="AS32182" s="47"/>
    </row>
    <row r="32183" spans="45:45">
      <c r="AS32183" s="47"/>
    </row>
    <row r="32184" spans="45:45">
      <c r="AS32184" s="47"/>
    </row>
    <row r="32185" spans="45:45">
      <c r="AS32185" s="47"/>
    </row>
    <row r="32186" spans="45:45">
      <c r="AS32186" s="47"/>
    </row>
    <row r="32187" spans="45:45">
      <c r="AS32187" s="47"/>
    </row>
    <row r="32188" spans="45:45">
      <c r="AS32188" s="47"/>
    </row>
    <row r="32189" spans="45:45">
      <c r="AS32189" s="47"/>
    </row>
    <row r="32190" spans="45:45">
      <c r="AS32190" s="47"/>
    </row>
    <row r="32191" spans="45:45">
      <c r="AS32191" s="47"/>
    </row>
    <row r="32192" spans="45:45">
      <c r="AS32192" s="47"/>
    </row>
    <row r="32193" spans="45:45">
      <c r="AS32193" s="47"/>
    </row>
    <row r="32194" spans="45:45">
      <c r="AS32194" s="47"/>
    </row>
    <row r="32195" spans="45:45">
      <c r="AS32195" s="47"/>
    </row>
    <row r="32196" spans="45:45">
      <c r="AS32196" s="47"/>
    </row>
    <row r="32197" spans="45:45">
      <c r="AS32197" s="47"/>
    </row>
    <row r="32198" spans="45:45">
      <c r="AS32198" s="47"/>
    </row>
    <row r="32199" spans="45:45">
      <c r="AS32199" s="47"/>
    </row>
    <row r="32200" spans="45:45">
      <c r="AS32200" s="47"/>
    </row>
    <row r="32201" spans="45:45">
      <c r="AS32201" s="47"/>
    </row>
    <row r="32202" spans="45:45">
      <c r="AS32202" s="47"/>
    </row>
    <row r="32203" spans="45:45">
      <c r="AS32203" s="47"/>
    </row>
    <row r="32204" spans="45:45">
      <c r="AS32204" s="47"/>
    </row>
    <row r="32205" spans="45:45">
      <c r="AS32205" s="47"/>
    </row>
    <row r="32206" spans="45:45">
      <c r="AS32206" s="47"/>
    </row>
    <row r="32207" spans="45:45">
      <c r="AS32207" s="47"/>
    </row>
    <row r="32208" spans="45:45">
      <c r="AS32208" s="47"/>
    </row>
    <row r="32209" spans="45:45">
      <c r="AS32209" s="47"/>
    </row>
    <row r="32210" spans="45:45">
      <c r="AS32210" s="47"/>
    </row>
    <row r="32211" spans="45:45">
      <c r="AS32211" s="47"/>
    </row>
    <row r="32212" spans="45:45">
      <c r="AS32212" s="47"/>
    </row>
    <row r="32213" spans="45:45">
      <c r="AS32213" s="47"/>
    </row>
    <row r="32214" spans="45:45">
      <c r="AS32214" s="47"/>
    </row>
    <row r="32215" spans="45:45">
      <c r="AS32215" s="47"/>
    </row>
    <row r="32216" spans="45:45">
      <c r="AS32216" s="47"/>
    </row>
    <row r="32217" spans="45:45">
      <c r="AS32217" s="47"/>
    </row>
    <row r="32218" spans="45:45">
      <c r="AS32218" s="47"/>
    </row>
    <row r="32219" spans="45:45">
      <c r="AS32219" s="47"/>
    </row>
    <row r="32220" spans="45:45">
      <c r="AS32220" s="47"/>
    </row>
    <row r="32221" spans="45:45">
      <c r="AS32221" s="47"/>
    </row>
    <row r="32222" spans="45:45">
      <c r="AS32222" s="47"/>
    </row>
    <row r="32223" spans="45:45">
      <c r="AS32223" s="47"/>
    </row>
    <row r="32224" spans="45:45">
      <c r="AS32224" s="47"/>
    </row>
    <row r="32225" spans="45:45">
      <c r="AS32225" s="47"/>
    </row>
    <row r="32226" spans="45:45">
      <c r="AS32226" s="47"/>
    </row>
    <row r="32227" spans="45:45">
      <c r="AS32227" s="47"/>
    </row>
    <row r="32228" spans="45:45">
      <c r="AS32228" s="47"/>
    </row>
    <row r="32229" spans="45:45">
      <c r="AS32229" s="47"/>
    </row>
    <row r="32230" spans="45:45">
      <c r="AS32230" s="47"/>
    </row>
    <row r="32231" spans="45:45">
      <c r="AS32231" s="47"/>
    </row>
    <row r="32232" spans="45:45">
      <c r="AS32232" s="47"/>
    </row>
    <row r="32233" spans="45:45">
      <c r="AS32233" s="47"/>
    </row>
    <row r="32234" spans="45:45">
      <c r="AS32234" s="47"/>
    </row>
    <row r="32235" spans="45:45">
      <c r="AS32235" s="47"/>
    </row>
    <row r="32236" spans="45:45">
      <c r="AS32236" s="47"/>
    </row>
    <row r="32237" spans="45:45">
      <c r="AS32237" s="47"/>
    </row>
    <row r="32238" spans="45:45">
      <c r="AS32238" s="47"/>
    </row>
    <row r="32239" spans="45:45">
      <c r="AS32239" s="47"/>
    </row>
    <row r="32240" spans="45:45">
      <c r="AS32240" s="47"/>
    </row>
    <row r="32241" spans="45:45">
      <c r="AS32241" s="47"/>
    </row>
    <row r="32242" spans="45:45">
      <c r="AS32242" s="47"/>
    </row>
    <row r="32243" spans="45:45">
      <c r="AS32243" s="47"/>
    </row>
    <row r="32244" spans="45:45">
      <c r="AS32244" s="47"/>
    </row>
    <row r="32245" spans="45:45">
      <c r="AS32245" s="47"/>
    </row>
    <row r="32246" spans="45:45">
      <c r="AS32246" s="47"/>
    </row>
    <row r="32247" spans="45:45">
      <c r="AS32247" s="47"/>
    </row>
    <row r="32248" spans="45:45">
      <c r="AS32248" s="47"/>
    </row>
    <row r="32249" spans="45:45">
      <c r="AS32249" s="47"/>
    </row>
    <row r="32250" spans="45:45">
      <c r="AS32250" s="47"/>
    </row>
    <row r="32251" spans="45:45">
      <c r="AS32251" s="47"/>
    </row>
    <row r="32252" spans="45:45">
      <c r="AS32252" s="47"/>
    </row>
    <row r="32253" spans="45:45">
      <c r="AS32253" s="47"/>
    </row>
    <row r="32254" spans="45:45">
      <c r="AS32254" s="47"/>
    </row>
    <row r="32255" spans="45:45">
      <c r="AS32255" s="47"/>
    </row>
    <row r="32256" spans="45:45">
      <c r="AS32256" s="47"/>
    </row>
    <row r="32257" spans="45:45">
      <c r="AS32257" s="47"/>
    </row>
    <row r="32258" spans="45:45">
      <c r="AS32258" s="47"/>
    </row>
    <row r="32259" spans="45:45">
      <c r="AS32259" s="47"/>
    </row>
    <row r="32260" spans="45:45">
      <c r="AS32260" s="47"/>
    </row>
    <row r="32261" spans="45:45">
      <c r="AS32261" s="47"/>
    </row>
    <row r="32262" spans="45:45">
      <c r="AS32262" s="47"/>
    </row>
    <row r="32263" spans="45:45">
      <c r="AS32263" s="47"/>
    </row>
    <row r="32264" spans="45:45">
      <c r="AS32264" s="47"/>
    </row>
    <row r="32265" spans="45:45">
      <c r="AS32265" s="47"/>
    </row>
    <row r="32266" spans="45:45">
      <c r="AS32266" s="47"/>
    </row>
    <row r="32267" spans="45:45">
      <c r="AS32267" s="47"/>
    </row>
    <row r="32268" spans="45:45">
      <c r="AS32268" s="47"/>
    </row>
    <row r="32269" spans="45:45">
      <c r="AS32269" s="47"/>
    </row>
    <row r="32270" spans="45:45">
      <c r="AS32270" s="47"/>
    </row>
    <row r="32271" spans="45:45">
      <c r="AS32271" s="47"/>
    </row>
    <row r="32272" spans="45:45">
      <c r="AS32272" s="47"/>
    </row>
    <row r="32273" spans="45:45">
      <c r="AS32273" s="47"/>
    </row>
    <row r="32274" spans="45:45">
      <c r="AS32274" s="47"/>
    </row>
    <row r="32275" spans="45:45">
      <c r="AS32275" s="47"/>
    </row>
    <row r="32276" spans="45:45">
      <c r="AS32276" s="47"/>
    </row>
    <row r="32277" spans="45:45">
      <c r="AS32277" s="47"/>
    </row>
    <row r="32278" spans="45:45">
      <c r="AS32278" s="47"/>
    </row>
    <row r="32279" spans="45:45">
      <c r="AS32279" s="47"/>
    </row>
    <row r="32280" spans="45:45">
      <c r="AS32280" s="47"/>
    </row>
    <row r="32281" spans="45:45">
      <c r="AS32281" s="47"/>
    </row>
    <row r="32282" spans="45:45">
      <c r="AS32282" s="47"/>
    </row>
    <row r="32283" spans="45:45">
      <c r="AS32283" s="47"/>
    </row>
    <row r="32284" spans="45:45">
      <c r="AS32284" s="47"/>
    </row>
    <row r="32285" spans="45:45">
      <c r="AS32285" s="47"/>
    </row>
    <row r="32286" spans="45:45">
      <c r="AS32286" s="47"/>
    </row>
    <row r="32287" spans="45:45">
      <c r="AS32287" s="47"/>
    </row>
    <row r="32288" spans="45:45">
      <c r="AS32288" s="47"/>
    </row>
    <row r="32289" spans="45:45">
      <c r="AS32289" s="47"/>
    </row>
    <row r="32290" spans="45:45">
      <c r="AS32290" s="47"/>
    </row>
    <row r="32291" spans="45:45">
      <c r="AS32291" s="47"/>
    </row>
    <row r="32292" spans="45:45">
      <c r="AS32292" s="47"/>
    </row>
    <row r="32293" spans="45:45">
      <c r="AS32293" s="47"/>
    </row>
    <row r="32294" spans="45:45">
      <c r="AS32294" s="47"/>
    </row>
    <row r="32295" spans="45:45">
      <c r="AS32295" s="47"/>
    </row>
    <row r="32296" spans="45:45">
      <c r="AS32296" s="47"/>
    </row>
    <row r="32297" spans="45:45">
      <c r="AS32297" s="47"/>
    </row>
    <row r="32298" spans="45:45">
      <c r="AS32298" s="47"/>
    </row>
    <row r="32299" spans="45:45">
      <c r="AS32299" s="47"/>
    </row>
    <row r="32300" spans="45:45">
      <c r="AS32300" s="47"/>
    </row>
    <row r="32301" spans="45:45">
      <c r="AS32301" s="47"/>
    </row>
    <row r="32302" spans="45:45">
      <c r="AS32302" s="47"/>
    </row>
    <row r="32303" spans="45:45">
      <c r="AS32303" s="47"/>
    </row>
    <row r="32304" spans="45:45">
      <c r="AS32304" s="47"/>
    </row>
    <row r="32305" spans="45:45">
      <c r="AS32305" s="47"/>
    </row>
    <row r="32306" spans="45:45">
      <c r="AS32306" s="47"/>
    </row>
    <row r="32307" spans="45:45">
      <c r="AS32307" s="47"/>
    </row>
    <row r="32308" spans="45:45">
      <c r="AS32308" s="47"/>
    </row>
    <row r="32309" spans="45:45">
      <c r="AS32309" s="47"/>
    </row>
    <row r="32310" spans="45:45">
      <c r="AS32310" s="47"/>
    </row>
    <row r="32311" spans="45:45">
      <c r="AS32311" s="47"/>
    </row>
    <row r="32312" spans="45:45">
      <c r="AS32312" s="47"/>
    </row>
    <row r="32313" spans="45:45">
      <c r="AS32313" s="47"/>
    </row>
    <row r="32314" spans="45:45">
      <c r="AS32314" s="47"/>
    </row>
    <row r="32315" spans="45:45">
      <c r="AS32315" s="47"/>
    </row>
    <row r="32316" spans="45:45">
      <c r="AS32316" s="47"/>
    </row>
    <row r="32317" spans="45:45">
      <c r="AS32317" s="47"/>
    </row>
    <row r="32318" spans="45:45">
      <c r="AS32318" s="47"/>
    </row>
    <row r="32319" spans="45:45">
      <c r="AS32319" s="47"/>
    </row>
    <row r="32320" spans="45:45">
      <c r="AS32320" s="47"/>
    </row>
    <row r="32321" spans="45:45">
      <c r="AS32321" s="47"/>
    </row>
    <row r="32322" spans="45:45">
      <c r="AS32322" s="47"/>
    </row>
    <row r="32323" spans="45:45">
      <c r="AS32323" s="47"/>
    </row>
    <row r="32324" spans="45:45">
      <c r="AS32324" s="47"/>
    </row>
    <row r="32325" spans="45:45">
      <c r="AS32325" s="47"/>
    </row>
    <row r="32326" spans="45:45">
      <c r="AS32326" s="47"/>
    </row>
    <row r="32327" spans="45:45">
      <c r="AS32327" s="47"/>
    </row>
    <row r="32328" spans="45:45">
      <c r="AS32328" s="47"/>
    </row>
    <row r="32329" spans="45:45">
      <c r="AS32329" s="47"/>
    </row>
    <row r="32330" spans="45:45">
      <c r="AS32330" s="47"/>
    </row>
    <row r="32331" spans="45:45">
      <c r="AS32331" s="47"/>
    </row>
    <row r="32332" spans="45:45">
      <c r="AS32332" s="47"/>
    </row>
    <row r="32333" spans="45:45">
      <c r="AS32333" s="47"/>
    </row>
    <row r="32334" spans="45:45">
      <c r="AS32334" s="47"/>
    </row>
    <row r="32335" spans="45:45">
      <c r="AS32335" s="47"/>
    </row>
    <row r="32336" spans="45:45">
      <c r="AS32336" s="47"/>
    </row>
    <row r="32337" spans="45:45">
      <c r="AS32337" s="47"/>
    </row>
    <row r="32338" spans="45:45">
      <c r="AS32338" s="47"/>
    </row>
    <row r="32339" spans="45:45">
      <c r="AS32339" s="47"/>
    </row>
    <row r="32340" spans="45:45">
      <c r="AS32340" s="47"/>
    </row>
    <row r="32341" spans="45:45">
      <c r="AS32341" s="47"/>
    </row>
    <row r="32342" spans="45:45">
      <c r="AS32342" s="47"/>
    </row>
    <row r="32343" spans="45:45">
      <c r="AS32343" s="47"/>
    </row>
    <row r="32344" spans="45:45">
      <c r="AS32344" s="47"/>
    </row>
    <row r="32345" spans="45:45">
      <c r="AS32345" s="47"/>
    </row>
    <row r="32346" spans="45:45">
      <c r="AS32346" s="47"/>
    </row>
    <row r="32347" spans="45:45">
      <c r="AS32347" s="47"/>
    </row>
    <row r="32348" spans="45:45">
      <c r="AS32348" s="47"/>
    </row>
    <row r="32349" spans="45:45">
      <c r="AS32349" s="47"/>
    </row>
    <row r="32350" spans="45:45">
      <c r="AS32350" s="47"/>
    </row>
    <row r="32351" spans="45:45">
      <c r="AS32351" s="47"/>
    </row>
    <row r="32352" spans="45:45">
      <c r="AS32352" s="47"/>
    </row>
    <row r="32353" spans="45:45">
      <c r="AS32353" s="47"/>
    </row>
    <row r="32354" spans="45:45">
      <c r="AS32354" s="47"/>
    </row>
    <row r="32355" spans="45:45">
      <c r="AS32355" s="47"/>
    </row>
    <row r="32356" spans="45:45">
      <c r="AS32356" s="47"/>
    </row>
    <row r="32357" spans="45:45">
      <c r="AS32357" s="47"/>
    </row>
    <row r="32358" spans="45:45">
      <c r="AS32358" s="47"/>
    </row>
    <row r="32359" spans="45:45">
      <c r="AS32359" s="47"/>
    </row>
    <row r="32360" spans="45:45">
      <c r="AS32360" s="47"/>
    </row>
    <row r="32361" spans="45:45">
      <c r="AS32361" s="47"/>
    </row>
    <row r="32362" spans="45:45">
      <c r="AS32362" s="47"/>
    </row>
    <row r="32363" spans="45:45">
      <c r="AS32363" s="47"/>
    </row>
    <row r="32364" spans="45:45">
      <c r="AS32364" s="47"/>
    </row>
    <row r="32365" spans="45:45">
      <c r="AS32365" s="47"/>
    </row>
    <row r="32366" spans="45:45">
      <c r="AS32366" s="47"/>
    </row>
    <row r="32367" spans="45:45">
      <c r="AS32367" s="47"/>
    </row>
    <row r="32368" spans="45:45">
      <c r="AS32368" s="47"/>
    </row>
    <row r="32369" spans="45:45">
      <c r="AS32369" s="47"/>
    </row>
    <row r="32370" spans="45:45">
      <c r="AS32370" s="47"/>
    </row>
    <row r="32371" spans="45:45">
      <c r="AS32371" s="47"/>
    </row>
    <row r="32372" spans="45:45">
      <c r="AS32372" s="47"/>
    </row>
    <row r="32373" spans="45:45">
      <c r="AS32373" s="47"/>
    </row>
    <row r="32374" spans="45:45">
      <c r="AS32374" s="47"/>
    </row>
    <row r="32375" spans="45:45">
      <c r="AS32375" s="47"/>
    </row>
    <row r="32376" spans="45:45">
      <c r="AS32376" s="47"/>
    </row>
    <row r="32377" spans="45:45">
      <c r="AS32377" s="47"/>
    </row>
    <row r="32378" spans="45:45">
      <c r="AS32378" s="47"/>
    </row>
    <row r="32379" spans="45:45">
      <c r="AS32379" s="47"/>
    </row>
    <row r="32380" spans="45:45">
      <c r="AS32380" s="47"/>
    </row>
    <row r="32381" spans="45:45">
      <c r="AS32381" s="47"/>
    </row>
    <row r="32382" spans="45:45">
      <c r="AS32382" s="47"/>
    </row>
    <row r="32383" spans="45:45">
      <c r="AS32383" s="47"/>
    </row>
    <row r="32384" spans="45:45">
      <c r="AS32384" s="47"/>
    </row>
    <row r="32385" spans="45:45">
      <c r="AS32385" s="47"/>
    </row>
    <row r="32386" spans="45:45">
      <c r="AS32386" s="47"/>
    </row>
    <row r="32387" spans="45:45">
      <c r="AS32387" s="47"/>
    </row>
    <row r="32388" spans="45:45">
      <c r="AS32388" s="47"/>
    </row>
    <row r="32389" spans="45:45">
      <c r="AS32389" s="47"/>
    </row>
    <row r="32390" spans="45:45">
      <c r="AS32390" s="47"/>
    </row>
    <row r="32391" spans="45:45">
      <c r="AS32391" s="47"/>
    </row>
    <row r="32392" spans="45:45">
      <c r="AS32392" s="47"/>
    </row>
    <row r="32393" spans="45:45">
      <c r="AS32393" s="47"/>
    </row>
    <row r="32394" spans="45:45">
      <c r="AS32394" s="47"/>
    </row>
    <row r="32395" spans="45:45">
      <c r="AS32395" s="47"/>
    </row>
    <row r="32396" spans="45:45">
      <c r="AS32396" s="47"/>
    </row>
    <row r="32397" spans="45:45">
      <c r="AS32397" s="47"/>
    </row>
    <row r="32398" spans="45:45">
      <c r="AS32398" s="47"/>
    </row>
    <row r="32399" spans="45:45">
      <c r="AS32399" s="47"/>
    </row>
    <row r="32400" spans="45:45">
      <c r="AS32400" s="47"/>
    </row>
    <row r="32401" spans="45:45">
      <c r="AS32401" s="47"/>
    </row>
    <row r="32402" spans="45:45">
      <c r="AS32402" s="47"/>
    </row>
    <row r="32403" spans="45:45">
      <c r="AS32403" s="47"/>
    </row>
    <row r="32404" spans="45:45">
      <c r="AS32404" s="47"/>
    </row>
    <row r="32405" spans="45:45">
      <c r="AS32405" s="47"/>
    </row>
    <row r="32406" spans="45:45">
      <c r="AS32406" s="47"/>
    </row>
    <row r="32407" spans="45:45">
      <c r="AS32407" s="47"/>
    </row>
    <row r="32408" spans="45:45">
      <c r="AS32408" s="47"/>
    </row>
    <row r="32409" spans="45:45">
      <c r="AS32409" s="47"/>
    </row>
    <row r="32410" spans="45:45">
      <c r="AS32410" s="47"/>
    </row>
    <row r="32411" spans="45:45">
      <c r="AS32411" s="47"/>
    </row>
    <row r="32412" spans="45:45">
      <c r="AS32412" s="47"/>
    </row>
    <row r="32413" spans="45:45">
      <c r="AS32413" s="47"/>
    </row>
    <row r="32414" spans="45:45">
      <c r="AS32414" s="47"/>
    </row>
    <row r="32415" spans="45:45">
      <c r="AS32415" s="47"/>
    </row>
    <row r="32416" spans="45:45">
      <c r="AS32416" s="47"/>
    </row>
    <row r="32417" spans="45:45">
      <c r="AS32417" s="47"/>
    </row>
    <row r="32418" spans="45:45">
      <c r="AS32418" s="47"/>
    </row>
    <row r="32419" spans="45:45">
      <c r="AS32419" s="47"/>
    </row>
    <row r="32420" spans="45:45">
      <c r="AS32420" s="47"/>
    </row>
    <row r="32421" spans="45:45">
      <c r="AS32421" s="47"/>
    </row>
    <row r="32422" spans="45:45">
      <c r="AS32422" s="47"/>
    </row>
    <row r="32423" spans="45:45">
      <c r="AS32423" s="47"/>
    </row>
    <row r="32424" spans="45:45">
      <c r="AS32424" s="47"/>
    </row>
    <row r="32425" spans="45:45">
      <c r="AS32425" s="47"/>
    </row>
    <row r="32426" spans="45:45">
      <c r="AS32426" s="47"/>
    </row>
    <row r="32427" spans="45:45">
      <c r="AS32427" s="47"/>
    </row>
    <row r="32428" spans="45:45">
      <c r="AS32428" s="47"/>
    </row>
    <row r="32429" spans="45:45">
      <c r="AS32429" s="47"/>
    </row>
    <row r="32430" spans="45:45">
      <c r="AS32430" s="47"/>
    </row>
    <row r="32431" spans="45:45">
      <c r="AS32431" s="47"/>
    </row>
    <row r="32432" spans="45:45">
      <c r="AS32432" s="47"/>
    </row>
    <row r="32433" spans="45:45">
      <c r="AS32433" s="47"/>
    </row>
    <row r="32434" spans="45:45">
      <c r="AS32434" s="47"/>
    </row>
    <row r="32435" spans="45:45">
      <c r="AS32435" s="47"/>
    </row>
    <row r="32436" spans="45:45">
      <c r="AS32436" s="47"/>
    </row>
    <row r="32437" spans="45:45">
      <c r="AS32437" s="47"/>
    </row>
    <row r="32438" spans="45:45">
      <c r="AS32438" s="47"/>
    </row>
    <row r="32439" spans="45:45">
      <c r="AS32439" s="47"/>
    </row>
    <row r="32440" spans="45:45">
      <c r="AS32440" s="47"/>
    </row>
    <row r="32441" spans="45:45">
      <c r="AS32441" s="47"/>
    </row>
    <row r="32442" spans="45:45">
      <c r="AS32442" s="47"/>
    </row>
    <row r="32443" spans="45:45">
      <c r="AS32443" s="47"/>
    </row>
    <row r="32444" spans="45:45">
      <c r="AS32444" s="47"/>
    </row>
    <row r="32445" spans="45:45">
      <c r="AS32445" s="47"/>
    </row>
    <row r="32446" spans="45:45">
      <c r="AS32446" s="47"/>
    </row>
    <row r="32447" spans="45:45">
      <c r="AS32447" s="47"/>
    </row>
    <row r="32448" spans="45:45">
      <c r="AS32448" s="47"/>
    </row>
    <row r="32449" spans="45:45">
      <c r="AS32449" s="47"/>
    </row>
    <row r="32450" spans="45:45">
      <c r="AS32450" s="47"/>
    </row>
    <row r="32451" spans="45:45">
      <c r="AS32451" s="47"/>
    </row>
    <row r="32452" spans="45:45">
      <c r="AS32452" s="47"/>
    </row>
    <row r="32453" spans="45:45">
      <c r="AS32453" s="47"/>
    </row>
    <row r="32454" spans="45:45">
      <c r="AS32454" s="47"/>
    </row>
    <row r="32455" spans="45:45">
      <c r="AS32455" s="47"/>
    </row>
    <row r="32456" spans="45:45">
      <c r="AS32456" s="47"/>
    </row>
    <row r="32457" spans="45:45">
      <c r="AS32457" s="47"/>
    </row>
    <row r="32458" spans="45:45">
      <c r="AS32458" s="47"/>
    </row>
    <row r="32459" spans="45:45">
      <c r="AS32459" s="47"/>
    </row>
    <row r="32460" spans="45:45">
      <c r="AS32460" s="47"/>
    </row>
    <row r="32461" spans="45:45">
      <c r="AS32461" s="47"/>
    </row>
    <row r="32462" spans="45:45">
      <c r="AS32462" s="47"/>
    </row>
    <row r="32463" spans="45:45">
      <c r="AS32463" s="47"/>
    </row>
    <row r="32464" spans="45:45">
      <c r="AS32464" s="47"/>
    </row>
    <row r="32465" spans="45:45">
      <c r="AS32465" s="47"/>
    </row>
    <row r="32466" spans="45:45">
      <c r="AS32466" s="47"/>
    </row>
    <row r="32467" spans="45:45">
      <c r="AS32467" s="47"/>
    </row>
    <row r="32468" spans="45:45">
      <c r="AS32468" s="47"/>
    </row>
    <row r="32469" spans="45:45">
      <c r="AS32469" s="47"/>
    </row>
    <row r="32470" spans="45:45">
      <c r="AS32470" s="47"/>
    </row>
    <row r="32471" spans="45:45">
      <c r="AS32471" s="47"/>
    </row>
    <row r="32472" spans="45:45">
      <c r="AS32472" s="47"/>
    </row>
    <row r="32473" spans="45:45">
      <c r="AS32473" s="47"/>
    </row>
    <row r="32474" spans="45:45">
      <c r="AS32474" s="47"/>
    </row>
    <row r="32475" spans="45:45">
      <c r="AS32475" s="47"/>
    </row>
    <row r="32476" spans="45:45">
      <c r="AS32476" s="47"/>
    </row>
    <row r="32477" spans="45:45">
      <c r="AS32477" s="47"/>
    </row>
    <row r="32478" spans="45:45">
      <c r="AS32478" s="47"/>
    </row>
    <row r="32479" spans="45:45">
      <c r="AS32479" s="47"/>
    </row>
    <row r="32480" spans="45:45">
      <c r="AS32480" s="47"/>
    </row>
    <row r="32481" spans="45:45">
      <c r="AS32481" s="47"/>
    </row>
    <row r="32482" spans="45:45">
      <c r="AS32482" s="47"/>
    </row>
    <row r="32483" spans="45:45">
      <c r="AS32483" s="47"/>
    </row>
    <row r="32484" spans="45:45">
      <c r="AS32484" s="47"/>
    </row>
    <row r="32485" spans="45:45">
      <c r="AS32485" s="47"/>
    </row>
    <row r="32486" spans="45:45">
      <c r="AS32486" s="47"/>
    </row>
    <row r="32487" spans="45:45">
      <c r="AS32487" s="47"/>
    </row>
    <row r="32488" spans="45:45">
      <c r="AS32488" s="47"/>
    </row>
    <row r="32489" spans="45:45">
      <c r="AS32489" s="47"/>
    </row>
    <row r="32490" spans="45:45">
      <c r="AS32490" s="47"/>
    </row>
    <row r="32491" spans="45:45">
      <c r="AS32491" s="47"/>
    </row>
    <row r="32492" spans="45:45">
      <c r="AS32492" s="47"/>
    </row>
    <row r="32493" spans="45:45">
      <c r="AS32493" s="47"/>
    </row>
    <row r="32494" spans="45:45">
      <c r="AS32494" s="47"/>
    </row>
    <row r="32495" spans="45:45">
      <c r="AS32495" s="47"/>
    </row>
    <row r="32496" spans="45:45">
      <c r="AS32496" s="47"/>
    </row>
    <row r="32497" spans="45:45">
      <c r="AS32497" s="47"/>
    </row>
    <row r="32498" spans="45:45">
      <c r="AS32498" s="47"/>
    </row>
    <row r="32499" spans="45:45">
      <c r="AS32499" s="47"/>
    </row>
    <row r="32500" spans="45:45">
      <c r="AS32500" s="47"/>
    </row>
    <row r="32501" spans="45:45">
      <c r="AS32501" s="47"/>
    </row>
    <row r="32502" spans="45:45">
      <c r="AS32502" s="47"/>
    </row>
    <row r="32503" spans="45:45">
      <c r="AS32503" s="47"/>
    </row>
    <row r="32504" spans="45:45">
      <c r="AS32504" s="47"/>
    </row>
    <row r="32505" spans="45:45">
      <c r="AS32505" s="47"/>
    </row>
    <row r="32506" spans="45:45">
      <c r="AS32506" s="47"/>
    </row>
    <row r="32507" spans="45:45">
      <c r="AS32507" s="47"/>
    </row>
    <row r="32508" spans="45:45">
      <c r="AS32508" s="47"/>
    </row>
    <row r="32509" spans="45:45">
      <c r="AS32509" s="47"/>
    </row>
    <row r="32510" spans="45:45">
      <c r="AS32510" s="47"/>
    </row>
    <row r="32511" spans="45:45">
      <c r="AS32511" s="47"/>
    </row>
    <row r="32512" spans="45:45">
      <c r="AS32512" s="47"/>
    </row>
    <row r="32513" spans="45:45">
      <c r="AS32513" s="47"/>
    </row>
    <row r="32514" spans="45:45">
      <c r="AS32514" s="47"/>
    </row>
    <row r="32515" spans="45:45">
      <c r="AS32515" s="47"/>
    </row>
    <row r="32516" spans="45:45">
      <c r="AS32516" s="47"/>
    </row>
    <row r="32517" spans="45:45">
      <c r="AS32517" s="47"/>
    </row>
    <row r="32518" spans="45:45">
      <c r="AS32518" s="47"/>
    </row>
    <row r="32519" spans="45:45">
      <c r="AS32519" s="47"/>
    </row>
    <row r="32520" spans="45:45">
      <c r="AS32520" s="47"/>
    </row>
    <row r="32521" spans="45:45">
      <c r="AS32521" s="47"/>
    </row>
    <row r="32522" spans="45:45">
      <c r="AS32522" s="47"/>
    </row>
    <row r="32523" spans="45:45">
      <c r="AS32523" s="47"/>
    </row>
    <row r="32524" spans="45:45">
      <c r="AS32524" s="47"/>
    </row>
    <row r="32525" spans="45:45">
      <c r="AS32525" s="47"/>
    </row>
    <row r="32526" spans="45:45">
      <c r="AS32526" s="47"/>
    </row>
    <row r="32527" spans="45:45">
      <c r="AS32527" s="47"/>
    </row>
    <row r="32528" spans="45:45">
      <c r="AS32528" s="47"/>
    </row>
    <row r="32529" spans="45:45">
      <c r="AS32529" s="47"/>
    </row>
    <row r="32530" spans="45:45">
      <c r="AS32530" s="47"/>
    </row>
    <row r="32531" spans="45:45">
      <c r="AS32531" s="47"/>
    </row>
    <row r="32532" spans="45:45">
      <c r="AS32532" s="47"/>
    </row>
    <row r="32533" spans="45:45">
      <c r="AS32533" s="47"/>
    </row>
    <row r="32534" spans="45:45">
      <c r="AS32534" s="47"/>
    </row>
    <row r="32535" spans="45:45">
      <c r="AS32535" s="47"/>
    </row>
    <row r="32536" spans="45:45">
      <c r="AS32536" s="47"/>
    </row>
    <row r="32537" spans="45:45">
      <c r="AS32537" s="47"/>
    </row>
    <row r="32538" spans="45:45">
      <c r="AS32538" s="47"/>
    </row>
    <row r="32539" spans="45:45">
      <c r="AS32539" s="47"/>
    </row>
    <row r="32540" spans="45:45">
      <c r="AS32540" s="47"/>
    </row>
    <row r="32541" spans="45:45">
      <c r="AS32541" s="47"/>
    </row>
    <row r="32542" spans="45:45">
      <c r="AS32542" s="47"/>
    </row>
    <row r="32543" spans="45:45">
      <c r="AS32543" s="47"/>
    </row>
    <row r="32544" spans="45:45">
      <c r="AS32544" s="47"/>
    </row>
    <row r="32545" spans="45:45">
      <c r="AS32545" s="47"/>
    </row>
    <row r="32546" spans="45:45">
      <c r="AS32546" s="47"/>
    </row>
    <row r="32547" spans="45:45">
      <c r="AS32547" s="47"/>
    </row>
    <row r="32548" spans="45:45">
      <c r="AS32548" s="47"/>
    </row>
    <row r="32549" spans="45:45">
      <c r="AS32549" s="47"/>
    </row>
    <row r="32550" spans="45:45">
      <c r="AS32550" s="47"/>
    </row>
    <row r="32551" spans="45:45">
      <c r="AS32551" s="47"/>
    </row>
    <row r="32552" spans="45:45">
      <c r="AS32552" s="47"/>
    </row>
    <row r="32553" spans="45:45">
      <c r="AS32553" s="47"/>
    </row>
    <row r="32554" spans="45:45">
      <c r="AS32554" s="47"/>
    </row>
    <row r="32555" spans="45:45">
      <c r="AS32555" s="47"/>
    </row>
    <row r="32556" spans="45:45">
      <c r="AS32556" s="47"/>
    </row>
    <row r="32557" spans="45:45">
      <c r="AS32557" s="47"/>
    </row>
    <row r="32558" spans="45:45">
      <c r="AS32558" s="47"/>
    </row>
    <row r="32559" spans="45:45">
      <c r="AS32559" s="47"/>
    </row>
    <row r="32560" spans="45:45">
      <c r="AS32560" s="47"/>
    </row>
    <row r="32561" spans="45:45">
      <c r="AS32561" s="47"/>
    </row>
    <row r="32562" spans="45:45">
      <c r="AS32562" s="47"/>
    </row>
    <row r="32563" spans="45:45">
      <c r="AS32563" s="47"/>
    </row>
    <row r="32564" spans="45:45">
      <c r="AS32564" s="47"/>
    </row>
    <row r="32565" spans="45:45">
      <c r="AS32565" s="47"/>
    </row>
    <row r="32566" spans="45:45">
      <c r="AS32566" s="47"/>
    </row>
    <row r="32567" spans="45:45">
      <c r="AS32567" s="47"/>
    </row>
    <row r="32568" spans="45:45">
      <c r="AS32568" s="47"/>
    </row>
    <row r="32569" spans="45:45">
      <c r="AS32569" s="47"/>
    </row>
    <row r="32570" spans="45:45">
      <c r="AS32570" s="47"/>
    </row>
    <row r="32571" spans="45:45">
      <c r="AS32571" s="47"/>
    </row>
    <row r="32572" spans="45:45">
      <c r="AS32572" s="47"/>
    </row>
    <row r="32573" spans="45:45">
      <c r="AS32573" s="47"/>
    </row>
    <row r="32574" spans="45:45">
      <c r="AS32574" s="47"/>
    </row>
    <row r="32575" spans="45:45">
      <c r="AS32575" s="47"/>
    </row>
    <row r="32576" spans="45:45">
      <c r="AS32576" s="47"/>
    </row>
    <row r="32577" spans="45:45">
      <c r="AS32577" s="47"/>
    </row>
    <row r="32578" spans="45:45">
      <c r="AS32578" s="47"/>
    </row>
    <row r="32579" spans="45:45">
      <c r="AS32579" s="47"/>
    </row>
    <row r="32580" spans="45:45">
      <c r="AS32580" s="47"/>
    </row>
    <row r="32581" spans="45:45">
      <c r="AS32581" s="47"/>
    </row>
    <row r="32582" spans="45:45">
      <c r="AS32582" s="47"/>
    </row>
    <row r="32583" spans="45:45">
      <c r="AS32583" s="47"/>
    </row>
    <row r="32584" spans="45:45">
      <c r="AS32584" s="47"/>
    </row>
    <row r="32585" spans="45:45">
      <c r="AS32585" s="47"/>
    </row>
    <row r="32586" spans="45:45">
      <c r="AS32586" s="47"/>
    </row>
    <row r="32587" spans="45:45">
      <c r="AS32587" s="47"/>
    </row>
    <row r="32588" spans="45:45">
      <c r="AS32588" s="47"/>
    </row>
    <row r="32589" spans="45:45">
      <c r="AS32589" s="47"/>
    </row>
    <row r="32590" spans="45:45">
      <c r="AS32590" s="47"/>
    </row>
    <row r="32591" spans="45:45">
      <c r="AS32591" s="47"/>
    </row>
    <row r="32592" spans="45:45">
      <c r="AS32592" s="47"/>
    </row>
    <row r="32593" spans="45:45">
      <c r="AS32593" s="47"/>
    </row>
    <row r="32594" spans="45:45">
      <c r="AS32594" s="47"/>
    </row>
    <row r="32595" spans="45:45">
      <c r="AS32595" s="47"/>
    </row>
    <row r="32596" spans="45:45">
      <c r="AS32596" s="47"/>
    </row>
    <row r="32597" spans="45:45">
      <c r="AS32597" s="47"/>
    </row>
    <row r="32598" spans="45:45">
      <c r="AS32598" s="47"/>
    </row>
    <row r="32599" spans="45:45">
      <c r="AS32599" s="47"/>
    </row>
    <row r="32600" spans="45:45">
      <c r="AS32600" s="47"/>
    </row>
    <row r="32601" spans="45:45">
      <c r="AS32601" s="47"/>
    </row>
    <row r="32602" spans="45:45">
      <c r="AS32602" s="47"/>
    </row>
    <row r="32603" spans="45:45">
      <c r="AS32603" s="47"/>
    </row>
    <row r="32604" spans="45:45">
      <c r="AS32604" s="47"/>
    </row>
    <row r="32605" spans="45:45">
      <c r="AS32605" s="47"/>
    </row>
    <row r="32606" spans="45:45">
      <c r="AS32606" s="47"/>
    </row>
    <row r="32607" spans="45:45">
      <c r="AS32607" s="47"/>
    </row>
    <row r="32608" spans="45:45">
      <c r="AS32608" s="47"/>
    </row>
    <row r="32609" spans="45:45">
      <c r="AS32609" s="47"/>
    </row>
    <row r="32610" spans="45:45">
      <c r="AS32610" s="47"/>
    </row>
    <row r="32611" spans="45:45">
      <c r="AS32611" s="47"/>
    </row>
    <row r="32612" spans="45:45">
      <c r="AS32612" s="47"/>
    </row>
    <row r="32613" spans="45:45">
      <c r="AS32613" s="47"/>
    </row>
    <row r="32614" spans="45:45">
      <c r="AS32614" s="47"/>
    </row>
    <row r="32615" spans="45:45">
      <c r="AS32615" s="47"/>
    </row>
    <row r="32616" spans="45:45">
      <c r="AS32616" s="47"/>
    </row>
    <row r="32617" spans="45:45">
      <c r="AS32617" s="47"/>
    </row>
    <row r="32618" spans="45:45">
      <c r="AS32618" s="47"/>
    </row>
    <row r="32619" spans="45:45">
      <c r="AS32619" s="47"/>
    </row>
    <row r="32620" spans="45:45">
      <c r="AS32620" s="47"/>
    </row>
    <row r="32621" spans="45:45">
      <c r="AS32621" s="47"/>
    </row>
    <row r="32622" spans="45:45">
      <c r="AS32622" s="47"/>
    </row>
    <row r="32623" spans="45:45">
      <c r="AS32623" s="47"/>
    </row>
    <row r="32624" spans="45:45">
      <c r="AS32624" s="47"/>
    </row>
    <row r="32625" spans="45:45">
      <c r="AS32625" s="47"/>
    </row>
    <row r="32626" spans="45:45">
      <c r="AS32626" s="47"/>
    </row>
    <row r="32627" spans="45:45">
      <c r="AS32627" s="47"/>
    </row>
    <row r="32628" spans="45:45">
      <c r="AS32628" s="47"/>
    </row>
    <row r="32629" spans="45:45">
      <c r="AS32629" s="47"/>
    </row>
    <row r="32630" spans="45:45">
      <c r="AS32630" s="47"/>
    </row>
    <row r="32631" spans="45:45">
      <c r="AS32631" s="47"/>
    </row>
    <row r="32632" spans="45:45">
      <c r="AS32632" s="47"/>
    </row>
    <row r="32633" spans="45:45">
      <c r="AS32633" s="47"/>
    </row>
    <row r="32634" spans="45:45">
      <c r="AS32634" s="47"/>
    </row>
    <row r="32635" spans="45:45">
      <c r="AS32635" s="47"/>
    </row>
    <row r="32636" spans="45:45">
      <c r="AS32636" s="47"/>
    </row>
    <row r="32637" spans="45:45">
      <c r="AS32637" s="47"/>
    </row>
    <row r="32638" spans="45:45">
      <c r="AS32638" s="47"/>
    </row>
    <row r="32639" spans="45:45">
      <c r="AS32639" s="47"/>
    </row>
    <row r="32640" spans="45:45">
      <c r="AS32640" s="47"/>
    </row>
    <row r="32641" spans="45:45">
      <c r="AS32641" s="47"/>
    </row>
    <row r="32642" spans="45:45">
      <c r="AS32642" s="47"/>
    </row>
    <row r="32643" spans="45:45">
      <c r="AS32643" s="47"/>
    </row>
    <row r="32644" spans="45:45">
      <c r="AS32644" s="47"/>
    </row>
    <row r="32645" spans="45:45">
      <c r="AS32645" s="47"/>
    </row>
    <row r="32646" spans="45:45">
      <c r="AS32646" s="47"/>
    </row>
    <row r="32647" spans="45:45">
      <c r="AS32647" s="47"/>
    </row>
    <row r="32648" spans="45:45">
      <c r="AS32648" s="47"/>
    </row>
    <row r="32649" spans="45:45">
      <c r="AS32649" s="47"/>
    </row>
    <row r="32650" spans="45:45">
      <c r="AS32650" s="47"/>
    </row>
    <row r="32651" spans="45:45">
      <c r="AS32651" s="47"/>
    </row>
    <row r="32652" spans="45:45">
      <c r="AS32652" s="47"/>
    </row>
    <row r="32653" spans="45:45">
      <c r="AS32653" s="47"/>
    </row>
    <row r="32654" spans="45:45">
      <c r="AS32654" s="47"/>
    </row>
    <row r="32655" spans="45:45">
      <c r="AS32655" s="47"/>
    </row>
    <row r="32656" spans="45:45">
      <c r="AS32656" s="47"/>
    </row>
    <row r="32657" spans="45:45">
      <c r="AS32657" s="47"/>
    </row>
    <row r="32658" spans="45:45">
      <c r="AS32658" s="47"/>
    </row>
    <row r="32659" spans="45:45">
      <c r="AS32659" s="47"/>
    </row>
    <row r="32660" spans="45:45">
      <c r="AS32660" s="47"/>
    </row>
    <row r="32661" spans="45:45">
      <c r="AS32661" s="47"/>
    </row>
    <row r="32662" spans="45:45">
      <c r="AS32662" s="47"/>
    </row>
    <row r="32663" spans="45:45">
      <c r="AS32663" s="47"/>
    </row>
    <row r="32664" spans="45:45">
      <c r="AS32664" s="47"/>
    </row>
    <row r="32665" spans="45:45">
      <c r="AS32665" s="47"/>
    </row>
    <row r="32666" spans="45:45">
      <c r="AS32666" s="47"/>
    </row>
    <row r="32667" spans="45:45">
      <c r="AS32667" s="47"/>
    </row>
    <row r="32668" spans="45:45">
      <c r="AS32668" s="47"/>
    </row>
    <row r="32669" spans="45:45">
      <c r="AS32669" s="47"/>
    </row>
    <row r="32670" spans="45:45">
      <c r="AS32670" s="47"/>
    </row>
    <row r="32671" spans="45:45">
      <c r="AS32671" s="47"/>
    </row>
    <row r="32672" spans="45:45">
      <c r="AS32672" s="47"/>
    </row>
    <row r="32673" spans="45:45">
      <c r="AS32673" s="47"/>
    </row>
    <row r="32674" spans="45:45">
      <c r="AS32674" s="47"/>
    </row>
    <row r="32675" spans="45:45">
      <c r="AS32675" s="47"/>
    </row>
    <row r="32676" spans="45:45">
      <c r="AS32676" s="47"/>
    </row>
    <row r="32677" spans="45:45">
      <c r="AS32677" s="47"/>
    </row>
    <row r="32678" spans="45:45">
      <c r="AS32678" s="47"/>
    </row>
    <row r="32679" spans="45:45">
      <c r="AS32679" s="47"/>
    </row>
    <row r="32680" spans="45:45">
      <c r="AS32680" s="47"/>
    </row>
    <row r="32681" spans="45:45">
      <c r="AS32681" s="47"/>
    </row>
    <row r="32682" spans="45:45">
      <c r="AS32682" s="47"/>
    </row>
    <row r="32683" spans="45:45">
      <c r="AS32683" s="47"/>
    </row>
    <row r="32684" spans="45:45">
      <c r="AS32684" s="47"/>
    </row>
    <row r="32685" spans="45:45">
      <c r="AS32685" s="47"/>
    </row>
    <row r="32686" spans="45:45">
      <c r="AS32686" s="47"/>
    </row>
    <row r="32687" spans="45:45">
      <c r="AS32687" s="47"/>
    </row>
    <row r="32688" spans="45:45">
      <c r="AS32688" s="47"/>
    </row>
    <row r="32689" spans="45:45">
      <c r="AS32689" s="47"/>
    </row>
    <row r="32690" spans="45:45">
      <c r="AS32690" s="47"/>
    </row>
    <row r="32691" spans="45:45">
      <c r="AS32691" s="47"/>
    </row>
    <row r="32692" spans="45:45">
      <c r="AS32692" s="47"/>
    </row>
    <row r="32693" spans="45:45">
      <c r="AS32693" s="47"/>
    </row>
    <row r="32694" spans="45:45">
      <c r="AS32694" s="47"/>
    </row>
    <row r="32695" spans="45:45">
      <c r="AS32695" s="47"/>
    </row>
    <row r="32696" spans="45:45">
      <c r="AS32696" s="47"/>
    </row>
    <row r="32697" spans="45:45">
      <c r="AS32697" s="47"/>
    </row>
    <row r="32698" spans="45:45">
      <c r="AS32698" s="47"/>
    </row>
    <row r="32699" spans="45:45">
      <c r="AS32699" s="47"/>
    </row>
    <row r="32700" spans="45:45">
      <c r="AS32700" s="47"/>
    </row>
    <row r="32701" spans="45:45">
      <c r="AS32701" s="47"/>
    </row>
    <row r="32702" spans="45:45">
      <c r="AS32702" s="47"/>
    </row>
    <row r="32703" spans="45:45">
      <c r="AS32703" s="47"/>
    </row>
    <row r="32704" spans="45:45">
      <c r="AS32704" s="47"/>
    </row>
    <row r="32705" spans="45:45">
      <c r="AS32705" s="47"/>
    </row>
    <row r="32706" spans="45:45">
      <c r="AS32706" s="47"/>
    </row>
    <row r="32707" spans="45:45">
      <c r="AS32707" s="47"/>
    </row>
    <row r="32708" spans="45:45">
      <c r="AS32708" s="47"/>
    </row>
    <row r="32709" spans="45:45">
      <c r="AS32709" s="47"/>
    </row>
    <row r="32710" spans="45:45">
      <c r="AS32710" s="47"/>
    </row>
    <row r="32711" spans="45:45">
      <c r="AS32711" s="47"/>
    </row>
    <row r="32712" spans="45:45">
      <c r="AS32712" s="47"/>
    </row>
    <row r="32713" spans="45:45">
      <c r="AS32713" s="47"/>
    </row>
    <row r="32714" spans="45:45">
      <c r="AS32714" s="47"/>
    </row>
    <row r="32715" spans="45:45">
      <c r="AS32715" s="47"/>
    </row>
    <row r="32716" spans="45:45">
      <c r="AS32716" s="47"/>
    </row>
    <row r="32717" spans="45:45">
      <c r="AS32717" s="47"/>
    </row>
    <row r="32718" spans="45:45">
      <c r="AS32718" s="47"/>
    </row>
    <row r="32719" spans="45:45">
      <c r="AS32719" s="47"/>
    </row>
    <row r="32720" spans="45:45">
      <c r="AS32720" s="47"/>
    </row>
    <row r="32721" spans="45:45">
      <c r="AS32721" s="47"/>
    </row>
    <row r="32722" spans="45:45">
      <c r="AS32722" s="47"/>
    </row>
    <row r="32723" spans="45:45">
      <c r="AS32723" s="47"/>
    </row>
    <row r="32724" spans="45:45">
      <c r="AS32724" s="47"/>
    </row>
    <row r="32725" spans="45:45">
      <c r="AS32725" s="47"/>
    </row>
    <row r="32726" spans="45:45">
      <c r="AS32726" s="47"/>
    </row>
    <row r="32727" spans="45:45">
      <c r="AS32727" s="47"/>
    </row>
    <row r="32728" spans="45:45">
      <c r="AS32728" s="47"/>
    </row>
    <row r="32729" spans="45:45">
      <c r="AS32729" s="47"/>
    </row>
    <row r="32730" spans="45:45">
      <c r="AS32730" s="47"/>
    </row>
    <row r="32731" spans="45:45">
      <c r="AS32731" s="47"/>
    </row>
    <row r="32732" spans="45:45">
      <c r="AS32732" s="47"/>
    </row>
    <row r="32733" spans="45:45">
      <c r="AS32733" s="47"/>
    </row>
    <row r="32734" spans="45:45">
      <c r="AS32734" s="47"/>
    </row>
    <row r="32735" spans="45:45">
      <c r="AS32735" s="47"/>
    </row>
    <row r="32736" spans="45:45">
      <c r="AS32736" s="47"/>
    </row>
    <row r="32737" spans="45:45">
      <c r="AS32737" s="47"/>
    </row>
    <row r="32738" spans="45:45">
      <c r="AS32738" s="47"/>
    </row>
    <row r="32739" spans="45:45">
      <c r="AS32739" s="47"/>
    </row>
    <row r="32740" spans="45:45">
      <c r="AS32740" s="47"/>
    </row>
    <row r="32741" spans="45:45">
      <c r="AS32741" s="47"/>
    </row>
    <row r="32742" spans="45:45">
      <c r="AS32742" s="47"/>
    </row>
    <row r="32743" spans="45:45">
      <c r="AS32743" s="47"/>
    </row>
    <row r="32744" spans="45:45">
      <c r="AS32744" s="47"/>
    </row>
    <row r="32745" spans="45:45">
      <c r="AS32745" s="47"/>
    </row>
    <row r="32746" spans="45:45">
      <c r="AS32746" s="47"/>
    </row>
    <row r="32747" spans="45:45">
      <c r="AS32747" s="47"/>
    </row>
    <row r="32748" spans="45:45">
      <c r="AS32748" s="47"/>
    </row>
    <row r="32749" spans="45:45">
      <c r="AS32749" s="47"/>
    </row>
    <row r="32750" spans="45:45">
      <c r="AS32750" s="47"/>
    </row>
    <row r="32751" spans="45:45">
      <c r="AS32751" s="47"/>
    </row>
    <row r="32752" spans="45:45">
      <c r="AS32752" s="47"/>
    </row>
    <row r="32753" spans="45:45">
      <c r="AS32753" s="47"/>
    </row>
    <row r="32754" spans="45:45">
      <c r="AS32754" s="47"/>
    </row>
    <row r="32755" spans="45:45">
      <c r="AS32755" s="47"/>
    </row>
    <row r="32756" spans="45:45">
      <c r="AS32756" s="47"/>
    </row>
    <row r="32757" spans="45:45">
      <c r="AS32757" s="47"/>
    </row>
    <row r="32758" spans="45:45">
      <c r="AS32758" s="47"/>
    </row>
    <row r="32759" spans="45:45">
      <c r="AS32759" s="47"/>
    </row>
    <row r="32760" spans="45:45">
      <c r="AS32760" s="47"/>
    </row>
    <row r="32761" spans="45:45">
      <c r="AS32761" s="47"/>
    </row>
    <row r="32762" spans="45:45">
      <c r="AS32762" s="47"/>
    </row>
    <row r="32763" spans="45:45">
      <c r="AS32763" s="47"/>
    </row>
    <row r="32764" spans="45:45">
      <c r="AS32764" s="47"/>
    </row>
    <row r="32765" spans="45:45">
      <c r="AS32765" s="47"/>
    </row>
    <row r="32766" spans="45:45">
      <c r="AS32766" s="47"/>
    </row>
    <row r="32767" spans="45:45">
      <c r="AS32767" s="47"/>
    </row>
    <row r="32768" spans="45:45">
      <c r="AS32768" s="47"/>
    </row>
    <row r="32769" spans="45:45">
      <c r="AS32769" s="47"/>
    </row>
    <row r="32770" spans="45:45">
      <c r="AS32770" s="47"/>
    </row>
    <row r="32771" spans="45:45">
      <c r="AS32771" s="47"/>
    </row>
    <row r="32772" spans="45:45">
      <c r="AS32772" s="47"/>
    </row>
    <row r="32773" spans="45:45">
      <c r="AS32773" s="47"/>
    </row>
    <row r="32774" spans="45:45">
      <c r="AS32774" s="47"/>
    </row>
    <row r="32775" spans="45:45">
      <c r="AS32775" s="47"/>
    </row>
    <row r="32776" spans="45:45">
      <c r="AS32776" s="47"/>
    </row>
    <row r="32777" spans="45:45">
      <c r="AS32777" s="47"/>
    </row>
    <row r="32778" spans="45:45">
      <c r="AS32778" s="47"/>
    </row>
    <row r="32779" spans="45:45">
      <c r="AS32779" s="47"/>
    </row>
    <row r="32780" spans="45:45">
      <c r="AS32780" s="47"/>
    </row>
    <row r="32781" spans="45:45">
      <c r="AS32781" s="47"/>
    </row>
    <row r="32782" spans="45:45">
      <c r="AS32782" s="47"/>
    </row>
    <row r="32783" spans="45:45">
      <c r="AS32783" s="47"/>
    </row>
    <row r="32784" spans="45:45">
      <c r="AS32784" s="47"/>
    </row>
    <row r="32785" spans="45:45">
      <c r="AS32785" s="47"/>
    </row>
    <row r="32786" spans="45:45">
      <c r="AS32786" s="47"/>
    </row>
    <row r="32787" spans="45:45">
      <c r="AS32787" s="47"/>
    </row>
    <row r="32788" spans="45:45">
      <c r="AS32788" s="47"/>
    </row>
    <row r="32789" spans="45:45">
      <c r="AS32789" s="47"/>
    </row>
    <row r="32790" spans="45:45">
      <c r="AS32790" s="47"/>
    </row>
    <row r="32791" spans="45:45">
      <c r="AS32791" s="47"/>
    </row>
    <row r="32792" spans="45:45">
      <c r="AS32792" s="47"/>
    </row>
    <row r="32793" spans="45:45">
      <c r="AS32793" s="47"/>
    </row>
    <row r="32794" spans="45:45">
      <c r="AS32794" s="47"/>
    </row>
    <row r="32795" spans="45:45">
      <c r="AS32795" s="47"/>
    </row>
    <row r="32796" spans="45:45">
      <c r="AS32796" s="47"/>
    </row>
    <row r="32797" spans="45:45">
      <c r="AS32797" s="47"/>
    </row>
    <row r="32798" spans="45:45">
      <c r="AS32798" s="47"/>
    </row>
    <row r="32799" spans="45:45">
      <c r="AS32799" s="47"/>
    </row>
    <row r="32800" spans="45:45">
      <c r="AS32800" s="47"/>
    </row>
    <row r="32801" spans="45:45">
      <c r="AS32801" s="47"/>
    </row>
    <row r="32802" spans="45:45">
      <c r="AS32802" s="47"/>
    </row>
    <row r="32803" spans="45:45">
      <c r="AS32803" s="47"/>
    </row>
    <row r="32804" spans="45:45">
      <c r="AS32804" s="47"/>
    </row>
    <row r="32805" spans="45:45">
      <c r="AS32805" s="47"/>
    </row>
    <row r="32806" spans="45:45">
      <c r="AS32806" s="47"/>
    </row>
    <row r="32807" spans="45:45">
      <c r="AS32807" s="47"/>
    </row>
    <row r="32808" spans="45:45">
      <c r="AS32808" s="47"/>
    </row>
    <row r="32809" spans="45:45">
      <c r="AS32809" s="47"/>
    </row>
    <row r="32810" spans="45:45">
      <c r="AS32810" s="47"/>
    </row>
    <row r="32811" spans="45:45">
      <c r="AS32811" s="47"/>
    </row>
    <row r="32812" spans="45:45">
      <c r="AS32812" s="47"/>
    </row>
    <row r="32813" spans="45:45">
      <c r="AS32813" s="47"/>
    </row>
    <row r="32814" spans="45:45">
      <c r="AS32814" s="47"/>
    </row>
    <row r="32815" spans="45:45">
      <c r="AS32815" s="47"/>
    </row>
    <row r="32816" spans="45:45">
      <c r="AS32816" s="47"/>
    </row>
    <row r="32817" spans="45:45">
      <c r="AS32817" s="47"/>
    </row>
    <row r="32818" spans="45:45">
      <c r="AS32818" s="47"/>
    </row>
    <row r="32819" spans="45:45">
      <c r="AS32819" s="47"/>
    </row>
    <row r="32820" spans="45:45">
      <c r="AS32820" s="47"/>
    </row>
    <row r="32821" spans="45:45">
      <c r="AS32821" s="47"/>
    </row>
    <row r="32822" spans="45:45">
      <c r="AS32822" s="47"/>
    </row>
    <row r="32823" spans="45:45">
      <c r="AS32823" s="47"/>
    </row>
    <row r="32824" spans="45:45">
      <c r="AS32824" s="47"/>
    </row>
    <row r="32825" spans="45:45">
      <c r="AS32825" s="47"/>
    </row>
    <row r="32826" spans="45:45">
      <c r="AS32826" s="47"/>
    </row>
    <row r="32827" spans="45:45">
      <c r="AS32827" s="47"/>
    </row>
    <row r="32828" spans="45:45">
      <c r="AS32828" s="47"/>
    </row>
    <row r="32829" spans="45:45">
      <c r="AS32829" s="47"/>
    </row>
    <row r="32830" spans="45:45">
      <c r="AS32830" s="47"/>
    </row>
    <row r="32831" spans="45:45">
      <c r="AS32831" s="47"/>
    </row>
    <row r="32832" spans="45:45">
      <c r="AS32832" s="47"/>
    </row>
    <row r="32833" spans="45:45">
      <c r="AS32833" s="47"/>
    </row>
    <row r="32834" spans="45:45">
      <c r="AS32834" s="47"/>
    </row>
    <row r="32835" spans="45:45">
      <c r="AS32835" s="47"/>
    </row>
    <row r="32836" spans="45:45">
      <c r="AS32836" s="47"/>
    </row>
    <row r="32837" spans="45:45">
      <c r="AS32837" s="47"/>
    </row>
    <row r="32838" spans="45:45">
      <c r="AS32838" s="47"/>
    </row>
    <row r="32839" spans="45:45">
      <c r="AS32839" s="47"/>
    </row>
    <row r="32840" spans="45:45">
      <c r="AS32840" s="47"/>
    </row>
    <row r="32841" spans="45:45">
      <c r="AS32841" s="47"/>
    </row>
    <row r="32842" spans="45:45">
      <c r="AS32842" s="47"/>
    </row>
    <row r="32843" spans="45:45">
      <c r="AS32843" s="47"/>
    </row>
    <row r="32844" spans="45:45">
      <c r="AS32844" s="47"/>
    </row>
    <row r="32845" spans="45:45">
      <c r="AS32845" s="47"/>
    </row>
    <row r="32846" spans="45:45">
      <c r="AS32846" s="47"/>
    </row>
    <row r="32847" spans="45:45">
      <c r="AS32847" s="47"/>
    </row>
    <row r="32848" spans="45:45">
      <c r="AS32848" s="47"/>
    </row>
    <row r="32849" spans="45:45">
      <c r="AS32849" s="47"/>
    </row>
    <row r="32850" spans="45:45">
      <c r="AS32850" s="47"/>
    </row>
    <row r="32851" spans="45:45">
      <c r="AS32851" s="47"/>
    </row>
    <row r="32852" spans="45:45">
      <c r="AS32852" s="47"/>
    </row>
    <row r="32853" spans="45:45">
      <c r="AS32853" s="47"/>
    </row>
    <row r="32854" spans="45:45">
      <c r="AS32854" s="47"/>
    </row>
    <row r="32855" spans="45:45">
      <c r="AS32855" s="47"/>
    </row>
    <row r="32856" spans="45:45">
      <c r="AS32856" s="47"/>
    </row>
    <row r="32857" spans="45:45">
      <c r="AS32857" s="47"/>
    </row>
    <row r="32858" spans="45:45">
      <c r="AS32858" s="47"/>
    </row>
    <row r="32859" spans="45:45">
      <c r="AS32859" s="47"/>
    </row>
    <row r="32860" spans="45:45">
      <c r="AS32860" s="47"/>
    </row>
    <row r="32861" spans="45:45">
      <c r="AS32861" s="47"/>
    </row>
    <row r="32862" spans="45:45">
      <c r="AS32862" s="47"/>
    </row>
    <row r="32863" spans="45:45">
      <c r="AS32863" s="47"/>
    </row>
    <row r="32864" spans="45:45">
      <c r="AS32864" s="47"/>
    </row>
    <row r="32865" spans="45:45">
      <c r="AS32865" s="47"/>
    </row>
    <row r="32866" spans="45:45">
      <c r="AS32866" s="47"/>
    </row>
    <row r="32867" spans="45:45">
      <c r="AS32867" s="47"/>
    </row>
    <row r="32868" spans="45:45">
      <c r="AS32868" s="47"/>
    </row>
    <row r="32869" spans="45:45">
      <c r="AS32869" s="47"/>
    </row>
    <row r="32870" spans="45:45">
      <c r="AS32870" s="47"/>
    </row>
    <row r="32871" spans="45:45">
      <c r="AS32871" s="47"/>
    </row>
    <row r="32872" spans="45:45">
      <c r="AS32872" s="47"/>
    </row>
    <row r="32873" spans="45:45">
      <c r="AS32873" s="47"/>
    </row>
    <row r="32874" spans="45:45">
      <c r="AS32874" s="47"/>
    </row>
    <row r="32875" spans="45:45">
      <c r="AS32875" s="47"/>
    </row>
    <row r="32876" spans="45:45">
      <c r="AS32876" s="47"/>
    </row>
    <row r="32877" spans="45:45">
      <c r="AS32877" s="47"/>
    </row>
    <row r="32878" spans="45:45">
      <c r="AS32878" s="47"/>
    </row>
    <row r="32879" spans="45:45">
      <c r="AS32879" s="47"/>
    </row>
    <row r="32880" spans="45:45">
      <c r="AS32880" s="47"/>
    </row>
    <row r="32881" spans="45:45">
      <c r="AS32881" s="47"/>
    </row>
    <row r="32882" spans="45:45">
      <c r="AS32882" s="47"/>
    </row>
    <row r="32883" spans="45:45">
      <c r="AS32883" s="47"/>
    </row>
    <row r="32884" spans="45:45">
      <c r="AS32884" s="47"/>
    </row>
    <row r="32885" spans="45:45">
      <c r="AS32885" s="47"/>
    </row>
    <row r="32886" spans="45:45">
      <c r="AS32886" s="47"/>
    </row>
    <row r="32887" spans="45:45">
      <c r="AS32887" s="47"/>
    </row>
    <row r="32888" spans="45:45">
      <c r="AS32888" s="47"/>
    </row>
    <row r="32889" spans="45:45">
      <c r="AS32889" s="47"/>
    </row>
    <row r="32890" spans="45:45">
      <c r="AS32890" s="47"/>
    </row>
    <row r="32891" spans="45:45">
      <c r="AS32891" s="47"/>
    </row>
    <row r="32892" spans="45:45">
      <c r="AS32892" s="47"/>
    </row>
    <row r="32893" spans="45:45">
      <c r="AS32893" s="47"/>
    </row>
    <row r="32894" spans="45:45">
      <c r="AS32894" s="47"/>
    </row>
    <row r="32895" spans="45:45">
      <c r="AS32895" s="47"/>
    </row>
    <row r="32896" spans="45:45">
      <c r="AS32896" s="47"/>
    </row>
    <row r="32897" spans="45:45">
      <c r="AS32897" s="47"/>
    </row>
    <row r="32898" spans="45:45">
      <c r="AS32898" s="47"/>
    </row>
    <row r="32899" spans="45:45">
      <c r="AS32899" s="47"/>
    </row>
    <row r="32900" spans="45:45">
      <c r="AS32900" s="47"/>
    </row>
    <row r="32901" spans="45:45">
      <c r="AS32901" s="47"/>
    </row>
    <row r="32902" spans="45:45">
      <c r="AS32902" s="47"/>
    </row>
    <row r="32903" spans="45:45">
      <c r="AS32903" s="47"/>
    </row>
    <row r="32904" spans="45:45">
      <c r="AS32904" s="47"/>
    </row>
    <row r="32905" spans="45:45">
      <c r="AS32905" s="47"/>
    </row>
    <row r="32906" spans="45:45">
      <c r="AS32906" s="47"/>
    </row>
    <row r="32907" spans="45:45">
      <c r="AS32907" s="47"/>
    </row>
    <row r="32908" spans="45:45">
      <c r="AS32908" s="47"/>
    </row>
    <row r="32909" spans="45:45">
      <c r="AS32909" s="47"/>
    </row>
    <row r="32910" spans="45:45">
      <c r="AS32910" s="47"/>
    </row>
    <row r="32911" spans="45:45">
      <c r="AS32911" s="47"/>
    </row>
    <row r="32912" spans="45:45">
      <c r="AS32912" s="47"/>
    </row>
    <row r="32913" spans="45:45">
      <c r="AS32913" s="47"/>
    </row>
    <row r="32914" spans="45:45">
      <c r="AS32914" s="47"/>
    </row>
    <row r="32915" spans="45:45">
      <c r="AS32915" s="47"/>
    </row>
    <row r="32916" spans="45:45">
      <c r="AS32916" s="47"/>
    </row>
    <row r="32917" spans="45:45">
      <c r="AS32917" s="47"/>
    </row>
    <row r="32918" spans="45:45">
      <c r="AS32918" s="47"/>
    </row>
    <row r="32919" spans="45:45">
      <c r="AS32919" s="47"/>
    </row>
    <row r="32920" spans="45:45">
      <c r="AS32920" s="47"/>
    </row>
    <row r="32921" spans="45:45">
      <c r="AS32921" s="47"/>
    </row>
    <row r="32922" spans="45:45">
      <c r="AS32922" s="47"/>
    </row>
    <row r="32923" spans="45:45">
      <c r="AS32923" s="47"/>
    </row>
    <row r="32924" spans="45:45">
      <c r="AS32924" s="47"/>
    </row>
    <row r="32925" spans="45:45">
      <c r="AS32925" s="47"/>
    </row>
    <row r="32926" spans="45:45">
      <c r="AS32926" s="47"/>
    </row>
    <row r="32927" spans="45:45">
      <c r="AS32927" s="47"/>
    </row>
    <row r="32928" spans="45:45">
      <c r="AS32928" s="47"/>
    </row>
    <row r="32929" spans="45:45">
      <c r="AS32929" s="47"/>
    </row>
    <row r="32930" spans="45:45">
      <c r="AS32930" s="47"/>
    </row>
    <row r="32931" spans="45:45">
      <c r="AS32931" s="47"/>
    </row>
    <row r="32932" spans="45:45">
      <c r="AS32932" s="47"/>
    </row>
    <row r="32933" spans="45:45">
      <c r="AS32933" s="47"/>
    </row>
    <row r="32934" spans="45:45">
      <c r="AS32934" s="47"/>
    </row>
    <row r="32935" spans="45:45">
      <c r="AS32935" s="47"/>
    </row>
    <row r="32936" spans="45:45">
      <c r="AS32936" s="47"/>
    </row>
    <row r="32937" spans="45:45">
      <c r="AS32937" s="47"/>
    </row>
    <row r="32938" spans="45:45">
      <c r="AS32938" s="47"/>
    </row>
    <row r="32939" spans="45:45">
      <c r="AS32939" s="47"/>
    </row>
    <row r="32940" spans="45:45">
      <c r="AS32940" s="47"/>
    </row>
    <row r="32941" spans="45:45">
      <c r="AS32941" s="47"/>
    </row>
    <row r="32942" spans="45:45">
      <c r="AS32942" s="47"/>
    </row>
    <row r="32943" spans="45:45">
      <c r="AS32943" s="47"/>
    </row>
    <row r="32944" spans="45:45">
      <c r="AS32944" s="47"/>
    </row>
    <row r="32945" spans="45:45">
      <c r="AS32945" s="47"/>
    </row>
    <row r="32946" spans="45:45">
      <c r="AS32946" s="47"/>
    </row>
    <row r="32947" spans="45:45">
      <c r="AS32947" s="47"/>
    </row>
    <row r="32948" spans="45:45">
      <c r="AS32948" s="47"/>
    </row>
    <row r="32949" spans="45:45">
      <c r="AS32949" s="47"/>
    </row>
    <row r="32950" spans="45:45">
      <c r="AS32950" s="47"/>
    </row>
    <row r="32951" spans="45:45">
      <c r="AS32951" s="47"/>
    </row>
    <row r="32952" spans="45:45">
      <c r="AS32952" s="47"/>
    </row>
    <row r="32953" spans="45:45">
      <c r="AS32953" s="47"/>
    </row>
    <row r="32954" spans="45:45">
      <c r="AS32954" s="47"/>
    </row>
    <row r="32955" spans="45:45">
      <c r="AS32955" s="47"/>
    </row>
    <row r="32956" spans="45:45">
      <c r="AS32956" s="47"/>
    </row>
    <row r="32957" spans="45:45">
      <c r="AS32957" s="47"/>
    </row>
    <row r="32958" spans="45:45">
      <c r="AS32958" s="47"/>
    </row>
    <row r="32959" spans="45:45">
      <c r="AS32959" s="47"/>
    </row>
    <row r="32960" spans="45:45">
      <c r="AS32960" s="47"/>
    </row>
    <row r="32961" spans="45:45">
      <c r="AS32961" s="47"/>
    </row>
    <row r="32962" spans="45:45">
      <c r="AS32962" s="47"/>
    </row>
    <row r="32963" spans="45:45">
      <c r="AS32963" s="47"/>
    </row>
    <row r="32964" spans="45:45">
      <c r="AS32964" s="47"/>
    </row>
    <row r="32965" spans="45:45">
      <c r="AS32965" s="47"/>
    </row>
    <row r="32966" spans="45:45">
      <c r="AS32966" s="47"/>
    </row>
    <row r="32967" spans="45:45">
      <c r="AS32967" s="47"/>
    </row>
    <row r="32968" spans="45:45">
      <c r="AS32968" s="47"/>
    </row>
    <row r="32969" spans="45:45">
      <c r="AS32969" s="47"/>
    </row>
    <row r="32970" spans="45:45">
      <c r="AS32970" s="47"/>
    </row>
    <row r="32971" spans="45:45">
      <c r="AS32971" s="47"/>
    </row>
    <row r="32972" spans="45:45">
      <c r="AS32972" s="47"/>
    </row>
    <row r="32973" spans="45:45">
      <c r="AS32973" s="47"/>
    </row>
    <row r="32974" spans="45:45">
      <c r="AS32974" s="47"/>
    </row>
    <row r="32975" spans="45:45">
      <c r="AS32975" s="47"/>
    </row>
    <row r="32976" spans="45:45">
      <c r="AS32976" s="47"/>
    </row>
    <row r="32977" spans="45:45">
      <c r="AS32977" s="47"/>
    </row>
    <row r="32978" spans="45:45">
      <c r="AS32978" s="47"/>
    </row>
    <row r="32979" spans="45:45">
      <c r="AS32979" s="47"/>
    </row>
    <row r="32980" spans="45:45">
      <c r="AS32980" s="47"/>
    </row>
    <row r="32981" spans="45:45">
      <c r="AS32981" s="47"/>
    </row>
    <row r="32982" spans="45:45">
      <c r="AS32982" s="47"/>
    </row>
    <row r="32983" spans="45:45">
      <c r="AS32983" s="47"/>
    </row>
    <row r="32984" spans="45:45">
      <c r="AS32984" s="47"/>
    </row>
    <row r="32985" spans="45:45">
      <c r="AS32985" s="47"/>
    </row>
    <row r="32986" spans="45:45">
      <c r="AS32986" s="47"/>
    </row>
    <row r="32987" spans="45:45">
      <c r="AS32987" s="47"/>
    </row>
    <row r="32988" spans="45:45">
      <c r="AS32988" s="47"/>
    </row>
    <row r="32989" spans="45:45">
      <c r="AS32989" s="47"/>
    </row>
    <row r="32990" spans="45:45">
      <c r="AS32990" s="47"/>
    </row>
    <row r="32991" spans="45:45">
      <c r="AS32991" s="47"/>
    </row>
    <row r="32992" spans="45:45">
      <c r="AS32992" s="47"/>
    </row>
    <row r="32993" spans="45:45">
      <c r="AS32993" s="47"/>
    </row>
    <row r="32994" spans="45:45">
      <c r="AS32994" s="47"/>
    </row>
    <row r="32995" spans="45:45">
      <c r="AS32995" s="47"/>
    </row>
    <row r="32996" spans="45:45">
      <c r="AS32996" s="47"/>
    </row>
    <row r="32997" spans="45:45">
      <c r="AS32997" s="47"/>
    </row>
    <row r="32998" spans="45:45">
      <c r="AS32998" s="47"/>
    </row>
    <row r="32999" spans="45:45">
      <c r="AS32999" s="47"/>
    </row>
    <row r="33000" spans="45:45">
      <c r="AS33000" s="47"/>
    </row>
    <row r="33001" spans="45:45">
      <c r="AS33001" s="47"/>
    </row>
    <row r="33002" spans="45:45">
      <c r="AS33002" s="47"/>
    </row>
    <row r="33003" spans="45:45">
      <c r="AS33003" s="47"/>
    </row>
    <row r="33004" spans="45:45">
      <c r="AS33004" s="47"/>
    </row>
    <row r="33005" spans="45:45">
      <c r="AS33005" s="47"/>
    </row>
    <row r="33006" spans="45:45">
      <c r="AS33006" s="47"/>
    </row>
    <row r="33007" spans="45:45">
      <c r="AS33007" s="47"/>
    </row>
    <row r="33008" spans="45:45">
      <c r="AS33008" s="47"/>
    </row>
    <row r="33009" spans="45:45">
      <c r="AS33009" s="47"/>
    </row>
    <row r="33010" spans="45:45">
      <c r="AS33010" s="47"/>
    </row>
    <row r="33011" spans="45:45">
      <c r="AS33011" s="47"/>
    </row>
    <row r="33012" spans="45:45">
      <c r="AS33012" s="47"/>
    </row>
    <row r="33013" spans="45:45">
      <c r="AS33013" s="47"/>
    </row>
    <row r="33014" spans="45:45">
      <c r="AS33014" s="47"/>
    </row>
    <row r="33015" spans="45:45">
      <c r="AS33015" s="47"/>
    </row>
    <row r="33016" spans="45:45">
      <c r="AS33016" s="47"/>
    </row>
    <row r="33017" spans="45:45">
      <c r="AS33017" s="47"/>
    </row>
    <row r="33018" spans="45:45">
      <c r="AS33018" s="47"/>
    </row>
    <row r="33019" spans="45:45">
      <c r="AS33019" s="47"/>
    </row>
    <row r="33020" spans="45:45">
      <c r="AS33020" s="47"/>
    </row>
    <row r="33021" spans="45:45">
      <c r="AS33021" s="47"/>
    </row>
    <row r="33022" spans="45:45">
      <c r="AS33022" s="47"/>
    </row>
    <row r="33023" spans="45:45">
      <c r="AS33023" s="47"/>
    </row>
    <row r="33024" spans="45:45">
      <c r="AS33024" s="47"/>
    </row>
    <row r="33025" spans="45:45">
      <c r="AS33025" s="47"/>
    </row>
    <row r="33026" spans="45:45">
      <c r="AS33026" s="47"/>
    </row>
    <row r="33027" spans="45:45">
      <c r="AS33027" s="47"/>
    </row>
    <row r="33028" spans="45:45">
      <c r="AS33028" s="47"/>
    </row>
    <row r="33029" spans="45:45">
      <c r="AS33029" s="47"/>
    </row>
    <row r="33030" spans="45:45">
      <c r="AS33030" s="47"/>
    </row>
    <row r="33031" spans="45:45">
      <c r="AS33031" s="47"/>
    </row>
    <row r="33032" spans="45:45">
      <c r="AS33032" s="47"/>
    </row>
    <row r="33033" spans="45:45">
      <c r="AS33033" s="47"/>
    </row>
    <row r="33034" spans="45:45">
      <c r="AS33034" s="47"/>
    </row>
    <row r="33035" spans="45:45">
      <c r="AS33035" s="47"/>
    </row>
    <row r="33036" spans="45:45">
      <c r="AS33036" s="47"/>
    </row>
    <row r="33037" spans="45:45">
      <c r="AS33037" s="47"/>
    </row>
    <row r="33038" spans="45:45">
      <c r="AS33038" s="47"/>
    </row>
    <row r="33039" spans="45:45">
      <c r="AS33039" s="47"/>
    </row>
    <row r="33040" spans="45:45">
      <c r="AS33040" s="47"/>
    </row>
    <row r="33041" spans="45:45">
      <c r="AS33041" s="47"/>
    </row>
    <row r="33042" spans="45:45">
      <c r="AS33042" s="47"/>
    </row>
    <row r="33043" spans="45:45">
      <c r="AS33043" s="47"/>
    </row>
    <row r="33044" spans="45:45">
      <c r="AS33044" s="47"/>
    </row>
    <row r="33045" spans="45:45">
      <c r="AS33045" s="47"/>
    </row>
    <row r="33046" spans="45:45">
      <c r="AS33046" s="47"/>
    </row>
    <row r="33047" spans="45:45">
      <c r="AS33047" s="47"/>
    </row>
    <row r="33048" spans="45:45">
      <c r="AS33048" s="47"/>
    </row>
    <row r="33049" spans="45:45">
      <c r="AS33049" s="47"/>
    </row>
    <row r="33050" spans="45:45">
      <c r="AS33050" s="47"/>
    </row>
    <row r="33051" spans="45:45">
      <c r="AS33051" s="47"/>
    </row>
    <row r="33052" spans="45:45">
      <c r="AS33052" s="47"/>
    </row>
    <row r="33053" spans="45:45">
      <c r="AS33053" s="47"/>
    </row>
    <row r="33054" spans="45:45">
      <c r="AS33054" s="47"/>
    </row>
    <row r="33055" spans="45:45">
      <c r="AS33055" s="47"/>
    </row>
    <row r="33056" spans="45:45">
      <c r="AS33056" s="47"/>
    </row>
    <row r="33057" spans="45:45">
      <c r="AS33057" s="47"/>
    </row>
    <row r="33058" spans="45:45">
      <c r="AS33058" s="47"/>
    </row>
    <row r="33059" spans="45:45">
      <c r="AS33059" s="47"/>
    </row>
    <row r="33060" spans="45:45">
      <c r="AS33060" s="47"/>
    </row>
    <row r="33061" spans="45:45">
      <c r="AS33061" s="47"/>
    </row>
    <row r="33062" spans="45:45">
      <c r="AS33062" s="47"/>
    </row>
    <row r="33063" spans="45:45">
      <c r="AS33063" s="47"/>
    </row>
    <row r="33064" spans="45:45">
      <c r="AS33064" s="47"/>
    </row>
    <row r="33065" spans="45:45">
      <c r="AS33065" s="47"/>
    </row>
    <row r="33066" spans="45:45">
      <c r="AS33066" s="47"/>
    </row>
    <row r="33067" spans="45:45">
      <c r="AS33067" s="47"/>
    </row>
    <row r="33068" spans="45:45">
      <c r="AS33068" s="47"/>
    </row>
    <row r="33069" spans="45:45">
      <c r="AS33069" s="47"/>
    </row>
    <row r="33070" spans="45:45">
      <c r="AS33070" s="47"/>
    </row>
    <row r="33071" spans="45:45">
      <c r="AS33071" s="47"/>
    </row>
    <row r="33072" spans="45:45">
      <c r="AS33072" s="47"/>
    </row>
    <row r="33073" spans="45:45">
      <c r="AS33073" s="47"/>
    </row>
    <row r="33074" spans="45:45">
      <c r="AS33074" s="47"/>
    </row>
    <row r="33075" spans="45:45">
      <c r="AS33075" s="47"/>
    </row>
    <row r="33076" spans="45:45">
      <c r="AS33076" s="47"/>
    </row>
    <row r="33077" spans="45:45">
      <c r="AS33077" s="47"/>
    </row>
    <row r="33078" spans="45:45">
      <c r="AS33078" s="47"/>
    </row>
    <row r="33079" spans="45:45">
      <c r="AS33079" s="47"/>
    </row>
    <row r="33080" spans="45:45">
      <c r="AS33080" s="47"/>
    </row>
    <row r="33081" spans="45:45">
      <c r="AS33081" s="47"/>
    </row>
    <row r="33082" spans="45:45">
      <c r="AS33082" s="47"/>
    </row>
    <row r="33083" spans="45:45">
      <c r="AS33083" s="47"/>
    </row>
    <row r="33084" spans="45:45">
      <c r="AS33084" s="47"/>
    </row>
    <row r="33085" spans="45:45">
      <c r="AS33085" s="47"/>
    </row>
    <row r="33086" spans="45:45">
      <c r="AS33086" s="47"/>
    </row>
    <row r="33087" spans="45:45">
      <c r="AS33087" s="47"/>
    </row>
    <row r="33088" spans="45:45">
      <c r="AS33088" s="47"/>
    </row>
    <row r="33089" spans="45:45">
      <c r="AS33089" s="47"/>
    </row>
    <row r="33090" spans="45:45">
      <c r="AS33090" s="47"/>
    </row>
    <row r="33091" spans="45:45">
      <c r="AS33091" s="47"/>
    </row>
    <row r="33092" spans="45:45">
      <c r="AS33092" s="47"/>
    </row>
    <row r="33093" spans="45:45">
      <c r="AS33093" s="47"/>
    </row>
    <row r="33094" spans="45:45">
      <c r="AS33094" s="47"/>
    </row>
    <row r="33095" spans="45:45">
      <c r="AS33095" s="47"/>
    </row>
    <row r="33096" spans="45:45">
      <c r="AS33096" s="47"/>
    </row>
    <row r="33097" spans="45:45">
      <c r="AS33097" s="47"/>
    </row>
    <row r="33098" spans="45:45">
      <c r="AS33098" s="47"/>
    </row>
    <row r="33099" spans="45:45">
      <c r="AS33099" s="47"/>
    </row>
    <row r="33100" spans="45:45">
      <c r="AS33100" s="47"/>
    </row>
    <row r="33101" spans="45:45">
      <c r="AS33101" s="47"/>
    </row>
    <row r="33102" spans="45:45">
      <c r="AS33102" s="47"/>
    </row>
    <row r="33103" spans="45:45">
      <c r="AS33103" s="47"/>
    </row>
    <row r="33104" spans="45:45">
      <c r="AS33104" s="47"/>
    </row>
    <row r="33105" spans="45:45">
      <c r="AS33105" s="47"/>
    </row>
    <row r="33106" spans="45:45">
      <c r="AS33106" s="47"/>
    </row>
    <row r="33107" spans="45:45">
      <c r="AS33107" s="47"/>
    </row>
    <row r="33108" spans="45:45">
      <c r="AS33108" s="47"/>
    </row>
    <row r="33109" spans="45:45">
      <c r="AS33109" s="47"/>
    </row>
    <row r="33110" spans="45:45">
      <c r="AS33110" s="47"/>
    </row>
    <row r="33111" spans="45:45">
      <c r="AS33111" s="47"/>
    </row>
    <row r="33112" spans="45:45">
      <c r="AS33112" s="47"/>
    </row>
    <row r="33113" spans="45:45">
      <c r="AS33113" s="47"/>
    </row>
    <row r="33114" spans="45:45">
      <c r="AS33114" s="47"/>
    </row>
    <row r="33115" spans="45:45">
      <c r="AS33115" s="47"/>
    </row>
    <row r="33116" spans="45:45">
      <c r="AS33116" s="47"/>
    </row>
    <row r="33117" spans="45:45">
      <c r="AS33117" s="47"/>
    </row>
    <row r="33118" spans="45:45">
      <c r="AS33118" s="47"/>
    </row>
    <row r="33119" spans="45:45">
      <c r="AS33119" s="47"/>
    </row>
    <row r="33120" spans="45:45">
      <c r="AS33120" s="47"/>
    </row>
    <row r="33121" spans="45:45">
      <c r="AS33121" s="47"/>
    </row>
    <row r="33122" spans="45:45">
      <c r="AS33122" s="47"/>
    </row>
    <row r="33123" spans="45:45">
      <c r="AS33123" s="47"/>
    </row>
    <row r="33124" spans="45:45">
      <c r="AS33124" s="47"/>
    </row>
    <row r="33125" spans="45:45">
      <c r="AS33125" s="47"/>
    </row>
    <row r="33126" spans="45:45">
      <c r="AS33126" s="47"/>
    </row>
    <row r="33127" spans="45:45">
      <c r="AS33127" s="47"/>
    </row>
    <row r="33128" spans="45:45">
      <c r="AS33128" s="47"/>
    </row>
    <row r="33129" spans="45:45">
      <c r="AS33129" s="47"/>
    </row>
    <row r="33130" spans="45:45">
      <c r="AS33130" s="47"/>
    </row>
    <row r="33131" spans="45:45">
      <c r="AS33131" s="47"/>
    </row>
    <row r="33132" spans="45:45">
      <c r="AS33132" s="47"/>
    </row>
    <row r="33133" spans="45:45">
      <c r="AS33133" s="47"/>
    </row>
    <row r="33134" spans="45:45">
      <c r="AS33134" s="47"/>
    </row>
    <row r="33135" spans="45:45">
      <c r="AS33135" s="47"/>
    </row>
    <row r="33136" spans="45:45">
      <c r="AS33136" s="47"/>
    </row>
    <row r="33137" spans="45:45">
      <c r="AS33137" s="47"/>
    </row>
    <row r="33138" spans="45:45">
      <c r="AS33138" s="47"/>
    </row>
    <row r="33139" spans="45:45">
      <c r="AS33139" s="47"/>
    </row>
    <row r="33140" spans="45:45">
      <c r="AS33140" s="47"/>
    </row>
    <row r="33141" spans="45:45">
      <c r="AS33141" s="47"/>
    </row>
    <row r="33142" spans="45:45">
      <c r="AS33142" s="47"/>
    </row>
    <row r="33143" spans="45:45">
      <c r="AS33143" s="47"/>
    </row>
    <row r="33144" spans="45:45">
      <c r="AS33144" s="47"/>
    </row>
    <row r="33145" spans="45:45">
      <c r="AS33145" s="47"/>
    </row>
    <row r="33146" spans="45:45">
      <c r="AS33146" s="47"/>
    </row>
    <row r="33147" spans="45:45">
      <c r="AS33147" s="47"/>
    </row>
    <row r="33148" spans="45:45">
      <c r="AS33148" s="47"/>
    </row>
    <row r="33149" spans="45:45">
      <c r="AS33149" s="47"/>
    </row>
    <row r="33150" spans="45:45">
      <c r="AS33150" s="47"/>
    </row>
    <row r="33151" spans="45:45">
      <c r="AS33151" s="47"/>
    </row>
    <row r="33152" spans="45:45">
      <c r="AS33152" s="47"/>
    </row>
    <row r="33153" spans="45:45">
      <c r="AS33153" s="47"/>
    </row>
    <row r="33154" spans="45:45">
      <c r="AS33154" s="47"/>
    </row>
    <row r="33155" spans="45:45">
      <c r="AS33155" s="47"/>
    </row>
    <row r="33156" spans="45:45">
      <c r="AS33156" s="47"/>
    </row>
    <row r="33157" spans="45:45">
      <c r="AS33157" s="47"/>
    </row>
    <row r="33158" spans="45:45">
      <c r="AS33158" s="47"/>
    </row>
    <row r="33159" spans="45:45">
      <c r="AS33159" s="47"/>
    </row>
    <row r="33160" spans="45:45">
      <c r="AS33160" s="47"/>
    </row>
    <row r="33161" spans="45:45">
      <c r="AS33161" s="47"/>
    </row>
    <row r="33162" spans="45:45">
      <c r="AS33162" s="47"/>
    </row>
    <row r="33163" spans="45:45">
      <c r="AS33163" s="47"/>
    </row>
    <row r="33164" spans="45:45">
      <c r="AS33164" s="47"/>
    </row>
    <row r="33165" spans="45:45">
      <c r="AS33165" s="47"/>
    </row>
    <row r="33166" spans="45:45">
      <c r="AS33166" s="47"/>
    </row>
    <row r="33167" spans="45:45">
      <c r="AS33167" s="47"/>
    </row>
    <row r="33168" spans="45:45">
      <c r="AS33168" s="47"/>
    </row>
    <row r="33169" spans="45:45">
      <c r="AS33169" s="47"/>
    </row>
    <row r="33170" spans="45:45">
      <c r="AS33170" s="47"/>
    </row>
    <row r="33171" spans="45:45">
      <c r="AS33171" s="47"/>
    </row>
    <row r="33172" spans="45:45">
      <c r="AS33172" s="47"/>
    </row>
    <row r="33173" spans="45:45">
      <c r="AS33173" s="47"/>
    </row>
    <row r="33174" spans="45:45">
      <c r="AS33174" s="47"/>
    </row>
    <row r="33175" spans="45:45">
      <c r="AS33175" s="47"/>
    </row>
    <row r="33176" spans="45:45">
      <c r="AS33176" s="47"/>
    </row>
    <row r="33177" spans="45:45">
      <c r="AS33177" s="47"/>
    </row>
    <row r="33178" spans="45:45">
      <c r="AS33178" s="47"/>
    </row>
    <row r="33179" spans="45:45">
      <c r="AS33179" s="47"/>
    </row>
    <row r="33180" spans="45:45">
      <c r="AS33180" s="47"/>
    </row>
    <row r="33181" spans="45:45">
      <c r="AS33181" s="47"/>
    </row>
    <row r="33182" spans="45:45">
      <c r="AS33182" s="47"/>
    </row>
    <row r="33183" spans="45:45">
      <c r="AS33183" s="47"/>
    </row>
    <row r="33184" spans="45:45">
      <c r="AS33184" s="47"/>
    </row>
    <row r="33185" spans="45:45">
      <c r="AS33185" s="47"/>
    </row>
    <row r="33186" spans="45:45">
      <c r="AS33186" s="47"/>
    </row>
    <row r="33187" spans="45:45">
      <c r="AS33187" s="47"/>
    </row>
    <row r="33188" spans="45:45">
      <c r="AS33188" s="47"/>
    </row>
    <row r="33189" spans="45:45">
      <c r="AS33189" s="47"/>
    </row>
    <row r="33190" spans="45:45">
      <c r="AS33190" s="47"/>
    </row>
    <row r="33191" spans="45:45">
      <c r="AS33191" s="47"/>
    </row>
    <row r="33192" spans="45:45">
      <c r="AS33192" s="47"/>
    </row>
    <row r="33193" spans="45:45">
      <c r="AS33193" s="47"/>
    </row>
    <row r="33194" spans="45:45">
      <c r="AS33194" s="47"/>
    </row>
    <row r="33195" spans="45:45">
      <c r="AS33195" s="47"/>
    </row>
    <row r="33196" spans="45:45">
      <c r="AS33196" s="47"/>
    </row>
    <row r="33197" spans="45:45">
      <c r="AS33197" s="47"/>
    </row>
    <row r="33198" spans="45:45">
      <c r="AS33198" s="47"/>
    </row>
    <row r="33199" spans="45:45">
      <c r="AS33199" s="47"/>
    </row>
    <row r="33200" spans="45:45">
      <c r="AS33200" s="47"/>
    </row>
    <row r="33201" spans="45:45">
      <c r="AS33201" s="47"/>
    </row>
    <row r="33202" spans="45:45">
      <c r="AS33202" s="47"/>
    </row>
    <row r="33203" spans="45:45">
      <c r="AS33203" s="47"/>
    </row>
    <row r="33204" spans="45:45">
      <c r="AS33204" s="47"/>
    </row>
    <row r="33205" spans="45:45">
      <c r="AS33205" s="47"/>
    </row>
    <row r="33206" spans="45:45">
      <c r="AS33206" s="47"/>
    </row>
    <row r="33207" spans="45:45">
      <c r="AS33207" s="47"/>
    </row>
    <row r="33208" spans="45:45">
      <c r="AS33208" s="47"/>
    </row>
    <row r="33209" spans="45:45">
      <c r="AS33209" s="47"/>
    </row>
    <row r="33210" spans="45:45">
      <c r="AS33210" s="47"/>
    </row>
    <row r="33211" spans="45:45">
      <c r="AS33211" s="47"/>
    </row>
    <row r="33212" spans="45:45">
      <c r="AS33212" s="47"/>
    </row>
    <row r="33213" spans="45:45">
      <c r="AS33213" s="47"/>
    </row>
    <row r="33214" spans="45:45">
      <c r="AS33214" s="47"/>
    </row>
    <row r="33215" spans="45:45">
      <c r="AS33215" s="47"/>
    </row>
    <row r="33216" spans="45:45">
      <c r="AS33216" s="47"/>
    </row>
    <row r="33217" spans="45:45">
      <c r="AS33217" s="47"/>
    </row>
    <row r="33218" spans="45:45">
      <c r="AS33218" s="47"/>
    </row>
    <row r="33219" spans="45:45">
      <c r="AS33219" s="47"/>
    </row>
    <row r="33220" spans="45:45">
      <c r="AS33220" s="47"/>
    </row>
    <row r="33221" spans="45:45">
      <c r="AS33221" s="47"/>
    </row>
    <row r="33222" spans="45:45">
      <c r="AS33222" s="47"/>
    </row>
    <row r="33223" spans="45:45">
      <c r="AS33223" s="47"/>
    </row>
    <row r="33224" spans="45:45">
      <c r="AS33224" s="47"/>
    </row>
    <row r="33225" spans="45:45">
      <c r="AS33225" s="47"/>
    </row>
    <row r="33226" spans="45:45">
      <c r="AS33226" s="47"/>
    </row>
    <row r="33227" spans="45:45">
      <c r="AS33227" s="47"/>
    </row>
    <row r="33228" spans="45:45">
      <c r="AS33228" s="47"/>
    </row>
    <row r="33229" spans="45:45">
      <c r="AS33229" s="47"/>
    </row>
    <row r="33230" spans="45:45">
      <c r="AS33230" s="47"/>
    </row>
    <row r="33231" spans="45:45">
      <c r="AS33231" s="47"/>
    </row>
    <row r="33232" spans="45:45">
      <c r="AS33232" s="47"/>
    </row>
    <row r="33233" spans="45:45">
      <c r="AS33233" s="47"/>
    </row>
    <row r="33234" spans="45:45">
      <c r="AS33234" s="47"/>
    </row>
    <row r="33235" spans="45:45">
      <c r="AS33235" s="47"/>
    </row>
    <row r="33236" spans="45:45">
      <c r="AS33236" s="47"/>
    </row>
    <row r="33237" spans="45:45">
      <c r="AS33237" s="47"/>
    </row>
    <row r="33238" spans="45:45">
      <c r="AS33238" s="47"/>
    </row>
    <row r="33239" spans="45:45">
      <c r="AS33239" s="47"/>
    </row>
    <row r="33240" spans="45:45">
      <c r="AS33240" s="47"/>
    </row>
    <row r="33241" spans="45:45">
      <c r="AS33241" s="47"/>
    </row>
    <row r="33242" spans="45:45">
      <c r="AS33242" s="47"/>
    </row>
    <row r="33243" spans="45:45">
      <c r="AS33243" s="47"/>
    </row>
    <row r="33244" spans="45:45">
      <c r="AS33244" s="47"/>
    </row>
    <row r="33245" spans="45:45">
      <c r="AS33245" s="47"/>
    </row>
    <row r="33246" spans="45:45">
      <c r="AS33246" s="47"/>
    </row>
    <row r="33247" spans="45:45">
      <c r="AS33247" s="47"/>
    </row>
    <row r="33248" spans="45:45">
      <c r="AS33248" s="47"/>
    </row>
    <row r="33249" spans="45:45">
      <c r="AS33249" s="47"/>
    </row>
    <row r="33250" spans="45:45">
      <c r="AS33250" s="47"/>
    </row>
    <row r="33251" spans="45:45">
      <c r="AS33251" s="47"/>
    </row>
    <row r="33252" spans="45:45">
      <c r="AS33252" s="47"/>
    </row>
    <row r="33253" spans="45:45">
      <c r="AS33253" s="47"/>
    </row>
    <row r="33254" spans="45:45">
      <c r="AS33254" s="47"/>
    </row>
    <row r="33255" spans="45:45">
      <c r="AS33255" s="47"/>
    </row>
    <row r="33256" spans="45:45">
      <c r="AS33256" s="47"/>
    </row>
    <row r="33257" spans="45:45">
      <c r="AS33257" s="47"/>
    </row>
    <row r="33258" spans="45:45">
      <c r="AS33258" s="47"/>
    </row>
    <row r="33259" spans="45:45">
      <c r="AS33259" s="47"/>
    </row>
    <row r="33260" spans="45:45">
      <c r="AS33260" s="47"/>
    </row>
    <row r="33261" spans="45:45">
      <c r="AS33261" s="47"/>
    </row>
    <row r="33262" spans="45:45">
      <c r="AS33262" s="47"/>
    </row>
    <row r="33263" spans="45:45">
      <c r="AS33263" s="47"/>
    </row>
    <row r="33264" spans="45:45">
      <c r="AS33264" s="47"/>
    </row>
    <row r="33265" spans="45:45">
      <c r="AS33265" s="47"/>
    </row>
    <row r="33266" spans="45:45">
      <c r="AS33266" s="47"/>
    </row>
    <row r="33267" spans="45:45">
      <c r="AS33267" s="47"/>
    </row>
    <row r="33268" spans="45:45">
      <c r="AS33268" s="47"/>
    </row>
    <row r="33269" spans="45:45">
      <c r="AS33269" s="47"/>
    </row>
    <row r="33270" spans="45:45">
      <c r="AS33270" s="47"/>
    </row>
    <row r="33271" spans="45:45">
      <c r="AS33271" s="47"/>
    </row>
    <row r="33272" spans="45:45">
      <c r="AS33272" s="47"/>
    </row>
    <row r="33273" spans="45:45">
      <c r="AS33273" s="47"/>
    </row>
    <row r="33274" spans="45:45">
      <c r="AS33274" s="47"/>
    </row>
    <row r="33275" spans="45:45">
      <c r="AS33275" s="47"/>
    </row>
    <row r="33276" spans="45:45">
      <c r="AS33276" s="47"/>
    </row>
    <row r="33277" spans="45:45">
      <c r="AS33277" s="47"/>
    </row>
    <row r="33278" spans="45:45">
      <c r="AS33278" s="47"/>
    </row>
    <row r="33279" spans="45:45">
      <c r="AS33279" s="47"/>
    </row>
    <row r="33280" spans="45:45">
      <c r="AS33280" s="47"/>
    </row>
    <row r="33281" spans="45:45">
      <c r="AS33281" s="47"/>
    </row>
    <row r="33282" spans="45:45">
      <c r="AS33282" s="47"/>
    </row>
    <row r="33283" spans="45:45">
      <c r="AS33283" s="47"/>
    </row>
    <row r="33284" spans="45:45">
      <c r="AS33284" s="47"/>
    </row>
    <row r="33285" spans="45:45">
      <c r="AS33285" s="47"/>
    </row>
    <row r="33286" spans="45:45">
      <c r="AS33286" s="47"/>
    </row>
    <row r="33287" spans="45:45">
      <c r="AS33287" s="47"/>
    </row>
    <row r="33288" spans="45:45">
      <c r="AS33288" s="47"/>
    </row>
    <row r="33289" spans="45:45">
      <c r="AS33289" s="47"/>
    </row>
    <row r="33290" spans="45:45">
      <c r="AS33290" s="47"/>
    </row>
    <row r="33291" spans="45:45">
      <c r="AS33291" s="47"/>
    </row>
    <row r="33292" spans="45:45">
      <c r="AS33292" s="47"/>
    </row>
    <row r="33293" spans="45:45">
      <c r="AS33293" s="47"/>
    </row>
    <row r="33294" spans="45:45">
      <c r="AS33294" s="47"/>
    </row>
    <row r="33295" spans="45:45">
      <c r="AS33295" s="47"/>
    </row>
    <row r="33296" spans="45:45">
      <c r="AS33296" s="47"/>
    </row>
    <row r="33297" spans="45:45">
      <c r="AS33297" s="47"/>
    </row>
    <row r="33298" spans="45:45">
      <c r="AS33298" s="47"/>
    </row>
    <row r="33299" spans="45:45">
      <c r="AS33299" s="47"/>
    </row>
    <row r="33300" spans="45:45">
      <c r="AS33300" s="47"/>
    </row>
    <row r="33301" spans="45:45">
      <c r="AS33301" s="47"/>
    </row>
    <row r="33302" spans="45:45">
      <c r="AS33302" s="47"/>
    </row>
    <row r="33303" spans="45:45">
      <c r="AS33303" s="47"/>
    </row>
    <row r="33304" spans="45:45">
      <c r="AS33304" s="47"/>
    </row>
    <row r="33305" spans="45:45">
      <c r="AS33305" s="47"/>
    </row>
    <row r="33306" spans="45:45">
      <c r="AS33306" s="47"/>
    </row>
    <row r="33307" spans="45:45">
      <c r="AS33307" s="47"/>
    </row>
    <row r="33308" spans="45:45">
      <c r="AS33308" s="47"/>
    </row>
    <row r="33309" spans="45:45">
      <c r="AS33309" s="47"/>
    </row>
    <row r="33310" spans="45:45">
      <c r="AS33310" s="47"/>
    </row>
    <row r="33311" spans="45:45">
      <c r="AS33311" s="47"/>
    </row>
    <row r="33312" spans="45:45">
      <c r="AS33312" s="47"/>
    </row>
    <row r="33313" spans="45:45">
      <c r="AS33313" s="47"/>
    </row>
    <row r="33314" spans="45:45">
      <c r="AS33314" s="47"/>
    </row>
    <row r="33315" spans="45:45">
      <c r="AS33315" s="47"/>
    </row>
    <row r="33316" spans="45:45">
      <c r="AS33316" s="47"/>
    </row>
    <row r="33317" spans="45:45">
      <c r="AS33317" s="47"/>
    </row>
    <row r="33318" spans="45:45">
      <c r="AS33318" s="47"/>
    </row>
    <row r="33319" spans="45:45">
      <c r="AS33319" s="47"/>
    </row>
    <row r="33320" spans="45:45">
      <c r="AS33320" s="47"/>
    </row>
    <row r="33321" spans="45:45">
      <c r="AS33321" s="47"/>
    </row>
    <row r="33322" spans="45:45">
      <c r="AS33322" s="47"/>
    </row>
    <row r="33323" spans="45:45">
      <c r="AS33323" s="47"/>
    </row>
    <row r="33324" spans="45:45">
      <c r="AS33324" s="47"/>
    </row>
    <row r="33325" spans="45:45">
      <c r="AS33325" s="47"/>
    </row>
    <row r="33326" spans="45:45">
      <c r="AS33326" s="47"/>
    </row>
    <row r="33327" spans="45:45">
      <c r="AS33327" s="47"/>
    </row>
    <row r="33328" spans="45:45">
      <c r="AS33328" s="47"/>
    </row>
    <row r="33329" spans="45:45">
      <c r="AS33329" s="47"/>
    </row>
    <row r="33330" spans="45:45">
      <c r="AS33330" s="47"/>
    </row>
    <row r="33331" spans="45:45">
      <c r="AS33331" s="47"/>
    </row>
    <row r="33332" spans="45:45">
      <c r="AS33332" s="47"/>
    </row>
    <row r="33333" spans="45:45">
      <c r="AS33333" s="47"/>
    </row>
    <row r="33334" spans="45:45">
      <c r="AS33334" s="47"/>
    </row>
    <row r="33335" spans="45:45">
      <c r="AS33335" s="47"/>
    </row>
    <row r="33336" spans="45:45">
      <c r="AS33336" s="47"/>
    </row>
    <row r="33337" spans="45:45">
      <c r="AS33337" s="47"/>
    </row>
    <row r="33338" spans="45:45">
      <c r="AS33338" s="47"/>
    </row>
    <row r="33339" spans="45:45">
      <c r="AS33339" s="47"/>
    </row>
    <row r="33340" spans="45:45">
      <c r="AS33340" s="47"/>
    </row>
    <row r="33341" spans="45:45">
      <c r="AS33341" s="47"/>
    </row>
    <row r="33342" spans="45:45">
      <c r="AS33342" s="47"/>
    </row>
    <row r="33343" spans="45:45">
      <c r="AS33343" s="47"/>
    </row>
    <row r="33344" spans="45:45">
      <c r="AS33344" s="47"/>
    </row>
    <row r="33345" spans="45:45">
      <c r="AS33345" s="47"/>
    </row>
    <row r="33346" spans="45:45">
      <c r="AS33346" s="47"/>
    </row>
    <row r="33347" spans="45:45">
      <c r="AS33347" s="47"/>
    </row>
    <row r="33348" spans="45:45">
      <c r="AS33348" s="47"/>
    </row>
    <row r="33349" spans="45:45">
      <c r="AS33349" s="47"/>
    </row>
    <row r="33350" spans="45:45">
      <c r="AS33350" s="47"/>
    </row>
    <row r="33351" spans="45:45">
      <c r="AS33351" s="47"/>
    </row>
    <row r="33352" spans="45:45">
      <c r="AS33352" s="47"/>
    </row>
    <row r="33353" spans="45:45">
      <c r="AS33353" s="47"/>
    </row>
    <row r="33354" spans="45:45">
      <c r="AS33354" s="47"/>
    </row>
    <row r="33355" spans="45:45">
      <c r="AS33355" s="47"/>
    </row>
    <row r="33356" spans="45:45">
      <c r="AS33356" s="47"/>
    </row>
    <row r="33357" spans="45:45">
      <c r="AS33357" s="47"/>
    </row>
    <row r="33358" spans="45:45">
      <c r="AS33358" s="47"/>
    </row>
    <row r="33359" spans="45:45">
      <c r="AS33359" s="47"/>
    </row>
    <row r="33360" spans="45:45">
      <c r="AS33360" s="47"/>
    </row>
    <row r="33361" spans="45:45">
      <c r="AS33361" s="47"/>
    </row>
    <row r="33362" spans="45:45">
      <c r="AS33362" s="47"/>
    </row>
    <row r="33363" spans="45:45">
      <c r="AS33363" s="47"/>
    </row>
    <row r="33364" spans="45:45">
      <c r="AS33364" s="47"/>
    </row>
    <row r="33365" spans="45:45">
      <c r="AS33365" s="47"/>
    </row>
    <row r="33366" spans="45:45">
      <c r="AS33366" s="47"/>
    </row>
    <row r="33367" spans="45:45">
      <c r="AS33367" s="47"/>
    </row>
    <row r="33368" spans="45:45">
      <c r="AS33368" s="47"/>
    </row>
    <row r="33369" spans="45:45">
      <c r="AS33369" s="47"/>
    </row>
    <row r="33370" spans="45:45">
      <c r="AS33370" s="47"/>
    </row>
    <row r="33371" spans="45:45">
      <c r="AS33371" s="47"/>
    </row>
    <row r="33372" spans="45:45">
      <c r="AS33372" s="47"/>
    </row>
    <row r="33373" spans="45:45">
      <c r="AS33373" s="47"/>
    </row>
    <row r="33374" spans="45:45">
      <c r="AS33374" s="47"/>
    </row>
    <row r="33375" spans="45:45">
      <c r="AS33375" s="47"/>
    </row>
    <row r="33376" spans="45:45">
      <c r="AS33376" s="47"/>
    </row>
    <row r="33377" spans="45:45">
      <c r="AS33377" s="47"/>
    </row>
    <row r="33378" spans="45:45">
      <c r="AS33378" s="47"/>
    </row>
    <row r="33379" spans="45:45">
      <c r="AS33379" s="47"/>
    </row>
    <row r="33380" spans="45:45">
      <c r="AS33380" s="47"/>
    </row>
    <row r="33381" spans="45:45">
      <c r="AS33381" s="47"/>
    </row>
    <row r="33382" spans="45:45">
      <c r="AS33382" s="47"/>
    </row>
    <row r="33383" spans="45:45">
      <c r="AS33383" s="47"/>
    </row>
    <row r="33384" spans="45:45">
      <c r="AS33384" s="47"/>
    </row>
    <row r="33385" spans="45:45">
      <c r="AS33385" s="47"/>
    </row>
    <row r="33386" spans="45:45">
      <c r="AS33386" s="47"/>
    </row>
    <row r="33387" spans="45:45">
      <c r="AS33387" s="47"/>
    </row>
    <row r="33388" spans="45:45">
      <c r="AS33388" s="47"/>
    </row>
    <row r="33389" spans="45:45">
      <c r="AS33389" s="47"/>
    </row>
    <row r="33390" spans="45:45">
      <c r="AS33390" s="47"/>
    </row>
    <row r="33391" spans="45:45">
      <c r="AS33391" s="47"/>
    </row>
    <row r="33392" spans="45:45">
      <c r="AS33392" s="47"/>
    </row>
    <row r="33393" spans="45:45">
      <c r="AS33393" s="47"/>
    </row>
    <row r="33394" spans="45:45">
      <c r="AS33394" s="47"/>
    </row>
    <row r="33395" spans="45:45">
      <c r="AS33395" s="47"/>
    </row>
    <row r="33396" spans="45:45">
      <c r="AS33396" s="47"/>
    </row>
    <row r="33397" spans="45:45">
      <c r="AS33397" s="47"/>
    </row>
    <row r="33398" spans="45:45">
      <c r="AS33398" s="47"/>
    </row>
    <row r="33399" spans="45:45">
      <c r="AS33399" s="47"/>
    </row>
    <row r="33400" spans="45:45">
      <c r="AS33400" s="47"/>
    </row>
    <row r="33401" spans="45:45">
      <c r="AS33401" s="47"/>
    </row>
    <row r="33402" spans="45:45">
      <c r="AS33402" s="47"/>
    </row>
    <row r="33403" spans="45:45">
      <c r="AS33403" s="47"/>
    </row>
    <row r="33404" spans="45:45">
      <c r="AS33404" s="47"/>
    </row>
    <row r="33405" spans="45:45">
      <c r="AS33405" s="47"/>
    </row>
    <row r="33406" spans="45:45">
      <c r="AS33406" s="47"/>
    </row>
    <row r="33407" spans="45:45">
      <c r="AS33407" s="47"/>
    </row>
    <row r="33408" spans="45:45">
      <c r="AS33408" s="47"/>
    </row>
    <row r="33409" spans="45:45">
      <c r="AS33409" s="47"/>
    </row>
    <row r="33410" spans="45:45">
      <c r="AS33410" s="47"/>
    </row>
    <row r="33411" spans="45:45">
      <c r="AS33411" s="47"/>
    </row>
    <row r="33412" spans="45:45">
      <c r="AS33412" s="47"/>
    </row>
    <row r="33413" spans="45:45">
      <c r="AS33413" s="47"/>
    </row>
    <row r="33414" spans="45:45">
      <c r="AS33414" s="47"/>
    </row>
    <row r="33415" spans="45:45">
      <c r="AS33415" s="47"/>
    </row>
    <row r="33416" spans="45:45">
      <c r="AS33416" s="47"/>
    </row>
    <row r="33417" spans="45:45">
      <c r="AS33417" s="47"/>
    </row>
    <row r="33418" spans="45:45">
      <c r="AS33418" s="47"/>
    </row>
    <row r="33419" spans="45:45">
      <c r="AS33419" s="47"/>
    </row>
    <row r="33420" spans="45:45">
      <c r="AS33420" s="47"/>
    </row>
    <row r="33421" spans="45:45">
      <c r="AS33421" s="47"/>
    </row>
    <row r="33422" spans="45:45">
      <c r="AS33422" s="47"/>
    </row>
    <row r="33423" spans="45:45">
      <c r="AS33423" s="47"/>
    </row>
    <row r="33424" spans="45:45">
      <c r="AS33424" s="47"/>
    </row>
    <row r="33425" spans="45:45">
      <c r="AS33425" s="47"/>
    </row>
    <row r="33426" spans="45:45">
      <c r="AS33426" s="47"/>
    </row>
    <row r="33427" spans="45:45">
      <c r="AS33427" s="47"/>
    </row>
    <row r="33428" spans="45:45">
      <c r="AS33428" s="47"/>
    </row>
    <row r="33429" spans="45:45">
      <c r="AS33429" s="47"/>
    </row>
    <row r="33430" spans="45:45">
      <c r="AS33430" s="47"/>
    </row>
    <row r="33431" spans="45:45">
      <c r="AS33431" s="47"/>
    </row>
    <row r="33432" spans="45:45">
      <c r="AS33432" s="47"/>
    </row>
    <row r="33433" spans="45:45">
      <c r="AS33433" s="47"/>
    </row>
    <row r="33434" spans="45:45">
      <c r="AS33434" s="47"/>
    </row>
    <row r="33435" spans="45:45">
      <c r="AS33435" s="47"/>
    </row>
    <row r="33436" spans="45:45">
      <c r="AS33436" s="47"/>
    </row>
    <row r="33437" spans="45:45">
      <c r="AS33437" s="47"/>
    </row>
    <row r="33438" spans="45:45">
      <c r="AS33438" s="47"/>
    </row>
    <row r="33439" spans="45:45">
      <c r="AS33439" s="47"/>
    </row>
    <row r="33440" spans="45:45">
      <c r="AS33440" s="47"/>
    </row>
    <row r="33441" spans="45:45">
      <c r="AS33441" s="47"/>
    </row>
    <row r="33442" spans="45:45">
      <c r="AS33442" s="47"/>
    </row>
    <row r="33443" spans="45:45">
      <c r="AS33443" s="47"/>
    </row>
    <row r="33444" spans="45:45">
      <c r="AS33444" s="47"/>
    </row>
    <row r="33445" spans="45:45">
      <c r="AS33445" s="47"/>
    </row>
    <row r="33446" spans="45:45">
      <c r="AS33446" s="47"/>
    </row>
    <row r="33447" spans="45:45">
      <c r="AS33447" s="47"/>
    </row>
    <row r="33448" spans="45:45">
      <c r="AS33448" s="47"/>
    </row>
    <row r="33449" spans="45:45">
      <c r="AS33449" s="47"/>
    </row>
    <row r="33450" spans="45:45">
      <c r="AS33450" s="47"/>
    </row>
    <row r="33451" spans="45:45">
      <c r="AS33451" s="47"/>
    </row>
    <row r="33452" spans="45:45">
      <c r="AS33452" s="47"/>
    </row>
    <row r="33453" spans="45:45">
      <c r="AS33453" s="47"/>
    </row>
    <row r="33454" spans="45:45">
      <c r="AS33454" s="47"/>
    </row>
    <row r="33455" spans="45:45">
      <c r="AS33455" s="47"/>
    </row>
    <row r="33456" spans="45:45">
      <c r="AS33456" s="47"/>
    </row>
    <row r="33457" spans="45:45">
      <c r="AS33457" s="47"/>
    </row>
    <row r="33458" spans="45:45">
      <c r="AS33458" s="47"/>
    </row>
    <row r="33459" spans="45:45">
      <c r="AS33459" s="47"/>
    </row>
    <row r="33460" spans="45:45">
      <c r="AS33460" s="47"/>
    </row>
    <row r="33461" spans="45:45">
      <c r="AS33461" s="47"/>
    </row>
    <row r="33462" spans="45:45">
      <c r="AS33462" s="47"/>
    </row>
    <row r="33463" spans="45:45">
      <c r="AS33463" s="47"/>
    </row>
    <row r="33464" spans="45:45">
      <c r="AS33464" s="47"/>
    </row>
    <row r="33465" spans="45:45">
      <c r="AS33465" s="47"/>
    </row>
    <row r="33466" spans="45:45">
      <c r="AS33466" s="47"/>
    </row>
    <row r="33467" spans="45:45">
      <c r="AS33467" s="47"/>
    </row>
    <row r="33468" spans="45:45">
      <c r="AS33468" s="47"/>
    </row>
    <row r="33469" spans="45:45">
      <c r="AS33469" s="47"/>
    </row>
    <row r="33470" spans="45:45">
      <c r="AS33470" s="47"/>
    </row>
    <row r="33471" spans="45:45">
      <c r="AS33471" s="47"/>
    </row>
    <row r="33472" spans="45:45">
      <c r="AS33472" s="47"/>
    </row>
    <row r="33473" spans="45:45">
      <c r="AS33473" s="47"/>
    </row>
    <row r="33474" spans="45:45">
      <c r="AS33474" s="47"/>
    </row>
    <row r="33475" spans="45:45">
      <c r="AS33475" s="47"/>
    </row>
    <row r="33476" spans="45:45">
      <c r="AS33476" s="47"/>
    </row>
    <row r="33477" spans="45:45">
      <c r="AS33477" s="47"/>
    </row>
    <row r="33478" spans="45:45">
      <c r="AS33478" s="47"/>
    </row>
    <row r="33479" spans="45:45">
      <c r="AS33479" s="47"/>
    </row>
    <row r="33480" spans="45:45">
      <c r="AS33480" s="47"/>
    </row>
    <row r="33481" spans="45:45">
      <c r="AS33481" s="47"/>
    </row>
    <row r="33482" spans="45:45">
      <c r="AS33482" s="47"/>
    </row>
    <row r="33483" spans="45:45">
      <c r="AS33483" s="47"/>
    </row>
    <row r="33484" spans="45:45">
      <c r="AS33484" s="47"/>
    </row>
    <row r="33485" spans="45:45">
      <c r="AS33485" s="47"/>
    </row>
    <row r="33486" spans="45:45">
      <c r="AS33486" s="47"/>
    </row>
    <row r="33487" spans="45:45">
      <c r="AS33487" s="47"/>
    </row>
    <row r="33488" spans="45:45">
      <c r="AS33488" s="47"/>
    </row>
    <row r="33489" spans="45:45">
      <c r="AS33489" s="47"/>
    </row>
    <row r="33490" spans="45:45">
      <c r="AS33490" s="47"/>
    </row>
    <row r="33491" spans="45:45">
      <c r="AS33491" s="47"/>
    </row>
    <row r="33492" spans="45:45">
      <c r="AS33492" s="47"/>
    </row>
    <row r="33493" spans="45:45">
      <c r="AS33493" s="47"/>
    </row>
    <row r="33494" spans="45:45">
      <c r="AS33494" s="47"/>
    </row>
    <row r="33495" spans="45:45">
      <c r="AS33495" s="47"/>
    </row>
    <row r="33496" spans="45:45">
      <c r="AS33496" s="47"/>
    </row>
    <row r="33497" spans="45:45">
      <c r="AS33497" s="47"/>
    </row>
    <row r="33498" spans="45:45">
      <c r="AS33498" s="47"/>
    </row>
    <row r="33499" spans="45:45">
      <c r="AS33499" s="47"/>
    </row>
    <row r="33500" spans="45:45">
      <c r="AS33500" s="47"/>
    </row>
    <row r="33501" spans="45:45">
      <c r="AS33501" s="47"/>
    </row>
    <row r="33502" spans="45:45">
      <c r="AS33502" s="47"/>
    </row>
    <row r="33503" spans="45:45">
      <c r="AS33503" s="47"/>
    </row>
    <row r="33504" spans="45:45">
      <c r="AS33504" s="47"/>
    </row>
    <row r="33505" spans="45:45">
      <c r="AS33505" s="47"/>
    </row>
    <row r="33506" spans="45:45">
      <c r="AS33506" s="47"/>
    </row>
    <row r="33507" spans="45:45">
      <c r="AS33507" s="47"/>
    </row>
    <row r="33508" spans="45:45">
      <c r="AS33508" s="47"/>
    </row>
    <row r="33509" spans="45:45">
      <c r="AS33509" s="47"/>
    </row>
    <row r="33510" spans="45:45">
      <c r="AS33510" s="47"/>
    </row>
    <row r="33511" spans="45:45">
      <c r="AS33511" s="47"/>
    </row>
    <row r="33512" spans="45:45">
      <c r="AS33512" s="47"/>
    </row>
    <row r="33513" spans="45:45">
      <c r="AS33513" s="47"/>
    </row>
    <row r="33514" spans="45:45">
      <c r="AS33514" s="47"/>
    </row>
    <row r="33515" spans="45:45">
      <c r="AS33515" s="47"/>
    </row>
    <row r="33516" spans="45:45">
      <c r="AS33516" s="47"/>
    </row>
    <row r="33517" spans="45:45">
      <c r="AS33517" s="47"/>
    </row>
    <row r="33518" spans="45:45">
      <c r="AS33518" s="47"/>
    </row>
    <row r="33519" spans="45:45">
      <c r="AS33519" s="47"/>
    </row>
    <row r="33520" spans="45:45">
      <c r="AS33520" s="47"/>
    </row>
    <row r="33521" spans="45:45">
      <c r="AS33521" s="47"/>
    </row>
    <row r="33522" spans="45:45">
      <c r="AS33522" s="47"/>
    </row>
    <row r="33523" spans="45:45">
      <c r="AS33523" s="47"/>
    </row>
    <row r="33524" spans="45:45">
      <c r="AS33524" s="47"/>
    </row>
    <row r="33525" spans="45:45">
      <c r="AS33525" s="47"/>
    </row>
    <row r="33526" spans="45:45">
      <c r="AS33526" s="47"/>
    </row>
    <row r="33527" spans="45:45">
      <c r="AS33527" s="47"/>
    </row>
    <row r="33528" spans="45:45">
      <c r="AS33528" s="47"/>
    </row>
    <row r="33529" spans="45:45">
      <c r="AS33529" s="47"/>
    </row>
    <row r="33530" spans="45:45">
      <c r="AS33530" s="47"/>
    </row>
    <row r="33531" spans="45:45">
      <c r="AS33531" s="47"/>
    </row>
    <row r="33532" spans="45:45">
      <c r="AS33532" s="47"/>
    </row>
    <row r="33533" spans="45:45">
      <c r="AS33533" s="47"/>
    </row>
    <row r="33534" spans="45:45">
      <c r="AS33534" s="47"/>
    </row>
    <row r="33535" spans="45:45">
      <c r="AS33535" s="47"/>
    </row>
    <row r="33536" spans="45:45">
      <c r="AS33536" s="47"/>
    </row>
    <row r="33537" spans="45:45">
      <c r="AS33537" s="47"/>
    </row>
    <row r="33538" spans="45:45">
      <c r="AS33538" s="47"/>
    </row>
    <row r="33539" spans="45:45">
      <c r="AS33539" s="47"/>
    </row>
    <row r="33540" spans="45:45">
      <c r="AS33540" s="47"/>
    </row>
    <row r="33541" spans="45:45">
      <c r="AS33541" s="47"/>
    </row>
    <row r="33542" spans="45:45">
      <c r="AS33542" s="47"/>
    </row>
    <row r="33543" spans="45:45">
      <c r="AS33543" s="47"/>
    </row>
    <row r="33544" spans="45:45">
      <c r="AS33544" s="47"/>
    </row>
    <row r="33545" spans="45:45">
      <c r="AS33545" s="47"/>
    </row>
    <row r="33546" spans="45:45">
      <c r="AS33546" s="47"/>
    </row>
    <row r="33547" spans="45:45">
      <c r="AS33547" s="47"/>
    </row>
    <row r="33548" spans="45:45">
      <c r="AS33548" s="47"/>
    </row>
    <row r="33549" spans="45:45">
      <c r="AS33549" s="47"/>
    </row>
    <row r="33550" spans="45:45">
      <c r="AS33550" s="47"/>
    </row>
    <row r="33551" spans="45:45">
      <c r="AS33551" s="47"/>
    </row>
    <row r="33552" spans="45:45">
      <c r="AS33552" s="47"/>
    </row>
    <row r="33553" spans="45:45">
      <c r="AS33553" s="47"/>
    </row>
    <row r="33554" spans="45:45">
      <c r="AS33554" s="47"/>
    </row>
    <row r="33555" spans="45:45">
      <c r="AS33555" s="47"/>
    </row>
    <row r="33556" spans="45:45">
      <c r="AS33556" s="47"/>
    </row>
    <row r="33557" spans="45:45">
      <c r="AS33557" s="47"/>
    </row>
    <row r="33558" spans="45:45">
      <c r="AS33558" s="47"/>
    </row>
    <row r="33559" spans="45:45">
      <c r="AS33559" s="47"/>
    </row>
    <row r="33560" spans="45:45">
      <c r="AS33560" s="47"/>
    </row>
    <row r="33561" spans="45:45">
      <c r="AS33561" s="47"/>
    </row>
    <row r="33562" spans="45:45">
      <c r="AS33562" s="47"/>
    </row>
    <row r="33563" spans="45:45">
      <c r="AS33563" s="47"/>
    </row>
    <row r="33564" spans="45:45">
      <c r="AS33564" s="47"/>
    </row>
    <row r="33565" spans="45:45">
      <c r="AS33565" s="47"/>
    </row>
    <row r="33566" spans="45:45">
      <c r="AS33566" s="47"/>
    </row>
    <row r="33567" spans="45:45">
      <c r="AS33567" s="47"/>
    </row>
    <row r="33568" spans="45:45">
      <c r="AS33568" s="47"/>
    </row>
    <row r="33569" spans="45:45">
      <c r="AS33569" s="47"/>
    </row>
    <row r="33570" spans="45:45">
      <c r="AS33570" s="47"/>
    </row>
    <row r="33571" spans="45:45">
      <c r="AS33571" s="47"/>
    </row>
    <row r="33572" spans="45:45">
      <c r="AS33572" s="47"/>
    </row>
    <row r="33573" spans="45:45">
      <c r="AS33573" s="47"/>
    </row>
    <row r="33574" spans="45:45">
      <c r="AS33574" s="47"/>
    </row>
    <row r="33575" spans="45:45">
      <c r="AS33575" s="47"/>
    </row>
    <row r="33576" spans="45:45">
      <c r="AS33576" s="47"/>
    </row>
    <row r="33577" spans="45:45">
      <c r="AS33577" s="47"/>
    </row>
    <row r="33578" spans="45:45">
      <c r="AS33578" s="47"/>
    </row>
    <row r="33579" spans="45:45">
      <c r="AS33579" s="47"/>
    </row>
    <row r="33580" spans="45:45">
      <c r="AS33580" s="47"/>
    </row>
    <row r="33581" spans="45:45">
      <c r="AS33581" s="47"/>
    </row>
    <row r="33582" spans="45:45">
      <c r="AS33582" s="47"/>
    </row>
    <row r="33583" spans="45:45">
      <c r="AS33583" s="47"/>
    </row>
    <row r="33584" spans="45:45">
      <c r="AS33584" s="47"/>
    </row>
    <row r="33585" spans="45:45">
      <c r="AS33585" s="47"/>
    </row>
    <row r="33586" spans="45:45">
      <c r="AS33586" s="47"/>
    </row>
    <row r="33587" spans="45:45">
      <c r="AS33587" s="47"/>
    </row>
    <row r="33588" spans="45:45">
      <c r="AS33588" s="47"/>
    </row>
    <row r="33589" spans="45:45">
      <c r="AS33589" s="47"/>
    </row>
    <row r="33590" spans="45:45">
      <c r="AS33590" s="47"/>
    </row>
    <row r="33591" spans="45:45">
      <c r="AS33591" s="47"/>
    </row>
    <row r="33592" spans="45:45">
      <c r="AS33592" s="47"/>
    </row>
    <row r="33593" spans="45:45">
      <c r="AS33593" s="47"/>
    </row>
    <row r="33594" spans="45:45">
      <c r="AS33594" s="47"/>
    </row>
    <row r="33595" spans="45:45">
      <c r="AS33595" s="47"/>
    </row>
    <row r="33596" spans="45:45">
      <c r="AS33596" s="47"/>
    </row>
    <row r="33597" spans="45:45">
      <c r="AS33597" s="47"/>
    </row>
    <row r="33598" spans="45:45">
      <c r="AS33598" s="47"/>
    </row>
    <row r="33599" spans="45:45">
      <c r="AS33599" s="47"/>
    </row>
    <row r="33600" spans="45:45">
      <c r="AS33600" s="47"/>
    </row>
    <row r="33601" spans="45:45">
      <c r="AS33601" s="47"/>
    </row>
    <row r="33602" spans="45:45">
      <c r="AS33602" s="47"/>
    </row>
    <row r="33603" spans="45:45">
      <c r="AS33603" s="47"/>
    </row>
    <row r="33604" spans="45:45">
      <c r="AS33604" s="47"/>
    </row>
    <row r="33605" spans="45:45">
      <c r="AS33605" s="47"/>
    </row>
    <row r="33606" spans="45:45">
      <c r="AS33606" s="47"/>
    </row>
    <row r="33607" spans="45:45">
      <c r="AS33607" s="47"/>
    </row>
    <row r="33608" spans="45:45">
      <c r="AS33608" s="47"/>
    </row>
    <row r="33609" spans="45:45">
      <c r="AS33609" s="47"/>
    </row>
    <row r="33610" spans="45:45">
      <c r="AS33610" s="47"/>
    </row>
    <row r="33611" spans="45:45">
      <c r="AS33611" s="47"/>
    </row>
    <row r="33612" spans="45:45">
      <c r="AS33612" s="47"/>
    </row>
    <row r="33613" spans="45:45">
      <c r="AS33613" s="47"/>
    </row>
    <row r="33614" spans="45:45">
      <c r="AS33614" s="47"/>
    </row>
    <row r="33615" spans="45:45">
      <c r="AS33615" s="47"/>
    </row>
    <row r="33616" spans="45:45">
      <c r="AS33616" s="47"/>
    </row>
    <row r="33617" spans="45:45">
      <c r="AS33617" s="47"/>
    </row>
    <row r="33618" spans="45:45">
      <c r="AS33618" s="47"/>
    </row>
    <row r="33619" spans="45:45">
      <c r="AS33619" s="47"/>
    </row>
    <row r="33620" spans="45:45">
      <c r="AS33620" s="47"/>
    </row>
    <row r="33621" spans="45:45">
      <c r="AS33621" s="47"/>
    </row>
    <row r="33622" spans="45:45">
      <c r="AS33622" s="47"/>
    </row>
    <row r="33623" spans="45:45">
      <c r="AS33623" s="47"/>
    </row>
    <row r="33624" spans="45:45">
      <c r="AS33624" s="47"/>
    </row>
    <row r="33625" spans="45:45">
      <c r="AS33625" s="47"/>
    </row>
    <row r="33626" spans="45:45">
      <c r="AS33626" s="47"/>
    </row>
    <row r="33627" spans="45:45">
      <c r="AS33627" s="47"/>
    </row>
    <row r="33628" spans="45:45">
      <c r="AS33628" s="47"/>
    </row>
    <row r="33629" spans="45:45">
      <c r="AS33629" s="47"/>
    </row>
    <row r="33630" spans="45:45">
      <c r="AS33630" s="47"/>
    </row>
    <row r="33631" spans="45:45">
      <c r="AS33631" s="47"/>
    </row>
    <row r="33632" spans="45:45">
      <c r="AS33632" s="47"/>
    </row>
    <row r="33633" spans="45:45">
      <c r="AS33633" s="47"/>
    </row>
    <row r="33634" spans="45:45">
      <c r="AS33634" s="47"/>
    </row>
    <row r="33635" spans="45:45">
      <c r="AS33635" s="47"/>
    </row>
    <row r="33636" spans="45:45">
      <c r="AS33636" s="47"/>
    </row>
    <row r="33637" spans="45:45">
      <c r="AS33637" s="47"/>
    </row>
    <row r="33638" spans="45:45">
      <c r="AS33638" s="47"/>
    </row>
    <row r="33639" spans="45:45">
      <c r="AS33639" s="47"/>
    </row>
    <row r="33640" spans="45:45">
      <c r="AS33640" s="47"/>
    </row>
    <row r="33641" spans="45:45">
      <c r="AS33641" s="47"/>
    </row>
    <row r="33642" spans="45:45">
      <c r="AS33642" s="47"/>
    </row>
    <row r="33643" spans="45:45">
      <c r="AS33643" s="47"/>
    </row>
    <row r="33644" spans="45:45">
      <c r="AS33644" s="47"/>
    </row>
    <row r="33645" spans="45:45">
      <c r="AS33645" s="47"/>
    </row>
    <row r="33646" spans="45:45">
      <c r="AS33646" s="47"/>
    </row>
    <row r="33647" spans="45:45">
      <c r="AS33647" s="47"/>
    </row>
    <row r="33648" spans="45:45">
      <c r="AS33648" s="47"/>
    </row>
    <row r="33649" spans="45:45">
      <c r="AS33649" s="47"/>
    </row>
    <row r="33650" spans="45:45">
      <c r="AS33650" s="47"/>
    </row>
    <row r="33651" spans="45:45">
      <c r="AS33651" s="47"/>
    </row>
    <row r="33652" spans="45:45">
      <c r="AS33652" s="47"/>
    </row>
    <row r="33653" spans="45:45">
      <c r="AS33653" s="47"/>
    </row>
    <row r="33654" spans="45:45">
      <c r="AS33654" s="47"/>
    </row>
    <row r="33655" spans="45:45">
      <c r="AS33655" s="47"/>
    </row>
    <row r="33656" spans="45:45">
      <c r="AS33656" s="47"/>
    </row>
    <row r="33657" spans="45:45">
      <c r="AS33657" s="47"/>
    </row>
    <row r="33658" spans="45:45">
      <c r="AS33658" s="47"/>
    </row>
    <row r="33659" spans="45:45">
      <c r="AS33659" s="47"/>
    </row>
    <row r="33660" spans="45:45">
      <c r="AS33660" s="47"/>
    </row>
    <row r="33661" spans="45:45">
      <c r="AS33661" s="47"/>
    </row>
    <row r="33662" spans="45:45">
      <c r="AS33662" s="47"/>
    </row>
    <row r="33663" spans="45:45">
      <c r="AS33663" s="47"/>
    </row>
    <row r="33664" spans="45:45">
      <c r="AS33664" s="47"/>
    </row>
    <row r="33665" spans="45:45">
      <c r="AS33665" s="47"/>
    </row>
    <row r="33666" spans="45:45">
      <c r="AS33666" s="47"/>
    </row>
    <row r="33667" spans="45:45">
      <c r="AS33667" s="47"/>
    </row>
    <row r="33668" spans="45:45">
      <c r="AS33668" s="47"/>
    </row>
    <row r="33669" spans="45:45">
      <c r="AS33669" s="47"/>
    </row>
    <row r="33670" spans="45:45">
      <c r="AS33670" s="47"/>
    </row>
    <row r="33671" spans="45:45">
      <c r="AS33671" s="47"/>
    </row>
    <row r="33672" spans="45:45">
      <c r="AS33672" s="47"/>
    </row>
    <row r="33673" spans="45:45">
      <c r="AS33673" s="47"/>
    </row>
    <row r="33674" spans="45:45">
      <c r="AS33674" s="47"/>
    </row>
    <row r="33675" spans="45:45">
      <c r="AS33675" s="47"/>
    </row>
    <row r="33676" spans="45:45">
      <c r="AS33676" s="47"/>
    </row>
    <row r="33677" spans="45:45">
      <c r="AS33677" s="47"/>
    </row>
    <row r="33678" spans="45:45">
      <c r="AS33678" s="47"/>
    </row>
    <row r="33679" spans="45:45">
      <c r="AS33679" s="47"/>
    </row>
    <row r="33680" spans="45:45">
      <c r="AS33680" s="47"/>
    </row>
    <row r="33681" spans="45:45">
      <c r="AS33681" s="47"/>
    </row>
    <row r="33682" spans="45:45">
      <c r="AS33682" s="47"/>
    </row>
    <row r="33683" spans="45:45">
      <c r="AS33683" s="47"/>
    </row>
    <row r="33684" spans="45:45">
      <c r="AS33684" s="47"/>
    </row>
    <row r="33685" spans="45:45">
      <c r="AS33685" s="47"/>
    </row>
    <row r="33686" spans="45:45">
      <c r="AS33686" s="47"/>
    </row>
    <row r="33687" spans="45:45">
      <c r="AS33687" s="47"/>
    </row>
    <row r="33688" spans="45:45">
      <c r="AS33688" s="47"/>
    </row>
    <row r="33689" spans="45:45">
      <c r="AS33689" s="47"/>
    </row>
    <row r="33690" spans="45:45">
      <c r="AS33690" s="47"/>
    </row>
    <row r="33691" spans="45:45">
      <c r="AS33691" s="47"/>
    </row>
    <row r="33692" spans="45:45">
      <c r="AS33692" s="47"/>
    </row>
    <row r="33693" spans="45:45">
      <c r="AS33693" s="47"/>
    </row>
    <row r="33694" spans="45:45">
      <c r="AS33694" s="47"/>
    </row>
    <row r="33695" spans="45:45">
      <c r="AS33695" s="47"/>
    </row>
    <row r="33696" spans="45:45">
      <c r="AS33696" s="47"/>
    </row>
    <row r="33697" spans="45:45">
      <c r="AS33697" s="47"/>
    </row>
    <row r="33698" spans="45:45">
      <c r="AS33698" s="47"/>
    </row>
    <row r="33699" spans="45:45">
      <c r="AS33699" s="47"/>
    </row>
    <row r="33700" spans="45:45">
      <c r="AS33700" s="47"/>
    </row>
    <row r="33701" spans="45:45">
      <c r="AS33701" s="47"/>
    </row>
    <row r="33702" spans="45:45">
      <c r="AS33702" s="47"/>
    </row>
    <row r="33703" spans="45:45">
      <c r="AS33703" s="47"/>
    </row>
    <row r="33704" spans="45:45">
      <c r="AS33704" s="47"/>
    </row>
    <row r="33705" spans="45:45">
      <c r="AS33705" s="47"/>
    </row>
    <row r="33706" spans="45:45">
      <c r="AS33706" s="47"/>
    </row>
    <row r="33707" spans="45:45">
      <c r="AS33707" s="47"/>
    </row>
    <row r="33708" spans="45:45">
      <c r="AS33708" s="47"/>
    </row>
    <row r="33709" spans="45:45">
      <c r="AS33709" s="47"/>
    </row>
    <row r="33710" spans="45:45">
      <c r="AS33710" s="47"/>
    </row>
    <row r="33711" spans="45:45">
      <c r="AS33711" s="47"/>
    </row>
    <row r="33712" spans="45:45">
      <c r="AS33712" s="47"/>
    </row>
    <row r="33713" spans="45:45">
      <c r="AS33713" s="47"/>
    </row>
    <row r="33714" spans="45:45">
      <c r="AS33714" s="47"/>
    </row>
    <row r="33715" spans="45:45">
      <c r="AS33715" s="47"/>
    </row>
    <row r="33716" spans="45:45">
      <c r="AS33716" s="47"/>
    </row>
    <row r="33717" spans="45:45">
      <c r="AS33717" s="47"/>
    </row>
    <row r="33718" spans="45:45">
      <c r="AS33718" s="47"/>
    </row>
    <row r="33719" spans="45:45">
      <c r="AS33719" s="47"/>
    </row>
    <row r="33720" spans="45:45">
      <c r="AS33720" s="47"/>
    </row>
    <row r="33721" spans="45:45">
      <c r="AS33721" s="47"/>
    </row>
    <row r="33722" spans="45:45">
      <c r="AS33722" s="47"/>
    </row>
    <row r="33723" spans="45:45">
      <c r="AS33723" s="47"/>
    </row>
    <row r="33724" spans="45:45">
      <c r="AS33724" s="47"/>
    </row>
    <row r="33725" spans="45:45">
      <c r="AS33725" s="47"/>
    </row>
    <row r="33726" spans="45:45">
      <c r="AS33726" s="47"/>
    </row>
    <row r="33727" spans="45:45">
      <c r="AS33727" s="47"/>
    </row>
    <row r="33728" spans="45:45">
      <c r="AS33728" s="47"/>
    </row>
    <row r="33729" spans="45:45">
      <c r="AS33729" s="47"/>
    </row>
    <row r="33730" spans="45:45">
      <c r="AS33730" s="47"/>
    </row>
    <row r="33731" spans="45:45">
      <c r="AS33731" s="47"/>
    </row>
    <row r="33732" spans="45:45">
      <c r="AS33732" s="47"/>
    </row>
    <row r="33733" spans="45:45">
      <c r="AS33733" s="47"/>
    </row>
    <row r="33734" spans="45:45">
      <c r="AS33734" s="47"/>
    </row>
    <row r="33735" spans="45:45">
      <c r="AS33735" s="47"/>
    </row>
    <row r="33736" spans="45:45">
      <c r="AS33736" s="47"/>
    </row>
    <row r="33737" spans="45:45">
      <c r="AS33737" s="47"/>
    </row>
    <row r="33738" spans="45:45">
      <c r="AS33738" s="47"/>
    </row>
    <row r="33739" spans="45:45">
      <c r="AS33739" s="47"/>
    </row>
    <row r="33740" spans="45:45">
      <c r="AS33740" s="47"/>
    </row>
    <row r="33741" spans="45:45">
      <c r="AS33741" s="47"/>
    </row>
    <row r="33742" spans="45:45">
      <c r="AS33742" s="47"/>
    </row>
    <row r="33743" spans="45:45">
      <c r="AS33743" s="47"/>
    </row>
    <row r="33744" spans="45:45">
      <c r="AS33744" s="47"/>
    </row>
    <row r="33745" spans="45:45">
      <c r="AS33745" s="47"/>
    </row>
    <row r="33746" spans="45:45">
      <c r="AS33746" s="47"/>
    </row>
    <row r="33747" spans="45:45">
      <c r="AS33747" s="47"/>
    </row>
    <row r="33748" spans="45:45">
      <c r="AS33748" s="47"/>
    </row>
    <row r="33749" spans="45:45">
      <c r="AS33749" s="47"/>
    </row>
    <row r="33750" spans="45:45">
      <c r="AS33750" s="47"/>
    </row>
    <row r="33751" spans="45:45">
      <c r="AS33751" s="47"/>
    </row>
    <row r="33752" spans="45:45">
      <c r="AS33752" s="47"/>
    </row>
    <row r="33753" spans="45:45">
      <c r="AS33753" s="47"/>
    </row>
    <row r="33754" spans="45:45">
      <c r="AS33754" s="47"/>
    </row>
    <row r="33755" spans="45:45">
      <c r="AS33755" s="47"/>
    </row>
    <row r="33756" spans="45:45">
      <c r="AS33756" s="47"/>
    </row>
    <row r="33757" spans="45:45">
      <c r="AS33757" s="47"/>
    </row>
    <row r="33758" spans="45:45">
      <c r="AS33758" s="47"/>
    </row>
    <row r="33759" spans="45:45">
      <c r="AS33759" s="47"/>
    </row>
    <row r="33760" spans="45:45">
      <c r="AS33760" s="47"/>
    </row>
    <row r="33761" spans="45:45">
      <c r="AS33761" s="47"/>
    </row>
    <row r="33762" spans="45:45">
      <c r="AS33762" s="47"/>
    </row>
    <row r="33763" spans="45:45">
      <c r="AS33763" s="47"/>
    </row>
    <row r="33764" spans="45:45">
      <c r="AS33764" s="47"/>
    </row>
    <row r="33765" spans="45:45">
      <c r="AS33765" s="47"/>
    </row>
    <row r="33766" spans="45:45">
      <c r="AS33766" s="47"/>
    </row>
    <row r="33767" spans="45:45">
      <c r="AS33767" s="47"/>
    </row>
    <row r="33768" spans="45:45">
      <c r="AS33768" s="47"/>
    </row>
    <row r="33769" spans="45:45">
      <c r="AS33769" s="47"/>
    </row>
    <row r="33770" spans="45:45">
      <c r="AS33770" s="47"/>
    </row>
    <row r="33771" spans="45:45">
      <c r="AS33771" s="47"/>
    </row>
    <row r="33772" spans="45:45">
      <c r="AS33772" s="47"/>
    </row>
    <row r="33773" spans="45:45">
      <c r="AS33773" s="47"/>
    </row>
    <row r="33774" spans="45:45">
      <c r="AS33774" s="47"/>
    </row>
    <row r="33775" spans="45:45">
      <c r="AS33775" s="47"/>
    </row>
    <row r="33776" spans="45:45">
      <c r="AS33776" s="47"/>
    </row>
    <row r="33777" spans="45:45">
      <c r="AS33777" s="47"/>
    </row>
    <row r="33778" spans="45:45">
      <c r="AS33778" s="47"/>
    </row>
    <row r="33779" spans="45:45">
      <c r="AS33779" s="47"/>
    </row>
    <row r="33780" spans="45:45">
      <c r="AS33780" s="47"/>
    </row>
    <row r="33781" spans="45:45">
      <c r="AS33781" s="47"/>
    </row>
    <row r="33782" spans="45:45">
      <c r="AS33782" s="47"/>
    </row>
    <row r="33783" spans="45:45">
      <c r="AS33783" s="47"/>
    </row>
    <row r="33784" spans="45:45">
      <c r="AS33784" s="47"/>
    </row>
    <row r="33785" spans="45:45">
      <c r="AS33785" s="47"/>
    </row>
    <row r="33786" spans="45:45">
      <c r="AS33786" s="47"/>
    </row>
    <row r="33787" spans="45:45">
      <c r="AS33787" s="47"/>
    </row>
    <row r="33788" spans="45:45">
      <c r="AS33788" s="47"/>
    </row>
    <row r="33789" spans="45:45">
      <c r="AS33789" s="47"/>
    </row>
    <row r="33790" spans="45:45">
      <c r="AS33790" s="47"/>
    </row>
    <row r="33791" spans="45:45">
      <c r="AS33791" s="47"/>
    </row>
    <row r="33792" spans="45:45">
      <c r="AS33792" s="47"/>
    </row>
    <row r="33793" spans="45:45">
      <c r="AS33793" s="47"/>
    </row>
    <row r="33794" spans="45:45">
      <c r="AS33794" s="47"/>
    </row>
    <row r="33795" spans="45:45">
      <c r="AS33795" s="47"/>
    </row>
    <row r="33796" spans="45:45">
      <c r="AS33796" s="47"/>
    </row>
    <row r="33797" spans="45:45">
      <c r="AS33797" s="47"/>
    </row>
    <row r="33798" spans="45:45">
      <c r="AS33798" s="47"/>
    </row>
    <row r="33799" spans="45:45">
      <c r="AS33799" s="47"/>
    </row>
    <row r="33800" spans="45:45">
      <c r="AS33800" s="47"/>
    </row>
    <row r="33801" spans="45:45">
      <c r="AS33801" s="47"/>
    </row>
    <row r="33802" spans="45:45">
      <c r="AS33802" s="47"/>
    </row>
    <row r="33803" spans="45:45">
      <c r="AS33803" s="47"/>
    </row>
    <row r="33804" spans="45:45">
      <c r="AS33804" s="47"/>
    </row>
    <row r="33805" spans="45:45">
      <c r="AS33805" s="47"/>
    </row>
    <row r="33806" spans="45:45">
      <c r="AS33806" s="47"/>
    </row>
    <row r="33807" spans="45:45">
      <c r="AS33807" s="47"/>
    </row>
    <row r="33808" spans="45:45">
      <c r="AS33808" s="47"/>
    </row>
    <row r="33809" spans="45:45">
      <c r="AS33809" s="47"/>
    </row>
    <row r="33810" spans="45:45">
      <c r="AS33810" s="47"/>
    </row>
    <row r="33811" spans="45:45">
      <c r="AS33811" s="47"/>
    </row>
    <row r="33812" spans="45:45">
      <c r="AS33812" s="47"/>
    </row>
    <row r="33813" spans="45:45">
      <c r="AS33813" s="47"/>
    </row>
    <row r="33814" spans="45:45">
      <c r="AS33814" s="47"/>
    </row>
    <row r="33815" spans="45:45">
      <c r="AS33815" s="47"/>
    </row>
    <row r="33816" spans="45:45">
      <c r="AS33816" s="47"/>
    </row>
    <row r="33817" spans="45:45">
      <c r="AS33817" s="47"/>
    </row>
    <row r="33818" spans="45:45">
      <c r="AS33818" s="47"/>
    </row>
    <row r="33819" spans="45:45">
      <c r="AS33819" s="47"/>
    </row>
    <row r="33820" spans="45:45">
      <c r="AS33820" s="47"/>
    </row>
    <row r="33821" spans="45:45">
      <c r="AS33821" s="47"/>
    </row>
    <row r="33822" spans="45:45">
      <c r="AS33822" s="47"/>
    </row>
    <row r="33823" spans="45:45">
      <c r="AS33823" s="47"/>
    </row>
    <row r="33824" spans="45:45">
      <c r="AS33824" s="47"/>
    </row>
    <row r="33825" spans="45:45">
      <c r="AS33825" s="47"/>
    </row>
    <row r="33826" spans="45:45">
      <c r="AS33826" s="47"/>
    </row>
    <row r="33827" spans="45:45">
      <c r="AS33827" s="47"/>
    </row>
    <row r="33828" spans="45:45">
      <c r="AS33828" s="47"/>
    </row>
    <row r="33829" spans="45:45">
      <c r="AS33829" s="47"/>
    </row>
    <row r="33830" spans="45:45">
      <c r="AS33830" s="47"/>
    </row>
    <row r="33831" spans="45:45">
      <c r="AS33831" s="47"/>
    </row>
    <row r="33832" spans="45:45">
      <c r="AS33832" s="47"/>
    </row>
    <row r="33833" spans="45:45">
      <c r="AS33833" s="47"/>
    </row>
    <row r="33834" spans="45:45">
      <c r="AS33834" s="47"/>
    </row>
    <row r="33835" spans="45:45">
      <c r="AS33835" s="47"/>
    </row>
    <row r="33836" spans="45:45">
      <c r="AS33836" s="47"/>
    </row>
    <row r="33837" spans="45:45">
      <c r="AS33837" s="47"/>
    </row>
    <row r="33838" spans="45:45">
      <c r="AS33838" s="47"/>
    </row>
    <row r="33839" spans="45:45">
      <c r="AS33839" s="47"/>
    </row>
    <row r="33840" spans="45:45">
      <c r="AS33840" s="47"/>
    </row>
    <row r="33841" spans="45:45">
      <c r="AS33841" s="47"/>
    </row>
    <row r="33842" spans="45:45">
      <c r="AS33842" s="47"/>
    </row>
    <row r="33843" spans="45:45">
      <c r="AS33843" s="47"/>
    </row>
    <row r="33844" spans="45:45">
      <c r="AS33844" s="47"/>
    </row>
    <row r="33845" spans="45:45">
      <c r="AS33845" s="47"/>
    </row>
    <row r="33846" spans="45:45">
      <c r="AS33846" s="47"/>
    </row>
    <row r="33847" spans="45:45">
      <c r="AS33847" s="47"/>
    </row>
    <row r="33848" spans="45:45">
      <c r="AS33848" s="47"/>
    </row>
    <row r="33849" spans="45:45">
      <c r="AS33849" s="47"/>
    </row>
    <row r="33850" spans="45:45">
      <c r="AS33850" s="47"/>
    </row>
    <row r="33851" spans="45:45">
      <c r="AS33851" s="47"/>
    </row>
    <row r="33852" spans="45:45">
      <c r="AS33852" s="47"/>
    </row>
    <row r="33853" spans="45:45">
      <c r="AS33853" s="47"/>
    </row>
    <row r="33854" spans="45:45">
      <c r="AS33854" s="47"/>
    </row>
    <row r="33855" spans="45:45">
      <c r="AS33855" s="47"/>
    </row>
    <row r="33856" spans="45:45">
      <c r="AS33856" s="47"/>
    </row>
    <row r="33857" spans="45:45">
      <c r="AS33857" s="47"/>
    </row>
    <row r="33858" spans="45:45">
      <c r="AS33858" s="47"/>
    </row>
    <row r="33859" spans="45:45">
      <c r="AS33859" s="47"/>
    </row>
    <row r="33860" spans="45:45">
      <c r="AS33860" s="47"/>
    </row>
    <row r="33861" spans="45:45">
      <c r="AS33861" s="47"/>
    </row>
    <row r="33862" spans="45:45">
      <c r="AS33862" s="47"/>
    </row>
    <row r="33863" spans="45:45">
      <c r="AS33863" s="47"/>
    </row>
    <row r="33864" spans="45:45">
      <c r="AS33864" s="47"/>
    </row>
    <row r="33865" spans="45:45">
      <c r="AS33865" s="47"/>
    </row>
    <row r="33866" spans="45:45">
      <c r="AS33866" s="47"/>
    </row>
    <row r="33867" spans="45:45">
      <c r="AS33867" s="47"/>
    </row>
    <row r="33868" spans="45:45">
      <c r="AS33868" s="47"/>
    </row>
    <row r="33869" spans="45:45">
      <c r="AS33869" s="47"/>
    </row>
    <row r="33870" spans="45:45">
      <c r="AS33870" s="47"/>
    </row>
    <row r="33871" spans="45:45">
      <c r="AS33871" s="47"/>
    </row>
    <row r="33872" spans="45:45">
      <c r="AS33872" s="47"/>
    </row>
    <row r="33873" spans="45:45">
      <c r="AS33873" s="47"/>
    </row>
    <row r="33874" spans="45:45">
      <c r="AS33874" s="47"/>
    </row>
    <row r="33875" spans="45:45">
      <c r="AS33875" s="47"/>
    </row>
    <row r="33876" spans="45:45">
      <c r="AS33876" s="47"/>
    </row>
    <row r="33877" spans="45:45">
      <c r="AS33877" s="47"/>
    </row>
    <row r="33878" spans="45:45">
      <c r="AS33878" s="47"/>
    </row>
    <row r="33879" spans="45:45">
      <c r="AS33879" s="47"/>
    </row>
    <row r="33880" spans="45:45">
      <c r="AS33880" s="47"/>
    </row>
    <row r="33881" spans="45:45">
      <c r="AS33881" s="47"/>
    </row>
    <row r="33882" spans="45:45">
      <c r="AS33882" s="47"/>
    </row>
    <row r="33883" spans="45:45">
      <c r="AS33883" s="47"/>
    </row>
    <row r="33884" spans="45:45">
      <c r="AS33884" s="47"/>
    </row>
    <row r="33885" spans="45:45">
      <c r="AS33885" s="47"/>
    </row>
    <row r="33886" spans="45:45">
      <c r="AS33886" s="47"/>
    </row>
    <row r="33887" spans="45:45">
      <c r="AS33887" s="47"/>
    </row>
    <row r="33888" spans="45:45">
      <c r="AS33888" s="47"/>
    </row>
    <row r="33889" spans="45:45">
      <c r="AS33889" s="47"/>
    </row>
    <row r="33890" spans="45:45">
      <c r="AS33890" s="47"/>
    </row>
    <row r="33891" spans="45:45">
      <c r="AS33891" s="47"/>
    </row>
    <row r="33892" spans="45:45">
      <c r="AS33892" s="47"/>
    </row>
    <row r="33893" spans="45:45">
      <c r="AS33893" s="47"/>
    </row>
    <row r="33894" spans="45:45">
      <c r="AS33894" s="47"/>
    </row>
    <row r="33895" spans="45:45">
      <c r="AS33895" s="47"/>
    </row>
    <row r="33896" spans="45:45">
      <c r="AS33896" s="47"/>
    </row>
    <row r="33897" spans="45:45">
      <c r="AS33897" s="47"/>
    </row>
    <row r="33898" spans="45:45">
      <c r="AS33898" s="47"/>
    </row>
    <row r="33899" spans="45:45">
      <c r="AS33899" s="47"/>
    </row>
    <row r="33900" spans="45:45">
      <c r="AS33900" s="47"/>
    </row>
    <row r="33901" spans="45:45">
      <c r="AS33901" s="47"/>
    </row>
    <row r="33902" spans="45:45">
      <c r="AS33902" s="47"/>
    </row>
    <row r="33903" spans="45:45">
      <c r="AS33903" s="47"/>
    </row>
    <row r="33904" spans="45:45">
      <c r="AS33904" s="47"/>
    </row>
    <row r="33905" spans="45:45">
      <c r="AS33905" s="47"/>
    </row>
    <row r="33906" spans="45:45">
      <c r="AS33906" s="47"/>
    </row>
    <row r="33907" spans="45:45">
      <c r="AS33907" s="47"/>
    </row>
    <row r="33908" spans="45:45">
      <c r="AS33908" s="47"/>
    </row>
    <row r="33909" spans="45:45">
      <c r="AS33909" s="47"/>
    </row>
    <row r="33910" spans="45:45">
      <c r="AS33910" s="47"/>
    </row>
    <row r="33911" spans="45:45">
      <c r="AS33911" s="47"/>
    </row>
    <row r="33912" spans="45:45">
      <c r="AS33912" s="47"/>
    </row>
    <row r="33913" spans="45:45">
      <c r="AS33913" s="47"/>
    </row>
    <row r="33914" spans="45:45">
      <c r="AS33914" s="47"/>
    </row>
    <row r="33915" spans="45:45">
      <c r="AS33915" s="47"/>
    </row>
    <row r="33916" spans="45:45">
      <c r="AS33916" s="47"/>
    </row>
    <row r="33917" spans="45:45">
      <c r="AS33917" s="47"/>
    </row>
    <row r="33918" spans="45:45">
      <c r="AS33918" s="47"/>
    </row>
    <row r="33919" spans="45:45">
      <c r="AS33919" s="47"/>
    </row>
    <row r="33920" spans="45:45">
      <c r="AS33920" s="47"/>
    </row>
    <row r="33921" spans="45:45">
      <c r="AS33921" s="47"/>
    </row>
    <row r="33922" spans="45:45">
      <c r="AS33922" s="47"/>
    </row>
    <row r="33923" spans="45:45">
      <c r="AS33923" s="47"/>
    </row>
    <row r="33924" spans="45:45">
      <c r="AS33924" s="47"/>
    </row>
    <row r="33925" spans="45:45">
      <c r="AS33925" s="47"/>
    </row>
    <row r="33926" spans="45:45">
      <c r="AS33926" s="47"/>
    </row>
    <row r="33927" spans="45:45">
      <c r="AS33927" s="47"/>
    </row>
    <row r="33928" spans="45:45">
      <c r="AS33928" s="47"/>
    </row>
    <row r="33929" spans="45:45">
      <c r="AS33929" s="47"/>
    </row>
    <row r="33930" spans="45:45">
      <c r="AS33930" s="47"/>
    </row>
    <row r="33931" spans="45:45">
      <c r="AS33931" s="47"/>
    </row>
    <row r="33932" spans="45:45">
      <c r="AS33932" s="47"/>
    </row>
    <row r="33933" spans="45:45">
      <c r="AS33933" s="47"/>
    </row>
    <row r="33934" spans="45:45">
      <c r="AS33934" s="47"/>
    </row>
    <row r="33935" spans="45:45">
      <c r="AS33935" s="47"/>
    </row>
    <row r="33936" spans="45:45">
      <c r="AS33936" s="47"/>
    </row>
    <row r="33937" spans="45:45">
      <c r="AS33937" s="47"/>
    </row>
    <row r="33938" spans="45:45">
      <c r="AS33938" s="47"/>
    </row>
    <row r="33939" spans="45:45">
      <c r="AS33939" s="47"/>
    </row>
    <row r="33940" spans="45:45">
      <c r="AS33940" s="47"/>
    </row>
    <row r="33941" spans="45:45">
      <c r="AS33941" s="47"/>
    </row>
    <row r="33942" spans="45:45">
      <c r="AS33942" s="47"/>
    </row>
    <row r="33943" spans="45:45">
      <c r="AS33943" s="47"/>
    </row>
    <row r="33944" spans="45:45">
      <c r="AS33944" s="47"/>
    </row>
    <row r="33945" spans="45:45">
      <c r="AS33945" s="47"/>
    </row>
    <row r="33946" spans="45:45">
      <c r="AS33946" s="47"/>
    </row>
    <row r="33947" spans="45:45">
      <c r="AS33947" s="47"/>
    </row>
    <row r="33948" spans="45:45">
      <c r="AS33948" s="47"/>
    </row>
    <row r="33949" spans="45:45">
      <c r="AS33949" s="47"/>
    </row>
    <row r="33950" spans="45:45">
      <c r="AS33950" s="47"/>
    </row>
    <row r="33951" spans="45:45">
      <c r="AS33951" s="47"/>
    </row>
    <row r="33952" spans="45:45">
      <c r="AS33952" s="47"/>
    </row>
    <row r="33953" spans="45:45">
      <c r="AS33953" s="47"/>
    </row>
    <row r="33954" spans="45:45">
      <c r="AS33954" s="47"/>
    </row>
    <row r="33955" spans="45:45">
      <c r="AS33955" s="47"/>
    </row>
    <row r="33956" spans="45:45">
      <c r="AS33956" s="47"/>
    </row>
    <row r="33957" spans="45:45">
      <c r="AS33957" s="47"/>
    </row>
    <row r="33958" spans="45:45">
      <c r="AS33958" s="47"/>
    </row>
    <row r="33959" spans="45:45">
      <c r="AS33959" s="47"/>
    </row>
    <row r="33960" spans="45:45">
      <c r="AS33960" s="47"/>
    </row>
    <row r="33961" spans="45:45">
      <c r="AS33961" s="47"/>
    </row>
    <row r="33962" spans="45:45">
      <c r="AS33962" s="47"/>
    </row>
    <row r="33963" spans="45:45">
      <c r="AS33963" s="47"/>
    </row>
    <row r="33964" spans="45:45">
      <c r="AS33964" s="47"/>
    </row>
    <row r="33965" spans="45:45">
      <c r="AS33965" s="47"/>
    </row>
    <row r="33966" spans="45:45">
      <c r="AS33966" s="47"/>
    </row>
    <row r="33967" spans="45:45">
      <c r="AS33967" s="47"/>
    </row>
    <row r="33968" spans="45:45">
      <c r="AS33968" s="47"/>
    </row>
    <row r="33969" spans="45:45">
      <c r="AS33969" s="47"/>
    </row>
    <row r="33970" spans="45:45">
      <c r="AS33970" s="47"/>
    </row>
    <row r="33971" spans="45:45">
      <c r="AS33971" s="47"/>
    </row>
    <row r="33972" spans="45:45">
      <c r="AS33972" s="47"/>
    </row>
    <row r="33973" spans="45:45">
      <c r="AS33973" s="47"/>
    </row>
    <row r="33974" spans="45:45">
      <c r="AS33974" s="47"/>
    </row>
    <row r="33975" spans="45:45">
      <c r="AS33975" s="47"/>
    </row>
    <row r="33976" spans="45:45">
      <c r="AS33976" s="47"/>
    </row>
    <row r="33977" spans="45:45">
      <c r="AS33977" s="47"/>
    </row>
    <row r="33978" spans="45:45">
      <c r="AS33978" s="47"/>
    </row>
    <row r="33979" spans="45:45">
      <c r="AS33979" s="47"/>
    </row>
    <row r="33980" spans="45:45">
      <c r="AS33980" s="47"/>
    </row>
    <row r="33981" spans="45:45">
      <c r="AS33981" s="47"/>
    </row>
    <row r="33982" spans="45:45">
      <c r="AS33982" s="47"/>
    </row>
    <row r="33983" spans="45:45">
      <c r="AS33983" s="47"/>
    </row>
    <row r="33984" spans="45:45">
      <c r="AS33984" s="47"/>
    </row>
    <row r="33985" spans="45:45">
      <c r="AS33985" s="47"/>
    </row>
    <row r="33986" spans="45:45">
      <c r="AS33986" s="47"/>
    </row>
    <row r="33987" spans="45:45">
      <c r="AS33987" s="47"/>
    </row>
    <row r="33988" spans="45:45">
      <c r="AS33988" s="47"/>
    </row>
    <row r="33989" spans="45:45">
      <c r="AS33989" s="47"/>
    </row>
    <row r="33990" spans="45:45">
      <c r="AS33990" s="47"/>
    </row>
    <row r="33991" spans="45:45">
      <c r="AS33991" s="47"/>
    </row>
    <row r="33992" spans="45:45">
      <c r="AS33992" s="47"/>
    </row>
    <row r="33993" spans="45:45">
      <c r="AS33993" s="47"/>
    </row>
    <row r="33994" spans="45:45">
      <c r="AS33994" s="47"/>
    </row>
    <row r="33995" spans="45:45">
      <c r="AS33995" s="47"/>
    </row>
    <row r="33996" spans="45:45">
      <c r="AS33996" s="47"/>
    </row>
    <row r="33997" spans="45:45">
      <c r="AS33997" s="47"/>
    </row>
    <row r="33998" spans="45:45">
      <c r="AS33998" s="47"/>
    </row>
    <row r="33999" spans="45:45">
      <c r="AS33999" s="47"/>
    </row>
    <row r="34000" spans="45:45">
      <c r="AS34000" s="47"/>
    </row>
    <row r="34001" spans="45:45">
      <c r="AS34001" s="47"/>
    </row>
    <row r="34002" spans="45:45">
      <c r="AS34002" s="47"/>
    </row>
    <row r="34003" spans="45:45">
      <c r="AS34003" s="47"/>
    </row>
    <row r="34004" spans="45:45">
      <c r="AS34004" s="47"/>
    </row>
    <row r="34005" spans="45:45">
      <c r="AS34005" s="47"/>
    </row>
    <row r="34006" spans="45:45">
      <c r="AS34006" s="47"/>
    </row>
    <row r="34007" spans="45:45">
      <c r="AS34007" s="47"/>
    </row>
    <row r="34008" spans="45:45">
      <c r="AS34008" s="47"/>
    </row>
    <row r="34009" spans="45:45">
      <c r="AS34009" s="47"/>
    </row>
    <row r="34010" spans="45:45">
      <c r="AS34010" s="47"/>
    </row>
    <row r="34011" spans="45:45">
      <c r="AS34011" s="47"/>
    </row>
    <row r="34012" spans="45:45">
      <c r="AS34012" s="47"/>
    </row>
    <row r="34013" spans="45:45">
      <c r="AS34013" s="47"/>
    </row>
    <row r="34014" spans="45:45">
      <c r="AS34014" s="47"/>
    </row>
    <row r="34015" spans="45:45">
      <c r="AS34015" s="47"/>
    </row>
    <row r="34016" spans="45:45">
      <c r="AS34016" s="47"/>
    </row>
    <row r="34017" spans="45:45">
      <c r="AS34017" s="47"/>
    </row>
    <row r="34018" spans="45:45">
      <c r="AS34018" s="47"/>
    </row>
    <row r="34019" spans="45:45">
      <c r="AS34019" s="47"/>
    </row>
    <row r="34020" spans="45:45">
      <c r="AS34020" s="47"/>
    </row>
    <row r="34021" spans="45:45">
      <c r="AS34021" s="47"/>
    </row>
    <row r="34022" spans="45:45">
      <c r="AS34022" s="47"/>
    </row>
    <row r="34023" spans="45:45">
      <c r="AS34023" s="47"/>
    </row>
    <row r="34024" spans="45:45">
      <c r="AS34024" s="47"/>
    </row>
    <row r="34025" spans="45:45">
      <c r="AS34025" s="47"/>
    </row>
    <row r="34026" spans="45:45">
      <c r="AS34026" s="47"/>
    </row>
    <row r="34027" spans="45:45">
      <c r="AS34027" s="47"/>
    </row>
    <row r="34028" spans="45:45">
      <c r="AS34028" s="47"/>
    </row>
    <row r="34029" spans="45:45">
      <c r="AS34029" s="47"/>
    </row>
    <row r="34030" spans="45:45">
      <c r="AS34030" s="47"/>
    </row>
    <row r="34031" spans="45:45">
      <c r="AS34031" s="47"/>
    </row>
    <row r="34032" spans="45:45">
      <c r="AS34032" s="47"/>
    </row>
    <row r="34033" spans="45:45">
      <c r="AS34033" s="47"/>
    </row>
    <row r="34034" spans="45:45">
      <c r="AS34034" s="47"/>
    </row>
    <row r="34035" spans="45:45">
      <c r="AS34035" s="47"/>
    </row>
    <row r="34036" spans="45:45">
      <c r="AS34036" s="47"/>
    </row>
    <row r="34037" spans="45:45">
      <c r="AS34037" s="47"/>
    </row>
    <row r="34038" spans="45:45">
      <c r="AS34038" s="47"/>
    </row>
    <row r="34039" spans="45:45">
      <c r="AS34039" s="47"/>
    </row>
    <row r="34040" spans="45:45">
      <c r="AS34040" s="47"/>
    </row>
    <row r="34041" spans="45:45">
      <c r="AS34041" s="47"/>
    </row>
    <row r="34042" spans="45:45">
      <c r="AS34042" s="47"/>
    </row>
    <row r="34043" spans="45:45">
      <c r="AS34043" s="47"/>
    </row>
    <row r="34044" spans="45:45">
      <c r="AS34044" s="47"/>
    </row>
    <row r="34045" spans="45:45">
      <c r="AS34045" s="47"/>
    </row>
    <row r="34046" spans="45:45">
      <c r="AS34046" s="47"/>
    </row>
    <row r="34047" spans="45:45">
      <c r="AS34047" s="47"/>
    </row>
    <row r="34048" spans="45:45">
      <c r="AS34048" s="47"/>
    </row>
    <row r="34049" spans="45:45">
      <c r="AS34049" s="47"/>
    </row>
    <row r="34050" spans="45:45">
      <c r="AS34050" s="47"/>
    </row>
    <row r="34051" spans="45:45">
      <c r="AS34051" s="47"/>
    </row>
    <row r="34052" spans="45:45">
      <c r="AS34052" s="47"/>
    </row>
    <row r="34053" spans="45:45">
      <c r="AS34053" s="47"/>
    </row>
    <row r="34054" spans="45:45">
      <c r="AS34054" s="47"/>
    </row>
    <row r="34055" spans="45:45">
      <c r="AS34055" s="47"/>
    </row>
    <row r="34056" spans="45:45">
      <c r="AS34056" s="47"/>
    </row>
    <row r="34057" spans="45:45">
      <c r="AS34057" s="47"/>
    </row>
    <row r="34058" spans="45:45">
      <c r="AS34058" s="47"/>
    </row>
    <row r="34059" spans="45:45">
      <c r="AS34059" s="47"/>
    </row>
    <row r="34060" spans="45:45">
      <c r="AS34060" s="47"/>
    </row>
    <row r="34061" spans="45:45">
      <c r="AS34061" s="47"/>
    </row>
    <row r="34062" spans="45:45">
      <c r="AS34062" s="47"/>
    </row>
    <row r="34063" spans="45:45">
      <c r="AS34063" s="47"/>
    </row>
    <row r="34064" spans="45:45">
      <c r="AS34064" s="47"/>
    </row>
    <row r="34065" spans="45:45">
      <c r="AS34065" s="47"/>
    </row>
    <row r="34066" spans="45:45">
      <c r="AS34066" s="47"/>
    </row>
    <row r="34067" spans="45:45">
      <c r="AS34067" s="47"/>
    </row>
    <row r="34068" spans="45:45">
      <c r="AS34068" s="47"/>
    </row>
    <row r="34069" spans="45:45">
      <c r="AS34069" s="47"/>
    </row>
    <row r="34070" spans="45:45">
      <c r="AS34070" s="47"/>
    </row>
    <row r="34071" spans="45:45">
      <c r="AS34071" s="47"/>
    </row>
    <row r="34072" spans="45:45">
      <c r="AS34072" s="47"/>
    </row>
    <row r="34073" spans="45:45">
      <c r="AS34073" s="47"/>
    </row>
    <row r="34074" spans="45:45">
      <c r="AS34074" s="47"/>
    </row>
    <row r="34075" spans="45:45">
      <c r="AS34075" s="47"/>
    </row>
    <row r="34076" spans="45:45">
      <c r="AS34076" s="47"/>
    </row>
    <row r="34077" spans="45:45">
      <c r="AS34077" s="47"/>
    </row>
    <row r="34078" spans="45:45">
      <c r="AS34078" s="47"/>
    </row>
    <row r="34079" spans="45:45">
      <c r="AS34079" s="47"/>
    </row>
    <row r="34080" spans="45:45">
      <c r="AS34080" s="47"/>
    </row>
    <row r="34081" spans="45:45">
      <c r="AS34081" s="47"/>
    </row>
    <row r="34082" spans="45:45">
      <c r="AS34082" s="47"/>
    </row>
    <row r="34083" spans="45:45">
      <c r="AS34083" s="47"/>
    </row>
    <row r="34084" spans="45:45">
      <c r="AS34084" s="47"/>
    </row>
    <row r="34085" spans="45:45">
      <c r="AS34085" s="47"/>
    </row>
    <row r="34086" spans="45:45">
      <c r="AS34086" s="47"/>
    </row>
    <row r="34087" spans="45:45">
      <c r="AS34087" s="47"/>
    </row>
    <row r="34088" spans="45:45">
      <c r="AS34088" s="47"/>
    </row>
    <row r="34089" spans="45:45">
      <c r="AS34089" s="47"/>
    </row>
    <row r="34090" spans="45:45">
      <c r="AS34090" s="47"/>
    </row>
    <row r="34091" spans="45:45">
      <c r="AS34091" s="47"/>
    </row>
    <row r="34092" spans="45:45">
      <c r="AS34092" s="47"/>
    </row>
    <row r="34093" spans="45:45">
      <c r="AS34093" s="47"/>
    </row>
    <row r="34094" spans="45:45">
      <c r="AS34094" s="47"/>
    </row>
    <row r="34095" spans="45:45">
      <c r="AS34095" s="47"/>
    </row>
    <row r="34096" spans="45:45">
      <c r="AS34096" s="47"/>
    </row>
    <row r="34097" spans="45:45">
      <c r="AS34097" s="47"/>
    </row>
    <row r="34098" spans="45:45">
      <c r="AS34098" s="47"/>
    </row>
    <row r="34099" spans="45:45">
      <c r="AS34099" s="47"/>
    </row>
    <row r="34100" spans="45:45">
      <c r="AS34100" s="47"/>
    </row>
    <row r="34101" spans="45:45">
      <c r="AS34101" s="47"/>
    </row>
    <row r="34102" spans="45:45">
      <c r="AS34102" s="47"/>
    </row>
    <row r="34103" spans="45:45">
      <c r="AS34103" s="47"/>
    </row>
    <row r="34104" spans="45:45">
      <c r="AS34104" s="47"/>
    </row>
    <row r="34105" spans="45:45">
      <c r="AS34105" s="47"/>
    </row>
    <row r="34106" spans="45:45">
      <c r="AS34106" s="47"/>
    </row>
    <row r="34107" spans="45:45">
      <c r="AS34107" s="47"/>
    </row>
    <row r="34108" spans="45:45">
      <c r="AS34108" s="47"/>
    </row>
    <row r="34109" spans="45:45">
      <c r="AS34109" s="47"/>
    </row>
    <row r="34110" spans="45:45">
      <c r="AS34110" s="47"/>
    </row>
    <row r="34111" spans="45:45">
      <c r="AS34111" s="47"/>
    </row>
    <row r="34112" spans="45:45">
      <c r="AS34112" s="47"/>
    </row>
    <row r="34113" spans="45:45">
      <c r="AS34113" s="47"/>
    </row>
    <row r="34114" spans="45:45">
      <c r="AS34114" s="47"/>
    </row>
    <row r="34115" spans="45:45">
      <c r="AS34115" s="47"/>
    </row>
    <row r="34116" spans="45:45">
      <c r="AS34116" s="47"/>
    </row>
    <row r="34117" spans="45:45">
      <c r="AS34117" s="47"/>
    </row>
    <row r="34118" spans="45:45">
      <c r="AS34118" s="47"/>
    </row>
    <row r="34119" spans="45:45">
      <c r="AS34119" s="47"/>
    </row>
    <row r="34120" spans="45:45">
      <c r="AS34120" s="47"/>
    </row>
    <row r="34121" spans="45:45">
      <c r="AS34121" s="47"/>
    </row>
    <row r="34122" spans="45:45">
      <c r="AS34122" s="47"/>
    </row>
    <row r="34123" spans="45:45">
      <c r="AS34123" s="47"/>
    </row>
    <row r="34124" spans="45:45">
      <c r="AS34124" s="47"/>
    </row>
    <row r="34125" spans="45:45">
      <c r="AS34125" s="47"/>
    </row>
    <row r="34126" spans="45:45">
      <c r="AS34126" s="47"/>
    </row>
    <row r="34127" spans="45:45">
      <c r="AS34127" s="47"/>
    </row>
    <row r="34128" spans="45:45">
      <c r="AS34128" s="47"/>
    </row>
    <row r="34129" spans="45:45">
      <c r="AS34129" s="47"/>
    </row>
    <row r="34130" spans="45:45">
      <c r="AS34130" s="47"/>
    </row>
    <row r="34131" spans="45:45">
      <c r="AS34131" s="47"/>
    </row>
    <row r="34132" spans="45:45">
      <c r="AS34132" s="47"/>
    </row>
    <row r="34133" spans="45:45">
      <c r="AS34133" s="47"/>
    </row>
    <row r="34134" spans="45:45">
      <c r="AS34134" s="47"/>
    </row>
    <row r="34135" spans="45:45">
      <c r="AS34135" s="47"/>
    </row>
    <row r="34136" spans="45:45">
      <c r="AS34136" s="47"/>
    </row>
    <row r="34137" spans="45:45">
      <c r="AS34137" s="47"/>
    </row>
    <row r="34138" spans="45:45">
      <c r="AS34138" s="47"/>
    </row>
    <row r="34139" spans="45:45">
      <c r="AS34139" s="47"/>
    </row>
    <row r="34140" spans="45:45">
      <c r="AS34140" s="47"/>
    </row>
    <row r="34141" spans="45:45">
      <c r="AS34141" s="47"/>
    </row>
    <row r="34142" spans="45:45">
      <c r="AS34142" s="47"/>
    </row>
    <row r="34143" spans="45:45">
      <c r="AS34143" s="47"/>
    </row>
    <row r="34144" spans="45:45">
      <c r="AS34144" s="47"/>
    </row>
    <row r="34145" spans="45:45">
      <c r="AS34145" s="47"/>
    </row>
    <row r="34146" spans="45:45">
      <c r="AS34146" s="47"/>
    </row>
    <row r="34147" spans="45:45">
      <c r="AS34147" s="47"/>
    </row>
    <row r="34148" spans="45:45">
      <c r="AS34148" s="47"/>
    </row>
    <row r="34149" spans="45:45">
      <c r="AS34149" s="47"/>
    </row>
    <row r="34150" spans="45:45">
      <c r="AS34150" s="47"/>
    </row>
    <row r="34151" spans="45:45">
      <c r="AS34151" s="47"/>
    </row>
    <row r="34152" spans="45:45">
      <c r="AS34152" s="47"/>
    </row>
    <row r="34153" spans="45:45">
      <c r="AS34153" s="47"/>
    </row>
    <row r="34154" spans="45:45">
      <c r="AS34154" s="47"/>
    </row>
    <row r="34155" spans="45:45">
      <c r="AS34155" s="47"/>
    </row>
    <row r="34156" spans="45:45">
      <c r="AS34156" s="47"/>
    </row>
    <row r="34157" spans="45:45">
      <c r="AS34157" s="47"/>
    </row>
    <row r="34158" spans="45:45">
      <c r="AS34158" s="47"/>
    </row>
    <row r="34159" spans="45:45">
      <c r="AS34159" s="47"/>
    </row>
    <row r="34160" spans="45:45">
      <c r="AS34160" s="47"/>
    </row>
    <row r="34161" spans="45:45">
      <c r="AS34161" s="47"/>
    </row>
    <row r="34162" spans="45:45">
      <c r="AS34162" s="47"/>
    </row>
    <row r="34163" spans="45:45">
      <c r="AS34163" s="47"/>
    </row>
    <row r="34164" spans="45:45">
      <c r="AS34164" s="47"/>
    </row>
    <row r="34165" spans="45:45">
      <c r="AS34165" s="47"/>
    </row>
    <row r="34166" spans="45:45">
      <c r="AS34166" s="47"/>
    </row>
    <row r="34167" spans="45:45">
      <c r="AS34167" s="47"/>
    </row>
    <row r="34168" spans="45:45">
      <c r="AS34168" s="47"/>
    </row>
    <row r="34169" spans="45:45">
      <c r="AS34169" s="47"/>
    </row>
    <row r="34170" spans="45:45">
      <c r="AS34170" s="47"/>
    </row>
    <row r="34171" spans="45:45">
      <c r="AS34171" s="47"/>
    </row>
    <row r="34172" spans="45:45">
      <c r="AS34172" s="47"/>
    </row>
    <row r="34173" spans="45:45">
      <c r="AS34173" s="47"/>
    </row>
    <row r="34174" spans="45:45">
      <c r="AS34174" s="47"/>
    </row>
    <row r="34175" spans="45:45">
      <c r="AS34175" s="47"/>
    </row>
    <row r="34176" spans="45:45">
      <c r="AS34176" s="47"/>
    </row>
    <row r="34177" spans="45:45">
      <c r="AS34177" s="47"/>
    </row>
    <row r="34178" spans="45:45">
      <c r="AS34178" s="47"/>
    </row>
    <row r="34179" spans="45:45">
      <c r="AS34179" s="47"/>
    </row>
    <row r="34180" spans="45:45">
      <c r="AS34180" s="47"/>
    </row>
    <row r="34181" spans="45:45">
      <c r="AS34181" s="47"/>
    </row>
    <row r="34182" spans="45:45">
      <c r="AS34182" s="47"/>
    </row>
    <row r="34183" spans="45:45">
      <c r="AS34183" s="47"/>
    </row>
    <row r="34184" spans="45:45">
      <c r="AS34184" s="47"/>
    </row>
    <row r="34185" spans="45:45">
      <c r="AS34185" s="47"/>
    </row>
    <row r="34186" spans="45:45">
      <c r="AS34186" s="47"/>
    </row>
    <row r="34187" spans="45:45">
      <c r="AS34187" s="47"/>
    </row>
    <row r="34188" spans="45:45">
      <c r="AS34188" s="47"/>
    </row>
    <row r="34189" spans="45:45">
      <c r="AS34189" s="47"/>
    </row>
    <row r="34190" spans="45:45">
      <c r="AS34190" s="47"/>
    </row>
    <row r="34191" spans="45:45">
      <c r="AS34191" s="47"/>
    </row>
    <row r="34192" spans="45:45">
      <c r="AS34192" s="47"/>
    </row>
    <row r="34193" spans="45:45">
      <c r="AS34193" s="47"/>
    </row>
    <row r="34194" spans="45:45">
      <c r="AS34194" s="47"/>
    </row>
    <row r="34195" spans="45:45">
      <c r="AS34195" s="47"/>
    </row>
    <row r="34196" spans="45:45">
      <c r="AS34196" s="47"/>
    </row>
    <row r="34197" spans="45:45">
      <c r="AS34197" s="47"/>
    </row>
    <row r="34198" spans="45:45">
      <c r="AS34198" s="47"/>
    </row>
    <row r="34199" spans="45:45">
      <c r="AS34199" s="47"/>
    </row>
    <row r="34200" spans="45:45">
      <c r="AS34200" s="47"/>
    </row>
    <row r="34201" spans="45:45">
      <c r="AS34201" s="47"/>
    </row>
    <row r="34202" spans="45:45">
      <c r="AS34202" s="47"/>
    </row>
    <row r="34203" spans="45:45">
      <c r="AS34203" s="47"/>
    </row>
    <row r="34204" spans="45:45">
      <c r="AS34204" s="47"/>
    </row>
    <row r="34205" spans="45:45">
      <c r="AS34205" s="47"/>
    </row>
    <row r="34206" spans="45:45">
      <c r="AS34206" s="47"/>
    </row>
    <row r="34207" spans="45:45">
      <c r="AS34207" s="47"/>
    </row>
    <row r="34208" spans="45:45">
      <c r="AS34208" s="47"/>
    </row>
    <row r="34209" spans="45:45">
      <c r="AS34209" s="47"/>
    </row>
    <row r="34210" spans="45:45">
      <c r="AS34210" s="47"/>
    </row>
    <row r="34211" spans="45:45">
      <c r="AS34211" s="47"/>
    </row>
    <row r="34212" spans="45:45">
      <c r="AS34212" s="47"/>
    </row>
    <row r="34213" spans="45:45">
      <c r="AS34213" s="47"/>
    </row>
    <row r="34214" spans="45:45">
      <c r="AS34214" s="47"/>
    </row>
    <row r="34215" spans="45:45">
      <c r="AS34215" s="47"/>
    </row>
    <row r="34216" spans="45:45">
      <c r="AS34216" s="47"/>
    </row>
    <row r="34217" spans="45:45">
      <c r="AS34217" s="47"/>
    </row>
    <row r="34218" spans="45:45">
      <c r="AS34218" s="47"/>
    </row>
    <row r="34219" spans="45:45">
      <c r="AS34219" s="47"/>
    </row>
    <row r="34220" spans="45:45">
      <c r="AS34220" s="47"/>
    </row>
    <row r="34221" spans="45:45">
      <c r="AS34221" s="47"/>
    </row>
    <row r="34222" spans="45:45">
      <c r="AS34222" s="47"/>
    </row>
    <row r="34223" spans="45:45">
      <c r="AS34223" s="47"/>
    </row>
    <row r="34224" spans="45:45">
      <c r="AS34224" s="47"/>
    </row>
    <row r="34225" spans="45:45">
      <c r="AS34225" s="47"/>
    </row>
    <row r="34226" spans="45:45">
      <c r="AS34226" s="47"/>
    </row>
    <row r="34227" spans="45:45">
      <c r="AS34227" s="47"/>
    </row>
    <row r="34228" spans="45:45">
      <c r="AS34228" s="47"/>
    </row>
    <row r="34229" spans="45:45">
      <c r="AS34229" s="47"/>
    </row>
    <row r="34230" spans="45:45">
      <c r="AS34230" s="47"/>
    </row>
    <row r="34231" spans="45:45">
      <c r="AS34231" s="47"/>
    </row>
    <row r="34232" spans="45:45">
      <c r="AS34232" s="47"/>
    </row>
    <row r="34233" spans="45:45">
      <c r="AS34233" s="47"/>
    </row>
    <row r="34234" spans="45:45">
      <c r="AS34234" s="47"/>
    </row>
    <row r="34235" spans="45:45">
      <c r="AS34235" s="47"/>
    </row>
    <row r="34236" spans="45:45">
      <c r="AS34236" s="47"/>
    </row>
    <row r="34237" spans="45:45">
      <c r="AS34237" s="47"/>
    </row>
    <row r="34238" spans="45:45">
      <c r="AS34238" s="47"/>
    </row>
    <row r="34239" spans="45:45">
      <c r="AS34239" s="47"/>
    </row>
    <row r="34240" spans="45:45">
      <c r="AS34240" s="47"/>
    </row>
    <row r="34241" spans="45:45">
      <c r="AS34241" s="47"/>
    </row>
    <row r="34242" spans="45:45">
      <c r="AS34242" s="47"/>
    </row>
    <row r="34243" spans="45:45">
      <c r="AS34243" s="47"/>
    </row>
    <row r="34244" spans="45:45">
      <c r="AS34244" s="47"/>
    </row>
    <row r="34245" spans="45:45">
      <c r="AS34245" s="47"/>
    </row>
    <row r="34246" spans="45:45">
      <c r="AS34246" s="47"/>
    </row>
    <row r="34247" spans="45:45">
      <c r="AS34247" s="47"/>
    </row>
    <row r="34248" spans="45:45">
      <c r="AS34248" s="47"/>
    </row>
    <row r="34249" spans="45:45">
      <c r="AS34249" s="47"/>
    </row>
    <row r="34250" spans="45:45">
      <c r="AS34250" s="47"/>
    </row>
    <row r="34251" spans="45:45">
      <c r="AS34251" s="47"/>
    </row>
    <row r="34252" spans="45:45">
      <c r="AS34252" s="47"/>
    </row>
    <row r="34253" spans="45:45">
      <c r="AS34253" s="47"/>
    </row>
    <row r="34254" spans="45:45">
      <c r="AS34254" s="47"/>
    </row>
    <row r="34255" spans="45:45">
      <c r="AS34255" s="47"/>
    </row>
    <row r="34256" spans="45:45">
      <c r="AS34256" s="47"/>
    </row>
    <row r="34257" spans="45:45">
      <c r="AS34257" s="47"/>
    </row>
    <row r="34258" spans="45:45">
      <c r="AS34258" s="47"/>
    </row>
    <row r="34259" spans="45:45">
      <c r="AS34259" s="47"/>
    </row>
    <row r="34260" spans="45:45">
      <c r="AS34260" s="47"/>
    </row>
    <row r="34261" spans="45:45">
      <c r="AS34261" s="47"/>
    </row>
    <row r="34262" spans="45:45">
      <c r="AS34262" s="47"/>
    </row>
    <row r="34263" spans="45:45">
      <c r="AS34263" s="47"/>
    </row>
    <row r="34264" spans="45:45">
      <c r="AS34264" s="47"/>
    </row>
    <row r="34265" spans="45:45">
      <c r="AS34265" s="47"/>
    </row>
    <row r="34266" spans="45:45">
      <c r="AS34266" s="47"/>
    </row>
    <row r="34267" spans="45:45">
      <c r="AS34267" s="47"/>
    </row>
    <row r="34268" spans="45:45">
      <c r="AS34268" s="47"/>
    </row>
    <row r="34269" spans="45:45">
      <c r="AS34269" s="47"/>
    </row>
    <row r="34270" spans="45:45">
      <c r="AS34270" s="47"/>
    </row>
    <row r="34271" spans="45:45">
      <c r="AS34271" s="47"/>
    </row>
    <row r="34272" spans="45:45">
      <c r="AS34272" s="47"/>
    </row>
    <row r="34273" spans="45:45">
      <c r="AS34273" s="47"/>
    </row>
    <row r="34274" spans="45:45">
      <c r="AS34274" s="47"/>
    </row>
    <row r="34275" spans="45:45">
      <c r="AS34275" s="47"/>
    </row>
    <row r="34276" spans="45:45">
      <c r="AS34276" s="47"/>
    </row>
    <row r="34277" spans="45:45">
      <c r="AS34277" s="47"/>
    </row>
    <row r="34278" spans="45:45">
      <c r="AS34278" s="47"/>
    </row>
    <row r="34279" spans="45:45">
      <c r="AS34279" s="47"/>
    </row>
    <row r="34280" spans="45:45">
      <c r="AS34280" s="47"/>
    </row>
    <row r="34281" spans="45:45">
      <c r="AS34281" s="47"/>
    </row>
    <row r="34282" spans="45:45">
      <c r="AS34282" s="47"/>
    </row>
    <row r="34283" spans="45:45">
      <c r="AS34283" s="47"/>
    </row>
    <row r="34284" spans="45:45">
      <c r="AS34284" s="47"/>
    </row>
    <row r="34285" spans="45:45">
      <c r="AS34285" s="47"/>
    </row>
    <row r="34286" spans="45:45">
      <c r="AS34286" s="47"/>
    </row>
    <row r="34287" spans="45:45">
      <c r="AS34287" s="47"/>
    </row>
    <row r="34288" spans="45:45">
      <c r="AS34288" s="47"/>
    </row>
    <row r="34289" spans="45:45">
      <c r="AS34289" s="47"/>
    </row>
    <row r="34290" spans="45:45">
      <c r="AS34290" s="47"/>
    </row>
    <row r="34291" spans="45:45">
      <c r="AS34291" s="47"/>
    </row>
    <row r="34292" spans="45:45">
      <c r="AS34292" s="47"/>
    </row>
    <row r="34293" spans="45:45">
      <c r="AS34293" s="47"/>
    </row>
    <row r="34294" spans="45:45">
      <c r="AS34294" s="47"/>
    </row>
    <row r="34295" spans="45:45">
      <c r="AS34295" s="47"/>
    </row>
    <row r="34296" spans="45:45">
      <c r="AS34296" s="47"/>
    </row>
    <row r="34297" spans="45:45">
      <c r="AS34297" s="47"/>
    </row>
    <row r="34298" spans="45:45">
      <c r="AS34298" s="47"/>
    </row>
    <row r="34299" spans="45:45">
      <c r="AS34299" s="47"/>
    </row>
    <row r="34300" spans="45:45">
      <c r="AS34300" s="47"/>
    </row>
    <row r="34301" spans="45:45">
      <c r="AS34301" s="47"/>
    </row>
    <row r="34302" spans="45:45">
      <c r="AS34302" s="47"/>
    </row>
    <row r="34303" spans="45:45">
      <c r="AS34303" s="47"/>
    </row>
    <row r="34304" spans="45:45">
      <c r="AS34304" s="47"/>
    </row>
    <row r="34305" spans="45:45">
      <c r="AS34305" s="47"/>
    </row>
    <row r="34306" spans="45:45">
      <c r="AS34306" s="47"/>
    </row>
    <row r="34307" spans="45:45">
      <c r="AS34307" s="47"/>
    </row>
    <row r="34308" spans="45:45">
      <c r="AS34308" s="47"/>
    </row>
    <row r="34309" spans="45:45">
      <c r="AS34309" s="47"/>
    </row>
    <row r="34310" spans="45:45">
      <c r="AS34310" s="47"/>
    </row>
    <row r="34311" spans="45:45">
      <c r="AS34311" s="47"/>
    </row>
    <row r="34312" spans="45:45">
      <c r="AS34312" s="47"/>
    </row>
    <row r="34313" spans="45:45">
      <c r="AS34313" s="47"/>
    </row>
    <row r="34314" spans="45:45">
      <c r="AS34314" s="47"/>
    </row>
    <row r="34315" spans="45:45">
      <c r="AS34315" s="47"/>
    </row>
    <row r="34316" spans="45:45">
      <c r="AS34316" s="47"/>
    </row>
    <row r="34317" spans="45:45">
      <c r="AS34317" s="47"/>
    </row>
    <row r="34318" spans="45:45">
      <c r="AS34318" s="47"/>
    </row>
    <row r="34319" spans="45:45">
      <c r="AS34319" s="47"/>
    </row>
    <row r="34320" spans="45:45">
      <c r="AS34320" s="47"/>
    </row>
    <row r="34321" spans="45:45">
      <c r="AS34321" s="47"/>
    </row>
    <row r="34322" spans="45:45">
      <c r="AS34322" s="47"/>
    </row>
    <row r="34323" spans="45:45">
      <c r="AS34323" s="47"/>
    </row>
    <row r="34324" spans="45:45">
      <c r="AS34324" s="47"/>
    </row>
    <row r="34325" spans="45:45">
      <c r="AS34325" s="47"/>
    </row>
    <row r="34326" spans="45:45">
      <c r="AS34326" s="47"/>
    </row>
    <row r="34327" spans="45:45">
      <c r="AS34327" s="47"/>
    </row>
    <row r="34328" spans="45:45">
      <c r="AS34328" s="47"/>
    </row>
    <row r="34329" spans="45:45">
      <c r="AS34329" s="47"/>
    </row>
    <row r="34330" spans="45:45">
      <c r="AS34330" s="47"/>
    </row>
    <row r="34331" spans="45:45">
      <c r="AS34331" s="47"/>
    </row>
    <row r="34332" spans="45:45">
      <c r="AS34332" s="47"/>
    </row>
    <row r="34333" spans="45:45">
      <c r="AS34333" s="47"/>
    </row>
    <row r="34334" spans="45:45">
      <c r="AS34334" s="47"/>
    </row>
    <row r="34335" spans="45:45">
      <c r="AS34335" s="47"/>
    </row>
    <row r="34336" spans="45:45">
      <c r="AS34336" s="47"/>
    </row>
    <row r="34337" spans="45:45">
      <c r="AS34337" s="47"/>
    </row>
    <row r="34338" spans="45:45">
      <c r="AS34338" s="47"/>
    </row>
    <row r="34339" spans="45:45">
      <c r="AS34339" s="47"/>
    </row>
    <row r="34340" spans="45:45">
      <c r="AS34340" s="47"/>
    </row>
    <row r="34341" spans="45:45">
      <c r="AS34341" s="47"/>
    </row>
    <row r="34342" spans="45:45">
      <c r="AS34342" s="47"/>
    </row>
    <row r="34343" spans="45:45">
      <c r="AS34343" s="47"/>
    </row>
    <row r="34344" spans="45:45">
      <c r="AS34344" s="47"/>
    </row>
    <row r="34345" spans="45:45">
      <c r="AS34345" s="47"/>
    </row>
    <row r="34346" spans="45:45">
      <c r="AS34346" s="47"/>
    </row>
    <row r="34347" spans="45:45">
      <c r="AS34347" s="47"/>
    </row>
    <row r="34348" spans="45:45">
      <c r="AS34348" s="47"/>
    </row>
    <row r="34349" spans="45:45">
      <c r="AS34349" s="47"/>
    </row>
    <row r="34350" spans="45:45">
      <c r="AS34350" s="47"/>
    </row>
    <row r="34351" spans="45:45">
      <c r="AS34351" s="47"/>
    </row>
    <row r="34352" spans="45:45">
      <c r="AS34352" s="47"/>
    </row>
    <row r="34353" spans="45:45">
      <c r="AS34353" s="47"/>
    </row>
    <row r="34354" spans="45:45">
      <c r="AS34354" s="47"/>
    </row>
    <row r="34355" spans="45:45">
      <c r="AS34355" s="47"/>
    </row>
    <row r="34356" spans="45:45">
      <c r="AS34356" s="47"/>
    </row>
    <row r="34357" spans="45:45">
      <c r="AS34357" s="47"/>
    </row>
    <row r="34358" spans="45:45">
      <c r="AS34358" s="47"/>
    </row>
    <row r="34359" spans="45:45">
      <c r="AS34359" s="47"/>
    </row>
    <row r="34360" spans="45:45">
      <c r="AS34360" s="47"/>
    </row>
    <row r="34361" spans="45:45">
      <c r="AS34361" s="47"/>
    </row>
    <row r="34362" spans="45:45">
      <c r="AS34362" s="47"/>
    </row>
    <row r="34363" spans="45:45">
      <c r="AS34363" s="47"/>
    </row>
    <row r="34364" spans="45:45">
      <c r="AS34364" s="47"/>
    </row>
    <row r="34365" spans="45:45">
      <c r="AS34365" s="47"/>
    </row>
    <row r="34366" spans="45:45">
      <c r="AS34366" s="47"/>
    </row>
    <row r="34367" spans="45:45">
      <c r="AS34367" s="47"/>
    </row>
    <row r="34368" spans="45:45">
      <c r="AS34368" s="47"/>
    </row>
    <row r="34369" spans="45:45">
      <c r="AS34369" s="47"/>
    </row>
    <row r="34370" spans="45:45">
      <c r="AS34370" s="47"/>
    </row>
    <row r="34371" spans="45:45">
      <c r="AS34371" s="47"/>
    </row>
    <row r="34372" spans="45:45">
      <c r="AS34372" s="47"/>
    </row>
    <row r="34373" spans="45:45">
      <c r="AS34373" s="47"/>
    </row>
    <row r="34374" spans="45:45">
      <c r="AS34374" s="47"/>
    </row>
    <row r="34375" spans="45:45">
      <c r="AS34375" s="47"/>
    </row>
    <row r="34376" spans="45:45">
      <c r="AS34376" s="47"/>
    </row>
    <row r="34377" spans="45:45">
      <c r="AS34377" s="47"/>
    </row>
    <row r="34378" spans="45:45">
      <c r="AS34378" s="47"/>
    </row>
    <row r="34379" spans="45:45">
      <c r="AS34379" s="47"/>
    </row>
    <row r="34380" spans="45:45">
      <c r="AS34380" s="47"/>
    </row>
    <row r="34381" spans="45:45">
      <c r="AS34381" s="47"/>
    </row>
    <row r="34382" spans="45:45">
      <c r="AS34382" s="47"/>
    </row>
    <row r="34383" spans="45:45">
      <c r="AS34383" s="47"/>
    </row>
    <row r="34384" spans="45:45">
      <c r="AS34384" s="47"/>
    </row>
    <row r="34385" spans="45:45">
      <c r="AS34385" s="47"/>
    </row>
    <row r="34386" spans="45:45">
      <c r="AS34386" s="47"/>
    </row>
    <row r="34387" spans="45:45">
      <c r="AS34387" s="47"/>
    </row>
    <row r="34388" spans="45:45">
      <c r="AS34388" s="47"/>
    </row>
    <row r="34389" spans="45:45">
      <c r="AS34389" s="47"/>
    </row>
    <row r="34390" spans="45:45">
      <c r="AS34390" s="47"/>
    </row>
    <row r="34391" spans="45:45">
      <c r="AS34391" s="47"/>
    </row>
    <row r="34392" spans="45:45">
      <c r="AS34392" s="47"/>
    </row>
    <row r="34393" spans="45:45">
      <c r="AS34393" s="47"/>
    </row>
    <row r="34394" spans="45:45">
      <c r="AS34394" s="47"/>
    </row>
    <row r="34395" spans="45:45">
      <c r="AS34395" s="47"/>
    </row>
    <row r="34396" spans="45:45">
      <c r="AS34396" s="47"/>
    </row>
    <row r="34397" spans="45:45">
      <c r="AS34397" s="47"/>
    </row>
    <row r="34398" spans="45:45">
      <c r="AS34398" s="47"/>
    </row>
    <row r="34399" spans="45:45">
      <c r="AS34399" s="47"/>
    </row>
    <row r="34400" spans="45:45">
      <c r="AS34400" s="47"/>
    </row>
    <row r="34401" spans="45:45">
      <c r="AS34401" s="47"/>
    </row>
    <row r="34402" spans="45:45">
      <c r="AS34402" s="47"/>
    </row>
    <row r="34403" spans="45:45">
      <c r="AS34403" s="47"/>
    </row>
    <row r="34404" spans="45:45">
      <c r="AS34404" s="47"/>
    </row>
    <row r="34405" spans="45:45">
      <c r="AS34405" s="47"/>
    </row>
    <row r="34406" spans="45:45">
      <c r="AS34406" s="47"/>
    </row>
    <row r="34407" spans="45:45">
      <c r="AS34407" s="47"/>
    </row>
    <row r="34408" spans="45:45">
      <c r="AS34408" s="47"/>
    </row>
    <row r="34409" spans="45:45">
      <c r="AS34409" s="47"/>
    </row>
    <row r="34410" spans="45:45">
      <c r="AS34410" s="47"/>
    </row>
    <row r="34411" spans="45:45">
      <c r="AS34411" s="47"/>
    </row>
    <row r="34412" spans="45:45">
      <c r="AS34412" s="47"/>
    </row>
    <row r="34413" spans="45:45">
      <c r="AS34413" s="47"/>
    </row>
    <row r="34414" spans="45:45">
      <c r="AS34414" s="47"/>
    </row>
    <row r="34415" spans="45:45">
      <c r="AS34415" s="47"/>
    </row>
    <row r="34416" spans="45:45">
      <c r="AS34416" s="47"/>
    </row>
    <row r="34417" spans="45:45">
      <c r="AS34417" s="47"/>
    </row>
    <row r="34418" spans="45:45">
      <c r="AS34418" s="47"/>
    </row>
    <row r="34419" spans="45:45">
      <c r="AS34419" s="47"/>
    </row>
    <row r="34420" spans="45:45">
      <c r="AS34420" s="47"/>
    </row>
    <row r="34421" spans="45:45">
      <c r="AS34421" s="47"/>
    </row>
    <row r="34422" spans="45:45">
      <c r="AS34422" s="47"/>
    </row>
    <row r="34423" spans="45:45">
      <c r="AS34423" s="47"/>
    </row>
    <row r="34424" spans="45:45">
      <c r="AS34424" s="47"/>
    </row>
    <row r="34425" spans="45:45">
      <c r="AS34425" s="47"/>
    </row>
    <row r="34426" spans="45:45">
      <c r="AS34426" s="47"/>
    </row>
    <row r="34427" spans="45:45">
      <c r="AS34427" s="47"/>
    </row>
    <row r="34428" spans="45:45">
      <c r="AS34428" s="47"/>
    </row>
    <row r="34429" spans="45:45">
      <c r="AS34429" s="47"/>
    </row>
    <row r="34430" spans="45:45">
      <c r="AS34430" s="47"/>
    </row>
  </sheetData>
  <mergeCells count="27">
    <mergeCell ref="G46:H46"/>
    <mergeCell ref="K46:L46"/>
    <mergeCell ref="M46:N46"/>
    <mergeCell ref="U46:AA46"/>
    <mergeCell ref="AB46:AD46"/>
    <mergeCell ref="AE46:AF46"/>
    <mergeCell ref="AG46:AN46"/>
    <mergeCell ref="AO46:AS46"/>
    <mergeCell ref="AI47:AJ47"/>
    <mergeCell ref="AK47:AL47"/>
    <mergeCell ref="AM47:AN47"/>
    <mergeCell ref="AO47:AP47"/>
    <mergeCell ref="A46:A47"/>
    <mergeCell ref="B46:B47"/>
    <mergeCell ref="C46:C47"/>
    <mergeCell ref="D46:D47"/>
    <mergeCell ref="E46:E47"/>
    <mergeCell ref="F46:F47"/>
    <mergeCell ref="I46:I47"/>
    <mergeCell ref="J46:J47"/>
    <mergeCell ref="O46:O47"/>
    <mergeCell ref="P46:P47"/>
    <mergeCell ref="Q46:Q47"/>
    <mergeCell ref="R46:R47"/>
    <mergeCell ref="S46:S47"/>
    <mergeCell ref="T46:T47"/>
    <mergeCell ref="AT46:AT47"/>
  </mergeCells>
  <dataValidations count="14">
    <dataValidation type="list" allowBlank="1" showInputMessage="1" showErrorMessage="1" sqref="H48:H147">
      <formula1>$A$1:$A$2</formula1>
    </dataValidation>
    <dataValidation type="list" allowBlank="1" showInputMessage="1" showErrorMessage="1" sqref="L48:L147">
      <formula1>$A$3:$A$4</formula1>
    </dataValidation>
    <dataValidation type="list" allowBlank="1" showInputMessage="1" showErrorMessage="1" sqref="N48:N147">
      <formula1>$A$5:$A$8</formula1>
    </dataValidation>
    <dataValidation type="list" allowBlank="1" showInputMessage="1" showErrorMessage="1" sqref="V48:V147">
      <formula1>$A$14:$A$18</formula1>
    </dataValidation>
    <dataValidation type="list" allowBlank="1" showInputMessage="1" showErrorMessage="1" sqref="Y48:Y147">
      <formula1>$A$19:$A$20</formula1>
    </dataValidation>
    <dataValidation type="list" allowBlank="1" showInputMessage="1" showErrorMessage="1" sqref="AA48:AA147">
      <formula1>$A$21:$A$22</formula1>
    </dataValidation>
    <dataValidation type="list" allowBlank="1" showInputMessage="1" showErrorMessage="1" sqref="AF48:AF147">
      <formula1>$A$23:$A$26</formula1>
    </dataValidation>
    <dataValidation type="list" allowBlank="1" showInputMessage="1" showErrorMessage="1" sqref="AH48:AH147">
      <formula1>$A$41:$A$42</formula1>
    </dataValidation>
    <dataValidation type="list" allowBlank="1" showInputMessage="1" showErrorMessage="1" sqref="AJ48:AJ147">
      <formula1>$A$27:$A$28</formula1>
    </dataValidation>
    <dataValidation type="list" allowBlank="1" showInputMessage="1" showErrorMessage="1" sqref="AL48:AL147">
      <formula1>$A$30:$A$31</formula1>
    </dataValidation>
    <dataValidation type="list" allowBlank="1" showInputMessage="1" showErrorMessage="1" sqref="AN48:AN147">
      <formula1>$A$32:$A$33</formula1>
    </dataValidation>
    <dataValidation type="list" allowBlank="1" showInputMessage="1" showErrorMessage="1" sqref="AP48:AP147">
      <formula1>$A$34:$A$35</formula1>
    </dataValidation>
    <dataValidation type="list" allowBlank="1" showInputMessage="1" showErrorMessage="1" sqref="AQ48:AQ147">
      <formula1>"1,3,8,15"</formula1>
    </dataValidation>
    <dataValidation type="list" allowBlank="1" showInputMessage="1" showErrorMessage="1" sqref="AR48:AR147">
      <formula1>"10,50,100,200,300"</formula1>
    </dataValidation>
  </dataValidations>
  <pageMargins left="0.699305555555556" right="0.699305555555556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G101"/>
  <sheetViews>
    <sheetView workbookViewId="0">
      <selection activeCell="A4" sqref="A4"/>
    </sheetView>
  </sheetViews>
  <sheetFormatPr defaultColWidth="6.875" defaultRowHeight="13.5"/>
  <cols>
    <col min="1" max="1" width="9" style="2" customWidth="1"/>
    <col min="3" max="3" width="13" customWidth="1"/>
    <col min="4" max="5" width="8.5" customWidth="1"/>
  </cols>
  <sheetData>
    <row r="1" spans="1:33">
      <c r="A1" s="3" t="s">
        <v>54</v>
      </c>
      <c r="B1" s="3"/>
      <c r="C1" s="3"/>
      <c r="D1" s="3"/>
      <c r="E1" s="3"/>
      <c r="F1" s="4" t="s">
        <v>61</v>
      </c>
      <c r="G1" s="4"/>
      <c r="H1" s="4"/>
      <c r="I1" s="4"/>
      <c r="J1" s="4"/>
      <c r="K1" s="4"/>
      <c r="L1" s="7" t="s">
        <v>70</v>
      </c>
      <c r="M1" s="8"/>
      <c r="N1" s="9"/>
      <c r="O1" s="10" t="s">
        <v>181</v>
      </c>
      <c r="P1" s="10"/>
      <c r="Q1" s="10"/>
      <c r="R1" s="10"/>
      <c r="S1" s="10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</row>
    <row r="2" spans="1:14">
      <c r="A2" s="5" t="str">
        <f>IFERROR(IF((LEN(Sheet1!N48)-LEN(SUBSTITUTE(Sheet1!N48,", ","")))/2=0,VLOOKUP(Sheet1!N48,Sheet1!$A$1:$B$40,2,FALSE),""),"")</f>
        <v/>
      </c>
      <c r="B2" s="6" t="str">
        <f>IFERROR(IF((LEN(Sheet1!N48)-LEN(SUBSTITUTE(Sheet1!N48,", ","")))/2=1,VLOOKUP(LEFT(Sheet1!N48,FIND(", ",Sheet1!N48)-1),Sheet1!$A$1:$B$40,2,FALSE)&amp;","&amp;VLOOKUP(RIGHT(Sheet1!N48,LEN(Sheet1!N48)-FIND(", ",Sheet1!N48)-1),Sheet1!$A$1:$B$40,2,FALSE),""),"")</f>
        <v/>
      </c>
      <c r="C2" s="6" t="str">
        <f>IF((LEN(Sheet1!N48)-LEN(SUBSTITUTE(Sheet1!N48,", ","")))/2=2,VLOOKUP(LEFT(Sheet1!N48,FIND(", ",Sheet1!N48)-1),Sheet1!$A$1:$B$40,2,FALSE)&amp;","&amp;VLOOKUP(MID(Sheet1!N48,FIND("#",SUBSTITUTE(Sheet1!N48,", ","#",1))+2,FIND("#",SUBSTITUTE(Sheet1!N48,", ","#",2))-(FIND("#",SUBSTITUTE(Sheet1!N48,", ","#",1))+2)),Sheet1!$A$1:$B$40,2,FALSE)&amp;","&amp;VLOOKUP(RIGHT(Sheet1!N48,LEN(Sheet1!N48)-FIND("#",SUBSTITUTE(Sheet1!N48,", ","#",2))-1),Sheet1!$A$1:$B$40,2,FALSE),"")</f>
        <v/>
      </c>
      <c r="D2" s="6" t="str">
        <f>IF((LEN(Sheet1!N48)-LEN(SUBSTITUTE(Sheet1!N48,", ","")))/2=3,VLOOKUP(LEFT(Sheet1!N48,FIND(", ",Sheet1!N48)-1),Sheet1!$A$1:$B$40,2,FALSE)&amp;","&amp;VLOOKUP(MID(Sheet1!N48,FIND("#",SUBSTITUTE(Sheet1!N48,", ","#",1))+2,FIND("#",SUBSTITUTE(Sheet1!N48,", ","#",2))-(FIND("#",SUBSTITUTE(Sheet1!N48,", ","#",1))+2)),Sheet1!$A$1:$B$40,2,FALSE)&amp;","&amp;VLOOKUP(MID(Sheet1!N48,FIND("#",SUBSTITUTE(Sheet1!N48,", ","#",2))+2,FIND("#",SUBSTITUTE(Sheet1!N48,", ","#",3))-(FIND("#",SUBSTITUTE(Sheet1!N48,", ","#",2))+2)),Sheet1!$A$1:$B$40,2,FALSE)&amp;","&amp;VLOOKUP(RIGHT(Sheet1!N48,LEN(Sheet1!N48)-FIND("#",SUBSTITUTE(Sheet1!N48,", ","#",3))-1),Sheet1!$A$1:$B$40,2,FALSE),"")</f>
        <v/>
      </c>
      <c r="E2" s="6" t="str">
        <f>A2&amp;B2&amp;C2&amp;D2</f>
        <v/>
      </c>
      <c r="F2" s="6" t="str">
        <f>IFERROR(IF((LEN(Sheet1!V48)-LEN(SUBSTITUTE(Sheet1!V48,", ","")))/2=0,VLOOKUP(Sheet1!V48,Sheet1!$A$1:$B$40,2,FALSE),""),"")</f>
        <v/>
      </c>
      <c r="G2" s="6" t="str">
        <f>IFERROR(IF((LEN(Sheet1!V48)-LEN(SUBSTITUTE(Sheet1!V48,", ","")))/2=1,VLOOKUP(LEFT(Sheet1!V48,FIND(", ",Sheet1!V48)-1),Sheet1!$A$1:$B$40,2,FALSE)&amp;","&amp;VLOOKUP(RIGHT(Sheet1!V48,LEN(Sheet1!V48)-FIND(", ",Sheet1!V48)-1),Sheet1!$A$1:$B$40,2,FALSE),""),"")</f>
        <v/>
      </c>
      <c r="H2" s="6" t="str">
        <f>IF((LEN(Sheet1!V48)-LEN(SUBSTITUTE(Sheet1!V48,", ","")))/2=2,VLOOKUP(LEFT(Sheet1!V48,FIND(", ",Sheet1!V48)-1),Sheet1!$A$1:$B$40,2,FALSE)&amp;","&amp;VLOOKUP(MID(Sheet1!V48,FIND("#",SUBSTITUTE(Sheet1!V48,", ","#",1))+2,FIND("#",SUBSTITUTE(Sheet1!V48,", ","#",2))-(FIND("#",SUBSTITUTE(Sheet1!V48,", ","#",1))+2)),Sheet1!$A$1:$B$40,2,FALSE)&amp;","&amp;VLOOKUP(RIGHT(Sheet1!V48,LEN(Sheet1!V48)-FIND("#",SUBSTITUTE(Sheet1!V48,", ","#",2))-1),Sheet1!$A$1:$B$40,2,FALSE),"")</f>
        <v/>
      </c>
      <c r="I2" s="6" t="str">
        <f>IF((LEN(Sheet1!V48)-LEN(SUBSTITUTE(Sheet1!V48,", ","")))/2=3,VLOOKUP(LEFT(Sheet1!V48,FIND(", ",Sheet1!V48)-1),Sheet1!$A$1:$B$40,2,FALSE)&amp;","&amp;VLOOKUP(MID(Sheet1!V48,FIND("#",SUBSTITUTE(Sheet1!V48,", ","#",1))+2,FIND("#",SUBSTITUTE(Sheet1!V48,", ","#",2))-(FIND("#",SUBSTITUTE(Sheet1!V48,", ","#",1))+2)),Sheet1!$A$1:$B$40,2,FALSE)&amp;","&amp;VLOOKUP(MID(Sheet1!V48,FIND("#",SUBSTITUTE(Sheet1!V48,", ","#",2))+2,FIND("#",SUBSTITUTE(Sheet1!V48,", ","#",3))-(FIND("#",SUBSTITUTE(Sheet1!V48,", ","#",2))+2)),Sheet1!$A$1:$B$40,2,FALSE)&amp;","&amp;VLOOKUP(RIGHT(Sheet1!V48,LEN(Sheet1!V48)-FIND("#",SUBSTITUTE(Sheet1!V48,", ","#",3))-1),Sheet1!$A$1:$B$40,2,FALSE),"")</f>
        <v/>
      </c>
      <c r="J2" s="6" t="str">
        <f>IF((LEN(Sheet1!V48)-LEN(SUBSTITUTE(Sheet1!V48,", ","")))/2=4,VLOOKUP(LEFT(Sheet1!V48,FIND(", ",Sheet1!V48)-1),Sheet1!$A$1:$B$40,2,FALSE)&amp;","&amp;VLOOKUP(MID(Sheet1!V48,FIND("#",SUBSTITUTE(Sheet1!V48,", ","#",1))+2,FIND("#",SUBSTITUTE(Sheet1!V48,", ","#",2))-(FIND("#",SUBSTITUTE(Sheet1!V48,", ","#",1))+2)),Sheet1!$A$1:$B$40,2,FALSE)&amp;","&amp;VLOOKUP(MID(Sheet1!V48,FIND("#",SUBSTITUTE(Sheet1!V48,", ","#",2))+2,FIND("#",SUBSTITUTE(Sheet1!V48,", ","#",3))-(FIND("#",SUBSTITUTE(Sheet1!V48,", ","#",2))+2)),Sheet1!$A$1:$B$40,2,FALSE)&amp;","&amp;VLOOKUP(MID(Sheet1!V48,FIND("#",SUBSTITUTE(Sheet1!V48,", ","#",3))+2,FIND("#",SUBSTITUTE(Sheet1!V48,", ","#",4))-(FIND("#",SUBSTITUTE(Sheet1!V48,", ","#",3))+2)),Sheet1!$A$1:$B$40,2,FALSE)&amp;","&amp;VLOOKUP(RIGHT(Sheet1!V48,LEN(Sheet1!V48)-FIND("#",SUBSTITUTE(Sheet1!V48,", ","#",4))-1),Sheet1!$A$1:$B$40,2,FALSE),"")</f>
        <v/>
      </c>
      <c r="K2" s="6" t="str">
        <f>F2&amp;G2&amp;H2&amp;I2&amp;J2</f>
        <v/>
      </c>
      <c r="L2" s="6" t="str">
        <f>IFERROR(IF((LEN(Sheet1!AA48)-LEN(SUBSTITUTE(Sheet1!AA48,", ","")))/2=0,VLOOKUP(Sheet1!AA48,Sheet1!$A$1:$B$40,2,FALSE),""),"")</f>
        <v/>
      </c>
      <c r="M2" s="6" t="str">
        <f>IFERROR(IF((LEN(Sheet1!AA48)-LEN(SUBSTITUTE(Sheet1!AA48,", ","")))/2=1,VLOOKUP(LEFT(Sheet1!AA48,FIND(", ",Sheet1!AA48)-1),Sheet1!$A$1:$B$40,2,FALSE)&amp;","&amp;VLOOKUP(RIGHT(Sheet1!AA48,LEN(Sheet1!AA48)-FIND(", ",Sheet1!AA48)-1),Sheet1!$A$1:$B$40,2,FALSE),""),"")</f>
        <v/>
      </c>
      <c r="N2" s="6" t="str">
        <f>L2&amp;M2</f>
        <v/>
      </c>
    </row>
    <row r="3" spans="1:14">
      <c r="A3" s="5" t="str">
        <f>IFERROR(IF((LEN(Sheet1!N49)-LEN(SUBSTITUTE(Sheet1!N49,", ","")))/2=0,VLOOKUP(Sheet1!N49,Sheet1!$A$1:$B$40,2,FALSE),""),"")</f>
        <v/>
      </c>
      <c r="B3" s="6" t="str">
        <f>IFERROR(IF((LEN(Sheet1!N49)-LEN(SUBSTITUTE(Sheet1!N49,", ","")))/2=1,VLOOKUP(LEFT(Sheet1!N49,FIND(", ",Sheet1!N49)-1),Sheet1!$A$1:$B$40,2,FALSE)&amp;","&amp;VLOOKUP(RIGHT(Sheet1!N49,LEN(Sheet1!N49)-FIND(", ",Sheet1!N49)-1),Sheet1!$A$1:$B$40,2,FALSE),""),"")</f>
        <v/>
      </c>
      <c r="C3" s="6" t="str">
        <f>IF((LEN(Sheet1!N49)-LEN(SUBSTITUTE(Sheet1!N49,", ","")))/2=2,VLOOKUP(LEFT(Sheet1!N49,FIND(", ",Sheet1!N49)-1),Sheet1!$A$1:$B$40,2,FALSE)&amp;","&amp;VLOOKUP(MID(Sheet1!N49,FIND("#",SUBSTITUTE(Sheet1!N49,", ","#",1))+2,FIND("#",SUBSTITUTE(Sheet1!N49,", ","#",2))-(FIND("#",SUBSTITUTE(Sheet1!N49,", ","#",1))+2)),Sheet1!$A$1:$B$40,2,FALSE)&amp;","&amp;VLOOKUP(RIGHT(Sheet1!N49,LEN(Sheet1!N49)-FIND("#",SUBSTITUTE(Sheet1!N49,", ","#",2))-1),Sheet1!$A$1:$B$40,2,FALSE),"")</f>
        <v/>
      </c>
      <c r="D3" s="6" t="str">
        <f>IF((LEN(Sheet1!N49)-LEN(SUBSTITUTE(Sheet1!N49,", ","")))/2=3,VLOOKUP(LEFT(Sheet1!N49,FIND(", ",Sheet1!N49)-1),Sheet1!$A$1:$B$40,2,FALSE)&amp;","&amp;VLOOKUP(MID(Sheet1!N49,FIND("#",SUBSTITUTE(Sheet1!N49,", ","#",1))+2,FIND("#",SUBSTITUTE(Sheet1!N49,", ","#",2))-(FIND("#",SUBSTITUTE(Sheet1!N49,", ","#",1))+2)),Sheet1!$A$1:$B$40,2,FALSE)&amp;","&amp;VLOOKUP(MID(Sheet1!N49,FIND("#",SUBSTITUTE(Sheet1!N49,", ","#",2))+2,FIND("#",SUBSTITUTE(Sheet1!N49,", ","#",3))-(FIND("#",SUBSTITUTE(Sheet1!N49,", ","#",2))+2)),Sheet1!$A$1:$B$40,2,FALSE)&amp;","&amp;VLOOKUP(RIGHT(Sheet1!N49,LEN(Sheet1!N49)-FIND("#",SUBSTITUTE(Sheet1!N49,", ","#",3))-1),Sheet1!$A$1:$B$40,2,FALSE),"")</f>
        <v/>
      </c>
      <c r="E3" s="6" t="str">
        <f t="shared" ref="E3:E28" si="0">A3&amp;B3&amp;C3&amp;D3</f>
        <v/>
      </c>
      <c r="F3" s="6" t="str">
        <f>IFERROR(IF((LEN(Sheet1!V49)-LEN(SUBSTITUTE(Sheet1!V49,", ","")))/2=0,VLOOKUP(Sheet1!V49,Sheet1!$A$1:$B$40,2,FALSE),""),"")</f>
        <v/>
      </c>
      <c r="G3" s="6" t="str">
        <f>IFERROR(IF((LEN(Sheet1!V49)-LEN(SUBSTITUTE(Sheet1!V49,", ","")))/2=1,VLOOKUP(LEFT(Sheet1!V49,FIND(", ",Sheet1!V49)-1),Sheet1!$A$1:$B$40,2,FALSE)&amp;","&amp;VLOOKUP(RIGHT(Sheet1!V49,LEN(Sheet1!V49)-FIND(", ",Sheet1!V49)-1),Sheet1!$A$1:$B$40,2,FALSE),""),"")</f>
        <v/>
      </c>
      <c r="H3" s="6" t="str">
        <f>IF((LEN(Sheet1!V49)-LEN(SUBSTITUTE(Sheet1!V49,", ","")))/2=2,VLOOKUP(LEFT(Sheet1!V49,FIND(", ",Sheet1!V49)-1),Sheet1!$A$1:$B$40,2,FALSE)&amp;","&amp;VLOOKUP(MID(Sheet1!V49,FIND("#",SUBSTITUTE(Sheet1!V49,", ","#",1))+2,FIND("#",SUBSTITUTE(Sheet1!V49,", ","#",2))-(FIND("#",SUBSTITUTE(Sheet1!V49,", ","#",1))+2)),Sheet1!$A$1:$B$40,2,FALSE)&amp;","&amp;VLOOKUP(RIGHT(Sheet1!V49,LEN(Sheet1!V49)-FIND("#",SUBSTITUTE(Sheet1!V49,", ","#",2))-1),Sheet1!$A$1:$B$40,2,FALSE),"")</f>
        <v/>
      </c>
      <c r="I3" s="6" t="str">
        <f>IF((LEN(Sheet1!V49)-LEN(SUBSTITUTE(Sheet1!V49,", ","")))/2=3,VLOOKUP(LEFT(Sheet1!V49,FIND(", ",Sheet1!V49)-1),Sheet1!$A$1:$B$40,2,FALSE)&amp;","&amp;VLOOKUP(MID(Sheet1!V49,FIND("#",SUBSTITUTE(Sheet1!V49,", ","#",1))+2,FIND("#",SUBSTITUTE(Sheet1!V49,", ","#",2))-(FIND("#",SUBSTITUTE(Sheet1!V49,", ","#",1))+2)),Sheet1!$A$1:$B$40,2,FALSE)&amp;","&amp;VLOOKUP(MID(Sheet1!V49,FIND("#",SUBSTITUTE(Sheet1!V49,", ","#",2))+2,FIND("#",SUBSTITUTE(Sheet1!V49,", ","#",3))-(FIND("#",SUBSTITUTE(Sheet1!V49,", ","#",2))+2)),Sheet1!$A$1:$B$40,2,FALSE)&amp;","&amp;VLOOKUP(RIGHT(Sheet1!V49,LEN(Sheet1!V49)-FIND("#",SUBSTITUTE(Sheet1!V49,", ","#",3))-1),Sheet1!$A$1:$B$40,2,FALSE),"")</f>
        <v/>
      </c>
      <c r="J3" s="6" t="str">
        <f>IF((LEN(Sheet1!V49)-LEN(SUBSTITUTE(Sheet1!V49,", ","")))/2=4,VLOOKUP(LEFT(Sheet1!V49,FIND(", ",Sheet1!V49)-1),Sheet1!$A$1:$B$40,2,FALSE)&amp;","&amp;VLOOKUP(MID(Sheet1!V49,FIND("#",SUBSTITUTE(Sheet1!V49,", ","#",1))+2,FIND("#",SUBSTITUTE(Sheet1!V49,", ","#",2))-(FIND("#",SUBSTITUTE(Sheet1!V49,", ","#",1))+2)),Sheet1!$A$1:$B$40,2,FALSE)&amp;","&amp;VLOOKUP(MID(Sheet1!V49,FIND("#",SUBSTITUTE(Sheet1!V49,", ","#",2))+2,FIND("#",SUBSTITUTE(Sheet1!V49,", ","#",3))-(FIND("#",SUBSTITUTE(Sheet1!V49,", ","#",2))+2)),Sheet1!$A$1:$B$40,2,FALSE)&amp;","&amp;VLOOKUP(MID(Sheet1!V49,FIND("#",SUBSTITUTE(Sheet1!V49,", ","#",3))+2,FIND("#",SUBSTITUTE(Sheet1!V49,", ","#",4))-(FIND("#",SUBSTITUTE(Sheet1!V49,", ","#",3))+2)),Sheet1!$A$1:$B$40,2,FALSE)&amp;","&amp;VLOOKUP(RIGHT(Sheet1!V49,LEN(Sheet1!V49)-FIND("#",SUBSTITUTE(Sheet1!V49,", ","#",4))-1),Sheet1!$A$1:$B$40,2,FALSE),"")</f>
        <v/>
      </c>
      <c r="K3" s="6" t="str">
        <f t="shared" ref="K3:K24" si="1">F3&amp;G3&amp;H3&amp;I3&amp;J3</f>
        <v/>
      </c>
      <c r="L3" s="6" t="str">
        <f>IFERROR(IF((LEN(Sheet1!AA49)-LEN(SUBSTITUTE(Sheet1!AA49,", ","")))/2=0,VLOOKUP(Sheet1!AA49,Sheet1!$A$1:$B$40,2,FALSE),""),"")</f>
        <v/>
      </c>
      <c r="M3" s="6" t="str">
        <f>IFERROR(IF((LEN(Sheet1!AA49)-LEN(SUBSTITUTE(Sheet1!AA49,", ","")))/2=1,VLOOKUP(LEFT(Sheet1!AA49,FIND(", ",Sheet1!AA49)-1),Sheet1!$A$1:$B$40,2,FALSE)&amp;","&amp;VLOOKUP(RIGHT(Sheet1!AA49,LEN(Sheet1!AA49)-FIND(", ",Sheet1!AA49)-1),Sheet1!$A$1:$B$40,2,FALSE),""),"")</f>
        <v/>
      </c>
      <c r="N3" s="6" t="str">
        <f t="shared" ref="N3:N25" si="2">L3&amp;M3</f>
        <v/>
      </c>
    </row>
    <row r="4" spans="1:14">
      <c r="A4" s="5" t="str">
        <f>IFERROR(IF((LEN(Sheet1!N50)-LEN(SUBSTITUTE(Sheet1!N50,", ","")))/2=0,VLOOKUP(Sheet1!N50,Sheet1!$A$1:$B$40,2,FALSE),""),"")</f>
        <v/>
      </c>
      <c r="B4" s="6" t="str">
        <f>IFERROR(IF((LEN(Sheet1!N50)-LEN(SUBSTITUTE(Sheet1!N50,", ","")))/2=1,VLOOKUP(LEFT(Sheet1!N50,FIND(", ",Sheet1!N50)-1),Sheet1!$A$1:$B$40,2,FALSE)&amp;","&amp;VLOOKUP(RIGHT(Sheet1!N50,LEN(Sheet1!N50)-FIND(", ",Sheet1!N50)-1),Sheet1!$A$1:$B$40,2,FALSE),""),"")</f>
        <v/>
      </c>
      <c r="C4" s="6" t="str">
        <f>IF((LEN(Sheet1!N50)-LEN(SUBSTITUTE(Sheet1!N50,", ","")))/2=2,VLOOKUP(LEFT(Sheet1!N50,FIND(", ",Sheet1!N50)-1),Sheet1!$A$1:$B$40,2,FALSE)&amp;","&amp;VLOOKUP(MID(Sheet1!N50,FIND("#",SUBSTITUTE(Sheet1!N50,", ","#",1))+2,FIND("#",SUBSTITUTE(Sheet1!N50,", ","#",2))-(FIND("#",SUBSTITUTE(Sheet1!N50,", ","#",1))+2)),Sheet1!$A$1:$B$40,2,FALSE)&amp;","&amp;VLOOKUP(RIGHT(Sheet1!N50,LEN(Sheet1!N50)-FIND("#",SUBSTITUTE(Sheet1!N50,", ","#",2))-1),Sheet1!$A$1:$B$40,2,FALSE),"")</f>
        <v/>
      </c>
      <c r="D4" s="6" t="str">
        <f>IF((LEN(Sheet1!N50)-LEN(SUBSTITUTE(Sheet1!N50,", ","")))/2=3,VLOOKUP(LEFT(Sheet1!N50,FIND(", ",Sheet1!N50)-1),Sheet1!$A$1:$B$40,2,FALSE)&amp;","&amp;VLOOKUP(MID(Sheet1!N50,FIND("#",SUBSTITUTE(Sheet1!N50,", ","#",1))+2,FIND("#",SUBSTITUTE(Sheet1!N50,", ","#",2))-(FIND("#",SUBSTITUTE(Sheet1!N50,", ","#",1))+2)),Sheet1!$A$1:$B$40,2,FALSE)&amp;","&amp;VLOOKUP(MID(Sheet1!N50,FIND("#",SUBSTITUTE(Sheet1!N50,", ","#",2))+2,FIND("#",SUBSTITUTE(Sheet1!N50,", ","#",3))-(FIND("#",SUBSTITUTE(Sheet1!N50,", ","#",2))+2)),Sheet1!$A$1:$B$40,2,FALSE)&amp;","&amp;VLOOKUP(RIGHT(Sheet1!N50,LEN(Sheet1!N50)-FIND("#",SUBSTITUTE(Sheet1!N50,", ","#",3))-1),Sheet1!$A$1:$B$40,2,FALSE),"")</f>
        <v/>
      </c>
      <c r="E4" s="6" t="str">
        <f t="shared" si="0"/>
        <v/>
      </c>
      <c r="F4" s="6" t="str">
        <f>IFERROR(IF((LEN(Sheet1!V50)-LEN(SUBSTITUTE(Sheet1!V50,", ","")))/2=0,VLOOKUP(Sheet1!V50,Sheet1!$A$1:$B$40,2,FALSE),""),"")</f>
        <v/>
      </c>
      <c r="G4" s="6" t="str">
        <f>IFERROR(IF((LEN(Sheet1!V50)-LEN(SUBSTITUTE(Sheet1!V50,", ","")))/2=1,VLOOKUP(LEFT(Sheet1!V50,FIND(", ",Sheet1!V50)-1),Sheet1!$A$1:$B$40,2,FALSE)&amp;","&amp;VLOOKUP(RIGHT(Sheet1!V50,LEN(Sheet1!V50)-FIND(", ",Sheet1!V50)-1),Sheet1!$A$1:$B$40,2,FALSE),""),"")</f>
        <v/>
      </c>
      <c r="H4" s="6" t="str">
        <f>IF((LEN(Sheet1!V50)-LEN(SUBSTITUTE(Sheet1!V50,", ","")))/2=2,VLOOKUP(LEFT(Sheet1!V50,FIND(", ",Sheet1!V50)-1),Sheet1!$A$1:$B$40,2,FALSE)&amp;","&amp;VLOOKUP(MID(Sheet1!V50,FIND("#",SUBSTITUTE(Sheet1!V50,", ","#",1))+2,FIND("#",SUBSTITUTE(Sheet1!V50,", ","#",2))-(FIND("#",SUBSTITUTE(Sheet1!V50,", ","#",1))+2)),Sheet1!$A$1:$B$40,2,FALSE)&amp;","&amp;VLOOKUP(RIGHT(Sheet1!V50,LEN(Sheet1!V50)-FIND("#",SUBSTITUTE(Sheet1!V50,", ","#",2))-1),Sheet1!$A$1:$B$40,2,FALSE),"")</f>
        <v/>
      </c>
      <c r="I4" s="6" t="str">
        <f>IF((LEN(Sheet1!V50)-LEN(SUBSTITUTE(Sheet1!V50,", ","")))/2=3,VLOOKUP(LEFT(Sheet1!V50,FIND(", ",Sheet1!V50)-1),Sheet1!$A$1:$B$40,2,FALSE)&amp;","&amp;VLOOKUP(MID(Sheet1!V50,FIND("#",SUBSTITUTE(Sheet1!V50,", ","#",1))+2,FIND("#",SUBSTITUTE(Sheet1!V50,", ","#",2))-(FIND("#",SUBSTITUTE(Sheet1!V50,", ","#",1))+2)),Sheet1!$A$1:$B$40,2,FALSE)&amp;","&amp;VLOOKUP(MID(Sheet1!V50,FIND("#",SUBSTITUTE(Sheet1!V50,", ","#",2))+2,FIND("#",SUBSTITUTE(Sheet1!V50,", ","#",3))-(FIND("#",SUBSTITUTE(Sheet1!V50,", ","#",2))+2)),Sheet1!$A$1:$B$40,2,FALSE)&amp;","&amp;VLOOKUP(RIGHT(Sheet1!V50,LEN(Sheet1!V50)-FIND("#",SUBSTITUTE(Sheet1!V50,", ","#",3))-1),Sheet1!$A$1:$B$40,2,FALSE),"")</f>
        <v/>
      </c>
      <c r="J4" s="6" t="str">
        <f>IF((LEN(Sheet1!V50)-LEN(SUBSTITUTE(Sheet1!V50,", ","")))/2=4,VLOOKUP(LEFT(Sheet1!V50,FIND(", ",Sheet1!V50)-1),Sheet1!$A$1:$B$40,2,FALSE)&amp;","&amp;VLOOKUP(MID(Sheet1!V50,FIND("#",SUBSTITUTE(Sheet1!V50,", ","#",1))+2,FIND("#",SUBSTITUTE(Sheet1!V50,", ","#",2))-(FIND("#",SUBSTITUTE(Sheet1!V50,", ","#",1))+2)),Sheet1!$A$1:$B$40,2,FALSE)&amp;","&amp;VLOOKUP(MID(Sheet1!V50,FIND("#",SUBSTITUTE(Sheet1!V50,", ","#",2))+2,FIND("#",SUBSTITUTE(Sheet1!V50,", ","#",3))-(FIND("#",SUBSTITUTE(Sheet1!V50,", ","#",2))+2)),Sheet1!$A$1:$B$40,2,FALSE)&amp;","&amp;VLOOKUP(MID(Sheet1!V50,FIND("#",SUBSTITUTE(Sheet1!V50,", ","#",3))+2,FIND("#",SUBSTITUTE(Sheet1!V50,", ","#",4))-(FIND("#",SUBSTITUTE(Sheet1!V50,", ","#",3))+2)),Sheet1!$A$1:$B$40,2,FALSE)&amp;","&amp;VLOOKUP(RIGHT(Sheet1!V50,LEN(Sheet1!V50)-FIND("#",SUBSTITUTE(Sheet1!V50,", ","#",4))-1),Sheet1!$A$1:$B$40,2,FALSE),"")</f>
        <v/>
      </c>
      <c r="K4" s="6" t="str">
        <f t="shared" si="1"/>
        <v/>
      </c>
      <c r="L4" s="6" t="str">
        <f>IFERROR(IF((LEN(Sheet1!AA50)-LEN(SUBSTITUTE(Sheet1!AA50,", ","")))/2=0,VLOOKUP(Sheet1!AA50,Sheet1!$A$1:$B$40,2,FALSE),""),"")</f>
        <v/>
      </c>
      <c r="M4" s="6" t="str">
        <f>IFERROR(IF((LEN(Sheet1!AA50)-LEN(SUBSTITUTE(Sheet1!AA50,", ","")))/2=1,VLOOKUP(LEFT(Sheet1!AA50,FIND(", ",Sheet1!AA50)-1),Sheet1!$A$1:$B$40,2,FALSE)&amp;","&amp;VLOOKUP(RIGHT(Sheet1!AA50,LEN(Sheet1!AA50)-FIND(", ",Sheet1!AA50)-1),Sheet1!$A$1:$B$40,2,FALSE),""),"")</f>
        <v/>
      </c>
      <c r="N4" s="6" t="str">
        <f t="shared" si="2"/>
        <v/>
      </c>
    </row>
    <row r="5" spans="1:14">
      <c r="A5" s="5" t="str">
        <f>IFERROR(IF((LEN(Sheet1!N51)-LEN(SUBSTITUTE(Sheet1!N51,", ","")))/2=0,VLOOKUP(Sheet1!N51,Sheet1!$A$1:$B$40,2,FALSE),""),"")</f>
        <v/>
      </c>
      <c r="B5" s="6" t="str">
        <f>IFERROR(IF((LEN(Sheet1!N51)-LEN(SUBSTITUTE(Sheet1!N51,", ","")))/2=1,VLOOKUP(LEFT(Sheet1!N51,FIND(", ",Sheet1!N51)-1),Sheet1!$A$1:$B$40,2,FALSE)&amp;","&amp;VLOOKUP(RIGHT(Sheet1!N51,LEN(Sheet1!N51)-FIND(", ",Sheet1!N51)-1),Sheet1!$A$1:$B$40,2,FALSE),""),"")</f>
        <v/>
      </c>
      <c r="C5" s="6" t="str">
        <f>IF((LEN(Sheet1!N51)-LEN(SUBSTITUTE(Sheet1!N51,", ","")))/2=2,VLOOKUP(LEFT(Sheet1!N51,FIND(", ",Sheet1!N51)-1),Sheet1!$A$1:$B$40,2,FALSE)&amp;","&amp;VLOOKUP(MID(Sheet1!N51,FIND("#",SUBSTITUTE(Sheet1!N51,", ","#",1))+2,FIND("#",SUBSTITUTE(Sheet1!N51,", ","#",2))-(FIND("#",SUBSTITUTE(Sheet1!N51,", ","#",1))+2)),Sheet1!$A$1:$B$40,2,FALSE)&amp;","&amp;VLOOKUP(RIGHT(Sheet1!N51,LEN(Sheet1!N51)-FIND("#",SUBSTITUTE(Sheet1!N51,", ","#",2))-1),Sheet1!$A$1:$B$40,2,FALSE),"")</f>
        <v/>
      </c>
      <c r="D5" s="6" t="str">
        <f>IF((LEN(Sheet1!N51)-LEN(SUBSTITUTE(Sheet1!N51,", ","")))/2=3,VLOOKUP(LEFT(Sheet1!N51,FIND(", ",Sheet1!N51)-1),Sheet1!$A$1:$B$40,2,FALSE)&amp;","&amp;VLOOKUP(MID(Sheet1!N51,FIND("#",SUBSTITUTE(Sheet1!N51,", ","#",1))+2,FIND("#",SUBSTITUTE(Sheet1!N51,", ","#",2))-(FIND("#",SUBSTITUTE(Sheet1!N51,", ","#",1))+2)),Sheet1!$A$1:$B$40,2,FALSE)&amp;","&amp;VLOOKUP(MID(Sheet1!N51,FIND("#",SUBSTITUTE(Sheet1!N51,", ","#",2))+2,FIND("#",SUBSTITUTE(Sheet1!N51,", ","#",3))-(FIND("#",SUBSTITUTE(Sheet1!N51,", ","#",2))+2)),Sheet1!$A$1:$B$40,2,FALSE)&amp;","&amp;VLOOKUP(RIGHT(Sheet1!N51,LEN(Sheet1!N51)-FIND("#",SUBSTITUTE(Sheet1!N51,", ","#",3))-1),Sheet1!$A$1:$B$40,2,FALSE),"")</f>
        <v/>
      </c>
      <c r="E5" s="6" t="str">
        <f t="shared" si="0"/>
        <v/>
      </c>
      <c r="F5" s="6" t="str">
        <f>IFERROR(IF((LEN(Sheet1!V51)-LEN(SUBSTITUTE(Sheet1!V51,", ","")))/2=0,VLOOKUP(Sheet1!V51,Sheet1!$A$1:$B$40,2,FALSE),""),"")</f>
        <v/>
      </c>
      <c r="G5" s="6" t="str">
        <f>IFERROR(IF((LEN(Sheet1!V51)-LEN(SUBSTITUTE(Sheet1!V51,", ","")))/2=1,VLOOKUP(LEFT(Sheet1!V51,FIND(", ",Sheet1!V51)-1),Sheet1!$A$1:$B$40,2,FALSE)&amp;","&amp;VLOOKUP(RIGHT(Sheet1!V51,LEN(Sheet1!V51)-FIND(", ",Sheet1!V51)-1),Sheet1!$A$1:$B$40,2,FALSE),""),"")</f>
        <v/>
      </c>
      <c r="H5" s="6" t="str">
        <f>IF((LEN(Sheet1!V51)-LEN(SUBSTITUTE(Sheet1!V51,", ","")))/2=2,VLOOKUP(LEFT(Sheet1!V51,FIND(", ",Sheet1!V51)-1),Sheet1!$A$1:$B$40,2,FALSE)&amp;","&amp;VLOOKUP(MID(Sheet1!V51,FIND("#",SUBSTITUTE(Sheet1!V51,", ","#",1))+2,FIND("#",SUBSTITUTE(Sheet1!V51,", ","#",2))-(FIND("#",SUBSTITUTE(Sheet1!V51,", ","#",1))+2)),Sheet1!$A$1:$B$40,2,FALSE)&amp;","&amp;VLOOKUP(RIGHT(Sheet1!V51,LEN(Sheet1!V51)-FIND("#",SUBSTITUTE(Sheet1!V51,", ","#",2))-1),Sheet1!$A$1:$B$40,2,FALSE),"")</f>
        <v/>
      </c>
      <c r="I5" s="6" t="str">
        <f>IF((LEN(Sheet1!V51)-LEN(SUBSTITUTE(Sheet1!V51,", ","")))/2=3,VLOOKUP(LEFT(Sheet1!V51,FIND(", ",Sheet1!V51)-1),Sheet1!$A$1:$B$40,2,FALSE)&amp;","&amp;VLOOKUP(MID(Sheet1!V51,FIND("#",SUBSTITUTE(Sheet1!V51,", ","#",1))+2,FIND("#",SUBSTITUTE(Sheet1!V51,", ","#",2))-(FIND("#",SUBSTITUTE(Sheet1!V51,", ","#",1))+2)),Sheet1!$A$1:$B$40,2,FALSE)&amp;","&amp;VLOOKUP(MID(Sheet1!V51,FIND("#",SUBSTITUTE(Sheet1!V51,", ","#",2))+2,FIND("#",SUBSTITUTE(Sheet1!V51,", ","#",3))-(FIND("#",SUBSTITUTE(Sheet1!V51,", ","#",2))+2)),Sheet1!$A$1:$B$40,2,FALSE)&amp;","&amp;VLOOKUP(RIGHT(Sheet1!V51,LEN(Sheet1!V51)-FIND("#",SUBSTITUTE(Sheet1!V51,", ","#",3))-1),Sheet1!$A$1:$B$40,2,FALSE),"")</f>
        <v/>
      </c>
      <c r="J5" s="6" t="str">
        <f>IF((LEN(Sheet1!V51)-LEN(SUBSTITUTE(Sheet1!V51,", ","")))/2=4,VLOOKUP(LEFT(Sheet1!V51,FIND(", ",Sheet1!V51)-1),Sheet1!$A$1:$B$40,2,FALSE)&amp;","&amp;VLOOKUP(MID(Sheet1!V51,FIND("#",SUBSTITUTE(Sheet1!V51,", ","#",1))+2,FIND("#",SUBSTITUTE(Sheet1!V51,", ","#",2))-(FIND("#",SUBSTITUTE(Sheet1!V51,", ","#",1))+2)),Sheet1!$A$1:$B$40,2,FALSE)&amp;","&amp;VLOOKUP(MID(Sheet1!V51,FIND("#",SUBSTITUTE(Sheet1!V51,", ","#",2))+2,FIND("#",SUBSTITUTE(Sheet1!V51,", ","#",3))-(FIND("#",SUBSTITUTE(Sheet1!V51,", ","#",2))+2)),Sheet1!$A$1:$B$40,2,FALSE)&amp;","&amp;VLOOKUP(MID(Sheet1!V51,FIND("#",SUBSTITUTE(Sheet1!V51,", ","#",3))+2,FIND("#",SUBSTITUTE(Sheet1!V51,", ","#",4))-(FIND("#",SUBSTITUTE(Sheet1!V51,", ","#",3))+2)),Sheet1!$A$1:$B$40,2,FALSE)&amp;","&amp;VLOOKUP(RIGHT(Sheet1!V51,LEN(Sheet1!V51)-FIND("#",SUBSTITUTE(Sheet1!V51,", ","#",4))-1),Sheet1!$A$1:$B$40,2,FALSE),"")</f>
        <v/>
      </c>
      <c r="K5" s="6" t="str">
        <f t="shared" si="1"/>
        <v/>
      </c>
      <c r="L5" s="6" t="str">
        <f>IFERROR(IF((LEN(Sheet1!AA51)-LEN(SUBSTITUTE(Sheet1!AA51,", ","")))/2=0,VLOOKUP(Sheet1!AA51,Sheet1!$A$1:$B$40,2,FALSE),""),"")</f>
        <v/>
      </c>
      <c r="M5" s="6" t="str">
        <f>IFERROR(IF((LEN(Sheet1!AA51)-LEN(SUBSTITUTE(Sheet1!AA51,", ","")))/2=1,VLOOKUP(LEFT(Sheet1!AA51,FIND(", ",Sheet1!AA51)-1),Sheet1!$A$1:$B$40,2,FALSE)&amp;","&amp;VLOOKUP(RIGHT(Sheet1!AA51,LEN(Sheet1!AA51)-FIND(", ",Sheet1!AA51)-1),Sheet1!$A$1:$B$40,2,FALSE),""),"")</f>
        <v/>
      </c>
      <c r="N5" s="6" t="str">
        <f t="shared" si="2"/>
        <v/>
      </c>
    </row>
    <row r="6" spans="1:14">
      <c r="A6" s="5" t="str">
        <f>IFERROR(IF((LEN(Sheet1!N52)-LEN(SUBSTITUTE(Sheet1!N52,", ","")))/2=0,VLOOKUP(Sheet1!N52,Sheet1!$A$1:$B$40,2,FALSE),""),"")</f>
        <v/>
      </c>
      <c r="B6" s="6" t="str">
        <f>IFERROR(IF((LEN(Sheet1!N52)-LEN(SUBSTITUTE(Sheet1!N52,", ","")))/2=1,VLOOKUP(LEFT(Sheet1!N52,FIND(", ",Sheet1!N52)-1),Sheet1!$A$1:$B$40,2,FALSE)&amp;","&amp;VLOOKUP(RIGHT(Sheet1!N52,LEN(Sheet1!N52)-FIND(", ",Sheet1!N52)-1),Sheet1!$A$1:$B$40,2,FALSE),""),"")</f>
        <v/>
      </c>
      <c r="C6" s="6" t="str">
        <f>IF((LEN(Sheet1!N52)-LEN(SUBSTITUTE(Sheet1!N52,", ","")))/2=2,VLOOKUP(LEFT(Sheet1!N52,FIND(", ",Sheet1!N52)-1),Sheet1!$A$1:$B$40,2,FALSE)&amp;","&amp;VLOOKUP(MID(Sheet1!N52,FIND("#",SUBSTITUTE(Sheet1!N52,", ","#",1))+2,FIND("#",SUBSTITUTE(Sheet1!N52,", ","#",2))-(FIND("#",SUBSTITUTE(Sheet1!N52,", ","#",1))+2)),Sheet1!$A$1:$B$40,2,FALSE)&amp;","&amp;VLOOKUP(RIGHT(Sheet1!N52,LEN(Sheet1!N52)-FIND("#",SUBSTITUTE(Sheet1!N52,", ","#",2))-1),Sheet1!$A$1:$B$40,2,FALSE),"")</f>
        <v/>
      </c>
      <c r="D6" s="6" t="str">
        <f>IF((LEN(Sheet1!N52)-LEN(SUBSTITUTE(Sheet1!N52,", ","")))/2=3,VLOOKUP(LEFT(Sheet1!N52,FIND(", ",Sheet1!N52)-1),Sheet1!$A$1:$B$40,2,FALSE)&amp;","&amp;VLOOKUP(MID(Sheet1!N52,FIND("#",SUBSTITUTE(Sheet1!N52,", ","#",1))+2,FIND("#",SUBSTITUTE(Sheet1!N52,", ","#",2))-(FIND("#",SUBSTITUTE(Sheet1!N52,", ","#",1))+2)),Sheet1!$A$1:$B$40,2,FALSE)&amp;","&amp;VLOOKUP(MID(Sheet1!N52,FIND("#",SUBSTITUTE(Sheet1!N52,", ","#",2))+2,FIND("#",SUBSTITUTE(Sheet1!N52,", ","#",3))-(FIND("#",SUBSTITUTE(Sheet1!N52,", ","#",2))+2)),Sheet1!$A$1:$B$40,2,FALSE)&amp;","&amp;VLOOKUP(RIGHT(Sheet1!N52,LEN(Sheet1!N52)-FIND("#",SUBSTITUTE(Sheet1!N52,", ","#",3))-1),Sheet1!$A$1:$B$40,2,FALSE),"")</f>
        <v/>
      </c>
      <c r="E6" s="6" t="str">
        <f t="shared" si="0"/>
        <v/>
      </c>
      <c r="F6" s="6" t="str">
        <f>IFERROR(IF((LEN(Sheet1!V52)-LEN(SUBSTITUTE(Sheet1!V52,", ","")))/2=0,VLOOKUP(Sheet1!V52,Sheet1!$A$1:$B$40,2,FALSE),""),"")</f>
        <v/>
      </c>
      <c r="G6" s="6" t="str">
        <f>IFERROR(IF((LEN(Sheet1!V52)-LEN(SUBSTITUTE(Sheet1!V52,", ","")))/2=1,VLOOKUP(LEFT(Sheet1!V52,FIND(", ",Sheet1!V52)-1),Sheet1!$A$1:$B$40,2,FALSE)&amp;","&amp;VLOOKUP(RIGHT(Sheet1!V52,LEN(Sheet1!V52)-FIND(", ",Sheet1!V52)-1),Sheet1!$A$1:$B$40,2,FALSE),""),"")</f>
        <v/>
      </c>
      <c r="H6" s="6" t="str">
        <f>IF((LEN(Sheet1!V52)-LEN(SUBSTITUTE(Sheet1!V52,", ","")))/2=2,VLOOKUP(LEFT(Sheet1!V52,FIND(", ",Sheet1!V52)-1),Sheet1!$A$1:$B$40,2,FALSE)&amp;","&amp;VLOOKUP(MID(Sheet1!V52,FIND("#",SUBSTITUTE(Sheet1!V52,", ","#",1))+2,FIND("#",SUBSTITUTE(Sheet1!V52,", ","#",2))-(FIND("#",SUBSTITUTE(Sheet1!V52,", ","#",1))+2)),Sheet1!$A$1:$B$40,2,FALSE)&amp;","&amp;VLOOKUP(RIGHT(Sheet1!V52,LEN(Sheet1!V52)-FIND("#",SUBSTITUTE(Sheet1!V52,", ","#",2))-1),Sheet1!$A$1:$B$40,2,FALSE),"")</f>
        <v/>
      </c>
      <c r="I6" s="6" t="str">
        <f>IF((LEN(Sheet1!V52)-LEN(SUBSTITUTE(Sheet1!V52,", ","")))/2=3,VLOOKUP(LEFT(Sheet1!V52,FIND(", ",Sheet1!V52)-1),Sheet1!$A$1:$B$40,2,FALSE)&amp;","&amp;VLOOKUP(MID(Sheet1!V52,FIND("#",SUBSTITUTE(Sheet1!V52,", ","#",1))+2,FIND("#",SUBSTITUTE(Sheet1!V52,", ","#",2))-(FIND("#",SUBSTITUTE(Sheet1!V52,", ","#",1))+2)),Sheet1!$A$1:$B$40,2,FALSE)&amp;","&amp;VLOOKUP(MID(Sheet1!V52,FIND("#",SUBSTITUTE(Sheet1!V52,", ","#",2))+2,FIND("#",SUBSTITUTE(Sheet1!V52,", ","#",3))-(FIND("#",SUBSTITUTE(Sheet1!V52,", ","#",2))+2)),Sheet1!$A$1:$B$40,2,FALSE)&amp;","&amp;VLOOKUP(RIGHT(Sheet1!V52,LEN(Sheet1!V52)-FIND("#",SUBSTITUTE(Sheet1!V52,", ","#",3))-1),Sheet1!$A$1:$B$40,2,FALSE),"")</f>
        <v/>
      </c>
      <c r="J6" s="6" t="str">
        <f>IF((LEN(Sheet1!V52)-LEN(SUBSTITUTE(Sheet1!V52,", ","")))/2=4,VLOOKUP(LEFT(Sheet1!V52,FIND(", ",Sheet1!V52)-1),Sheet1!$A$1:$B$40,2,FALSE)&amp;","&amp;VLOOKUP(MID(Sheet1!V52,FIND("#",SUBSTITUTE(Sheet1!V52,", ","#",1))+2,FIND("#",SUBSTITUTE(Sheet1!V52,", ","#",2))-(FIND("#",SUBSTITUTE(Sheet1!V52,", ","#",1))+2)),Sheet1!$A$1:$B$40,2,FALSE)&amp;","&amp;VLOOKUP(MID(Sheet1!V52,FIND("#",SUBSTITUTE(Sheet1!V52,", ","#",2))+2,FIND("#",SUBSTITUTE(Sheet1!V52,", ","#",3))-(FIND("#",SUBSTITUTE(Sheet1!V52,", ","#",2))+2)),Sheet1!$A$1:$B$40,2,FALSE)&amp;","&amp;VLOOKUP(MID(Sheet1!V52,FIND("#",SUBSTITUTE(Sheet1!V52,", ","#",3))+2,FIND("#",SUBSTITUTE(Sheet1!V52,", ","#",4))-(FIND("#",SUBSTITUTE(Sheet1!V52,", ","#",3))+2)),Sheet1!$A$1:$B$40,2,FALSE)&amp;","&amp;VLOOKUP(RIGHT(Sheet1!V52,LEN(Sheet1!V52)-FIND("#",SUBSTITUTE(Sheet1!V52,", ","#",4))-1),Sheet1!$A$1:$B$40,2,FALSE),"")</f>
        <v/>
      </c>
      <c r="K6" s="6" t="str">
        <f t="shared" si="1"/>
        <v/>
      </c>
      <c r="L6" s="6" t="str">
        <f>IFERROR(IF((LEN(Sheet1!AA52)-LEN(SUBSTITUTE(Sheet1!AA52,", ","")))/2=0,VLOOKUP(Sheet1!AA52,Sheet1!$A$1:$B$40,2,FALSE),""),"")</f>
        <v/>
      </c>
      <c r="M6" s="6" t="str">
        <f>IFERROR(IF((LEN(Sheet1!AA52)-LEN(SUBSTITUTE(Sheet1!AA52,", ","")))/2=1,VLOOKUP(LEFT(Sheet1!AA52,FIND(", ",Sheet1!AA52)-1),Sheet1!$A$1:$B$40,2,FALSE)&amp;","&amp;VLOOKUP(RIGHT(Sheet1!AA52,LEN(Sheet1!AA52)-FIND(", ",Sheet1!AA52)-1),Sheet1!$A$1:$B$40,2,FALSE),""),"")</f>
        <v/>
      </c>
      <c r="N6" s="6" t="str">
        <f t="shared" si="2"/>
        <v/>
      </c>
    </row>
    <row r="7" spans="1:14">
      <c r="A7" s="5" t="str">
        <f>IFERROR(IF((LEN(Sheet1!N53)-LEN(SUBSTITUTE(Sheet1!N53,", ","")))/2=0,VLOOKUP(Sheet1!N53,Sheet1!$A$1:$B$40,2,FALSE),""),"")</f>
        <v/>
      </c>
      <c r="B7" s="6" t="str">
        <f>IFERROR(IF((LEN(Sheet1!N53)-LEN(SUBSTITUTE(Sheet1!N53,", ","")))/2=1,VLOOKUP(LEFT(Sheet1!N53,FIND(", ",Sheet1!N53)-1),Sheet1!$A$1:$B$40,2,FALSE)&amp;","&amp;VLOOKUP(RIGHT(Sheet1!N53,LEN(Sheet1!N53)-FIND(", ",Sheet1!N53)-1),Sheet1!$A$1:$B$40,2,FALSE),""),"")</f>
        <v/>
      </c>
      <c r="C7" s="6" t="str">
        <f>IF((LEN(Sheet1!N53)-LEN(SUBSTITUTE(Sheet1!N53,", ","")))/2=2,VLOOKUP(LEFT(Sheet1!N53,FIND(", ",Sheet1!N53)-1),Sheet1!$A$1:$B$40,2,FALSE)&amp;","&amp;VLOOKUP(MID(Sheet1!N53,FIND("#",SUBSTITUTE(Sheet1!N53,", ","#",1))+2,FIND("#",SUBSTITUTE(Sheet1!N53,", ","#",2))-(FIND("#",SUBSTITUTE(Sheet1!N53,", ","#",1))+2)),Sheet1!$A$1:$B$40,2,FALSE)&amp;","&amp;VLOOKUP(RIGHT(Sheet1!N53,LEN(Sheet1!N53)-FIND("#",SUBSTITUTE(Sheet1!N53,", ","#",2))-1),Sheet1!$A$1:$B$40,2,FALSE),"")</f>
        <v/>
      </c>
      <c r="D7" s="6" t="str">
        <f>IF((LEN(Sheet1!N53)-LEN(SUBSTITUTE(Sheet1!N53,", ","")))/2=3,VLOOKUP(LEFT(Sheet1!N53,FIND(", ",Sheet1!N53)-1),Sheet1!$A$1:$B$40,2,FALSE)&amp;","&amp;VLOOKUP(MID(Sheet1!N53,FIND("#",SUBSTITUTE(Sheet1!N53,", ","#",1))+2,FIND("#",SUBSTITUTE(Sheet1!N53,", ","#",2))-(FIND("#",SUBSTITUTE(Sheet1!N53,", ","#",1))+2)),Sheet1!$A$1:$B$40,2,FALSE)&amp;","&amp;VLOOKUP(MID(Sheet1!N53,FIND("#",SUBSTITUTE(Sheet1!N53,", ","#",2))+2,FIND("#",SUBSTITUTE(Sheet1!N53,", ","#",3))-(FIND("#",SUBSTITUTE(Sheet1!N53,", ","#",2))+2)),Sheet1!$A$1:$B$40,2,FALSE)&amp;","&amp;VLOOKUP(RIGHT(Sheet1!N53,LEN(Sheet1!N53)-FIND("#",SUBSTITUTE(Sheet1!N53,", ","#",3))-1),Sheet1!$A$1:$B$40,2,FALSE),"")</f>
        <v/>
      </c>
      <c r="E7" s="6" t="str">
        <f t="shared" si="0"/>
        <v/>
      </c>
      <c r="F7" s="6" t="str">
        <f>IFERROR(IF((LEN(Sheet1!V53)-LEN(SUBSTITUTE(Sheet1!V53,", ","")))/2=0,VLOOKUP(Sheet1!V53,Sheet1!$A$1:$B$40,2,FALSE),""),"")</f>
        <v/>
      </c>
      <c r="G7" s="6" t="str">
        <f>IFERROR(IF((LEN(Sheet1!V53)-LEN(SUBSTITUTE(Sheet1!V53,", ","")))/2=1,VLOOKUP(LEFT(Sheet1!V53,FIND(", ",Sheet1!V53)-1),Sheet1!$A$1:$B$40,2,FALSE)&amp;","&amp;VLOOKUP(RIGHT(Sheet1!V53,LEN(Sheet1!V53)-FIND(", ",Sheet1!V53)-1),Sheet1!$A$1:$B$40,2,FALSE),""),"")</f>
        <v/>
      </c>
      <c r="H7" s="6" t="str">
        <f>IF((LEN(Sheet1!V53)-LEN(SUBSTITUTE(Sheet1!V53,", ","")))/2=2,VLOOKUP(LEFT(Sheet1!V53,FIND(", ",Sheet1!V53)-1),Sheet1!$A$1:$B$40,2,FALSE)&amp;","&amp;VLOOKUP(MID(Sheet1!V53,FIND("#",SUBSTITUTE(Sheet1!V53,", ","#",1))+2,FIND("#",SUBSTITUTE(Sheet1!V53,", ","#",2))-(FIND("#",SUBSTITUTE(Sheet1!V53,", ","#",1))+2)),Sheet1!$A$1:$B$40,2,FALSE)&amp;","&amp;VLOOKUP(RIGHT(Sheet1!V53,LEN(Sheet1!V53)-FIND("#",SUBSTITUTE(Sheet1!V53,", ","#",2))-1),Sheet1!$A$1:$B$40,2,FALSE),"")</f>
        <v/>
      </c>
      <c r="I7" s="6" t="str">
        <f>IF((LEN(Sheet1!V53)-LEN(SUBSTITUTE(Sheet1!V53,", ","")))/2=3,VLOOKUP(LEFT(Sheet1!V53,FIND(", ",Sheet1!V53)-1),Sheet1!$A$1:$B$40,2,FALSE)&amp;","&amp;VLOOKUP(MID(Sheet1!V53,FIND("#",SUBSTITUTE(Sheet1!V53,", ","#",1))+2,FIND("#",SUBSTITUTE(Sheet1!V53,", ","#",2))-(FIND("#",SUBSTITUTE(Sheet1!V53,", ","#",1))+2)),Sheet1!$A$1:$B$40,2,FALSE)&amp;","&amp;VLOOKUP(MID(Sheet1!V53,FIND("#",SUBSTITUTE(Sheet1!V53,", ","#",2))+2,FIND("#",SUBSTITUTE(Sheet1!V53,", ","#",3))-(FIND("#",SUBSTITUTE(Sheet1!V53,", ","#",2))+2)),Sheet1!$A$1:$B$40,2,FALSE)&amp;","&amp;VLOOKUP(RIGHT(Sheet1!V53,LEN(Sheet1!V53)-FIND("#",SUBSTITUTE(Sheet1!V53,", ","#",3))-1),Sheet1!$A$1:$B$40,2,FALSE),"")</f>
        <v/>
      </c>
      <c r="J7" s="6" t="str">
        <f>IF((LEN(Sheet1!V53)-LEN(SUBSTITUTE(Sheet1!V53,", ","")))/2=4,VLOOKUP(LEFT(Sheet1!V53,FIND(", ",Sheet1!V53)-1),Sheet1!$A$1:$B$40,2,FALSE)&amp;","&amp;VLOOKUP(MID(Sheet1!V53,FIND("#",SUBSTITUTE(Sheet1!V53,", ","#",1))+2,FIND("#",SUBSTITUTE(Sheet1!V53,", ","#",2))-(FIND("#",SUBSTITUTE(Sheet1!V53,", ","#",1))+2)),Sheet1!$A$1:$B$40,2,FALSE)&amp;","&amp;VLOOKUP(MID(Sheet1!V53,FIND("#",SUBSTITUTE(Sheet1!V53,", ","#",2))+2,FIND("#",SUBSTITUTE(Sheet1!V53,", ","#",3))-(FIND("#",SUBSTITUTE(Sheet1!V53,", ","#",2))+2)),Sheet1!$A$1:$B$40,2,FALSE)&amp;","&amp;VLOOKUP(MID(Sheet1!V53,FIND("#",SUBSTITUTE(Sheet1!V53,", ","#",3))+2,FIND("#",SUBSTITUTE(Sheet1!V53,", ","#",4))-(FIND("#",SUBSTITUTE(Sheet1!V53,", ","#",3))+2)),Sheet1!$A$1:$B$40,2,FALSE)&amp;","&amp;VLOOKUP(RIGHT(Sheet1!V53,LEN(Sheet1!V53)-FIND("#",SUBSTITUTE(Sheet1!V53,", ","#",4))-1),Sheet1!$A$1:$B$40,2,FALSE),"")</f>
        <v/>
      </c>
      <c r="K7" s="6" t="str">
        <f t="shared" si="1"/>
        <v/>
      </c>
      <c r="L7" s="6" t="str">
        <f>IFERROR(IF((LEN(Sheet1!AA53)-LEN(SUBSTITUTE(Sheet1!AA53,", ","")))/2=0,VLOOKUP(Sheet1!AA53,Sheet1!$A$1:$B$40,2,FALSE),""),"")</f>
        <v/>
      </c>
      <c r="M7" s="6" t="str">
        <f>IFERROR(IF((LEN(Sheet1!AA53)-LEN(SUBSTITUTE(Sheet1!AA53,", ","")))/2=1,VLOOKUP(LEFT(Sheet1!AA53,FIND(", ",Sheet1!AA53)-1),Sheet1!$A$1:$B$40,2,FALSE)&amp;","&amp;VLOOKUP(RIGHT(Sheet1!AA53,LEN(Sheet1!AA53)-FIND(", ",Sheet1!AA53)-1),Sheet1!$A$1:$B$40,2,FALSE),""),"")</f>
        <v/>
      </c>
      <c r="N7" s="6" t="str">
        <f t="shared" si="2"/>
        <v/>
      </c>
    </row>
    <row r="8" spans="1:14">
      <c r="A8" s="5" t="str">
        <f>IFERROR(IF((LEN(Sheet1!N54)-LEN(SUBSTITUTE(Sheet1!N54,", ","")))/2=0,VLOOKUP(Sheet1!N54,Sheet1!$A$1:$B$40,2,FALSE),""),"")</f>
        <v/>
      </c>
      <c r="B8" s="6" t="str">
        <f>IFERROR(IF((LEN(Sheet1!N54)-LEN(SUBSTITUTE(Sheet1!N54,", ","")))/2=1,VLOOKUP(LEFT(Sheet1!N54,FIND(", ",Sheet1!N54)-1),Sheet1!$A$1:$B$40,2,FALSE)&amp;","&amp;VLOOKUP(RIGHT(Sheet1!N54,LEN(Sheet1!N54)-FIND(", ",Sheet1!N54)-1),Sheet1!$A$1:$B$40,2,FALSE),""),"")</f>
        <v/>
      </c>
      <c r="C8" s="6" t="str">
        <f>IF((LEN(Sheet1!N54)-LEN(SUBSTITUTE(Sheet1!N54,", ","")))/2=2,VLOOKUP(LEFT(Sheet1!N54,FIND(", ",Sheet1!N54)-1),Sheet1!$A$1:$B$40,2,FALSE)&amp;","&amp;VLOOKUP(MID(Sheet1!N54,FIND("#",SUBSTITUTE(Sheet1!N54,", ","#",1))+2,FIND("#",SUBSTITUTE(Sheet1!N54,", ","#",2))-(FIND("#",SUBSTITUTE(Sheet1!N54,", ","#",1))+2)),Sheet1!$A$1:$B$40,2,FALSE)&amp;","&amp;VLOOKUP(RIGHT(Sheet1!N54,LEN(Sheet1!N54)-FIND("#",SUBSTITUTE(Sheet1!N54,", ","#",2))-1),Sheet1!$A$1:$B$40,2,FALSE),"")</f>
        <v/>
      </c>
      <c r="D8" s="6" t="str">
        <f>IF((LEN(Sheet1!N54)-LEN(SUBSTITUTE(Sheet1!N54,", ","")))/2=3,VLOOKUP(LEFT(Sheet1!N54,FIND(", ",Sheet1!N54)-1),Sheet1!$A$1:$B$40,2,FALSE)&amp;","&amp;VLOOKUP(MID(Sheet1!N54,FIND("#",SUBSTITUTE(Sheet1!N54,", ","#",1))+2,FIND("#",SUBSTITUTE(Sheet1!N54,", ","#",2))-(FIND("#",SUBSTITUTE(Sheet1!N54,", ","#",1))+2)),Sheet1!$A$1:$B$40,2,FALSE)&amp;","&amp;VLOOKUP(MID(Sheet1!N54,FIND("#",SUBSTITUTE(Sheet1!N54,", ","#",2))+2,FIND("#",SUBSTITUTE(Sheet1!N54,", ","#",3))-(FIND("#",SUBSTITUTE(Sheet1!N54,", ","#",2))+2)),Sheet1!$A$1:$B$40,2,FALSE)&amp;","&amp;VLOOKUP(RIGHT(Sheet1!N54,LEN(Sheet1!N54)-FIND("#",SUBSTITUTE(Sheet1!N54,", ","#",3))-1),Sheet1!$A$1:$B$40,2,FALSE),"")</f>
        <v/>
      </c>
      <c r="E8" s="6" t="str">
        <f t="shared" si="0"/>
        <v/>
      </c>
      <c r="F8" s="6" t="str">
        <f>IFERROR(IF((LEN(Sheet1!V54)-LEN(SUBSTITUTE(Sheet1!V54,", ","")))/2=0,VLOOKUP(Sheet1!V54,Sheet1!$A$1:$B$40,2,FALSE),""),"")</f>
        <v/>
      </c>
      <c r="G8" s="6" t="str">
        <f>IFERROR(IF((LEN(Sheet1!V54)-LEN(SUBSTITUTE(Sheet1!V54,", ","")))/2=1,VLOOKUP(LEFT(Sheet1!V54,FIND(", ",Sheet1!V54)-1),Sheet1!$A$1:$B$40,2,FALSE)&amp;","&amp;VLOOKUP(RIGHT(Sheet1!V54,LEN(Sheet1!V54)-FIND(", ",Sheet1!V54)-1),Sheet1!$A$1:$B$40,2,FALSE),""),"")</f>
        <v/>
      </c>
      <c r="H8" s="6" t="str">
        <f>IF((LEN(Sheet1!V54)-LEN(SUBSTITUTE(Sheet1!V54,", ","")))/2=2,VLOOKUP(LEFT(Sheet1!V54,FIND(", ",Sheet1!V54)-1),Sheet1!$A$1:$B$40,2,FALSE)&amp;","&amp;VLOOKUP(MID(Sheet1!V54,FIND("#",SUBSTITUTE(Sheet1!V54,", ","#",1))+2,FIND("#",SUBSTITUTE(Sheet1!V54,", ","#",2))-(FIND("#",SUBSTITUTE(Sheet1!V54,", ","#",1))+2)),Sheet1!$A$1:$B$40,2,FALSE)&amp;","&amp;VLOOKUP(RIGHT(Sheet1!V54,LEN(Sheet1!V54)-FIND("#",SUBSTITUTE(Sheet1!V54,", ","#",2))-1),Sheet1!$A$1:$B$40,2,FALSE),"")</f>
        <v/>
      </c>
      <c r="I8" s="6" t="str">
        <f>IF((LEN(Sheet1!V54)-LEN(SUBSTITUTE(Sheet1!V54,", ","")))/2=3,VLOOKUP(LEFT(Sheet1!V54,FIND(", ",Sheet1!V54)-1),Sheet1!$A$1:$B$40,2,FALSE)&amp;","&amp;VLOOKUP(MID(Sheet1!V54,FIND("#",SUBSTITUTE(Sheet1!V54,", ","#",1))+2,FIND("#",SUBSTITUTE(Sheet1!V54,", ","#",2))-(FIND("#",SUBSTITUTE(Sheet1!V54,", ","#",1))+2)),Sheet1!$A$1:$B$40,2,FALSE)&amp;","&amp;VLOOKUP(MID(Sheet1!V54,FIND("#",SUBSTITUTE(Sheet1!V54,", ","#",2))+2,FIND("#",SUBSTITUTE(Sheet1!V54,", ","#",3))-(FIND("#",SUBSTITUTE(Sheet1!V54,", ","#",2))+2)),Sheet1!$A$1:$B$40,2,FALSE)&amp;","&amp;VLOOKUP(RIGHT(Sheet1!V54,LEN(Sheet1!V54)-FIND("#",SUBSTITUTE(Sheet1!V54,", ","#",3))-1),Sheet1!$A$1:$B$40,2,FALSE),"")</f>
        <v/>
      </c>
      <c r="J8" s="6" t="str">
        <f>IF((LEN(Sheet1!V54)-LEN(SUBSTITUTE(Sheet1!V54,", ","")))/2=4,VLOOKUP(LEFT(Sheet1!V54,FIND(", ",Sheet1!V54)-1),Sheet1!$A$1:$B$40,2,FALSE)&amp;","&amp;VLOOKUP(MID(Sheet1!V54,FIND("#",SUBSTITUTE(Sheet1!V54,", ","#",1))+2,FIND("#",SUBSTITUTE(Sheet1!V54,", ","#",2))-(FIND("#",SUBSTITUTE(Sheet1!V54,", ","#",1))+2)),Sheet1!$A$1:$B$40,2,FALSE)&amp;","&amp;VLOOKUP(MID(Sheet1!V54,FIND("#",SUBSTITUTE(Sheet1!V54,", ","#",2))+2,FIND("#",SUBSTITUTE(Sheet1!V54,", ","#",3))-(FIND("#",SUBSTITUTE(Sheet1!V54,", ","#",2))+2)),Sheet1!$A$1:$B$40,2,FALSE)&amp;","&amp;VLOOKUP(MID(Sheet1!V54,FIND("#",SUBSTITUTE(Sheet1!V54,", ","#",3))+2,FIND("#",SUBSTITUTE(Sheet1!V54,", ","#",4))-(FIND("#",SUBSTITUTE(Sheet1!V54,", ","#",3))+2)),Sheet1!$A$1:$B$40,2,FALSE)&amp;","&amp;VLOOKUP(RIGHT(Sheet1!V54,LEN(Sheet1!V54)-FIND("#",SUBSTITUTE(Sheet1!V54,", ","#",4))-1),Sheet1!$A$1:$B$40,2,FALSE),"")</f>
        <v/>
      </c>
      <c r="K8" s="6" t="str">
        <f t="shared" si="1"/>
        <v/>
      </c>
      <c r="L8" s="6" t="str">
        <f>IFERROR(IF((LEN(Sheet1!AA54)-LEN(SUBSTITUTE(Sheet1!AA54,", ","")))/2=0,VLOOKUP(Sheet1!AA54,Sheet1!$A$1:$B$40,2,FALSE),""),"")</f>
        <v/>
      </c>
      <c r="M8" s="6" t="str">
        <f>IFERROR(IF((LEN(Sheet1!AA54)-LEN(SUBSTITUTE(Sheet1!AA54,", ","")))/2=1,VLOOKUP(LEFT(Sheet1!AA54,FIND(", ",Sheet1!AA54)-1),Sheet1!$A$1:$B$40,2,FALSE)&amp;","&amp;VLOOKUP(RIGHT(Sheet1!AA54,LEN(Sheet1!AA54)-FIND(", ",Sheet1!AA54)-1),Sheet1!$A$1:$B$40,2,FALSE),""),"")</f>
        <v/>
      </c>
      <c r="N8" s="6" t="str">
        <f t="shared" si="2"/>
        <v/>
      </c>
    </row>
    <row r="9" spans="1:14">
      <c r="A9" s="5" t="str">
        <f>IFERROR(IF((LEN(Sheet1!N55)-LEN(SUBSTITUTE(Sheet1!N55,", ","")))/2=0,VLOOKUP(Sheet1!N55,Sheet1!$A$1:$B$40,2,FALSE),""),"")</f>
        <v/>
      </c>
      <c r="B9" s="6" t="str">
        <f>IFERROR(IF((LEN(Sheet1!N55)-LEN(SUBSTITUTE(Sheet1!N55,", ","")))/2=1,VLOOKUP(LEFT(Sheet1!N55,FIND(", ",Sheet1!N55)-1),Sheet1!$A$1:$B$40,2,FALSE)&amp;","&amp;VLOOKUP(RIGHT(Sheet1!N55,LEN(Sheet1!N55)-FIND(", ",Sheet1!N55)-1),Sheet1!$A$1:$B$40,2,FALSE),""),"")</f>
        <v/>
      </c>
      <c r="C9" s="6" t="str">
        <f>IF((LEN(Sheet1!N55)-LEN(SUBSTITUTE(Sheet1!N55,", ","")))/2=2,VLOOKUP(LEFT(Sheet1!N55,FIND(", ",Sheet1!N55)-1),Sheet1!$A$1:$B$40,2,FALSE)&amp;","&amp;VLOOKUP(MID(Sheet1!N55,FIND("#",SUBSTITUTE(Sheet1!N55,", ","#",1))+2,FIND("#",SUBSTITUTE(Sheet1!N55,", ","#",2))-(FIND("#",SUBSTITUTE(Sheet1!N55,", ","#",1))+2)),Sheet1!$A$1:$B$40,2,FALSE)&amp;","&amp;VLOOKUP(RIGHT(Sheet1!N55,LEN(Sheet1!N55)-FIND("#",SUBSTITUTE(Sheet1!N55,", ","#",2))-1),Sheet1!$A$1:$B$40,2,FALSE),"")</f>
        <v/>
      </c>
      <c r="D9" s="6" t="str">
        <f>IF((LEN(Sheet1!N55)-LEN(SUBSTITUTE(Sheet1!N55,", ","")))/2=3,VLOOKUP(LEFT(Sheet1!N55,FIND(", ",Sheet1!N55)-1),Sheet1!$A$1:$B$40,2,FALSE)&amp;","&amp;VLOOKUP(MID(Sheet1!N55,FIND("#",SUBSTITUTE(Sheet1!N55,", ","#",1))+2,FIND("#",SUBSTITUTE(Sheet1!N55,", ","#",2))-(FIND("#",SUBSTITUTE(Sheet1!N55,", ","#",1))+2)),Sheet1!$A$1:$B$40,2,FALSE)&amp;","&amp;VLOOKUP(MID(Sheet1!N55,FIND("#",SUBSTITUTE(Sheet1!N55,", ","#",2))+2,FIND("#",SUBSTITUTE(Sheet1!N55,", ","#",3))-(FIND("#",SUBSTITUTE(Sheet1!N55,", ","#",2))+2)),Sheet1!$A$1:$B$40,2,FALSE)&amp;","&amp;VLOOKUP(RIGHT(Sheet1!N55,LEN(Sheet1!N55)-FIND("#",SUBSTITUTE(Sheet1!N55,", ","#",3))-1),Sheet1!$A$1:$B$40,2,FALSE),"")</f>
        <v/>
      </c>
      <c r="E9" s="6" t="str">
        <f t="shared" si="0"/>
        <v/>
      </c>
      <c r="F9" s="6" t="str">
        <f>IFERROR(IF((LEN(Sheet1!V55)-LEN(SUBSTITUTE(Sheet1!V55,", ","")))/2=0,VLOOKUP(Sheet1!V55,Sheet1!$A$1:$B$40,2,FALSE),""),"")</f>
        <v/>
      </c>
      <c r="G9" s="6" t="str">
        <f>IFERROR(IF((LEN(Sheet1!V55)-LEN(SUBSTITUTE(Sheet1!V55,", ","")))/2=1,VLOOKUP(LEFT(Sheet1!V55,FIND(", ",Sheet1!V55)-1),Sheet1!$A$1:$B$40,2,FALSE)&amp;","&amp;VLOOKUP(RIGHT(Sheet1!V55,LEN(Sheet1!V55)-FIND(", ",Sheet1!V55)-1),Sheet1!$A$1:$B$40,2,FALSE),""),"")</f>
        <v/>
      </c>
      <c r="H9" s="6" t="str">
        <f>IF((LEN(Sheet1!V55)-LEN(SUBSTITUTE(Sheet1!V55,", ","")))/2=2,VLOOKUP(LEFT(Sheet1!V55,FIND(", ",Sheet1!V55)-1),Sheet1!$A$1:$B$40,2,FALSE)&amp;","&amp;VLOOKUP(MID(Sheet1!V55,FIND("#",SUBSTITUTE(Sheet1!V55,", ","#",1))+2,FIND("#",SUBSTITUTE(Sheet1!V55,", ","#",2))-(FIND("#",SUBSTITUTE(Sheet1!V55,", ","#",1))+2)),Sheet1!$A$1:$B$40,2,FALSE)&amp;","&amp;VLOOKUP(RIGHT(Sheet1!V55,LEN(Sheet1!V55)-FIND("#",SUBSTITUTE(Sheet1!V55,", ","#",2))-1),Sheet1!$A$1:$B$40,2,FALSE),"")</f>
        <v/>
      </c>
      <c r="I9" s="6" t="str">
        <f>IF((LEN(Sheet1!V55)-LEN(SUBSTITUTE(Sheet1!V55,", ","")))/2=3,VLOOKUP(LEFT(Sheet1!V55,FIND(", ",Sheet1!V55)-1),Sheet1!$A$1:$B$40,2,FALSE)&amp;","&amp;VLOOKUP(MID(Sheet1!V55,FIND("#",SUBSTITUTE(Sheet1!V55,", ","#",1))+2,FIND("#",SUBSTITUTE(Sheet1!V55,", ","#",2))-(FIND("#",SUBSTITUTE(Sheet1!V55,", ","#",1))+2)),Sheet1!$A$1:$B$40,2,FALSE)&amp;","&amp;VLOOKUP(MID(Sheet1!V55,FIND("#",SUBSTITUTE(Sheet1!V55,", ","#",2))+2,FIND("#",SUBSTITUTE(Sheet1!V55,", ","#",3))-(FIND("#",SUBSTITUTE(Sheet1!V55,", ","#",2))+2)),Sheet1!$A$1:$B$40,2,FALSE)&amp;","&amp;VLOOKUP(RIGHT(Sheet1!V55,LEN(Sheet1!V55)-FIND("#",SUBSTITUTE(Sheet1!V55,", ","#",3))-1),Sheet1!$A$1:$B$40,2,FALSE),"")</f>
        <v/>
      </c>
      <c r="J9" s="6" t="str">
        <f>IF((LEN(Sheet1!V55)-LEN(SUBSTITUTE(Sheet1!V55,", ","")))/2=4,VLOOKUP(LEFT(Sheet1!V55,FIND(", ",Sheet1!V55)-1),Sheet1!$A$1:$B$40,2,FALSE)&amp;","&amp;VLOOKUP(MID(Sheet1!V55,FIND("#",SUBSTITUTE(Sheet1!V55,", ","#",1))+2,FIND("#",SUBSTITUTE(Sheet1!V55,", ","#",2))-(FIND("#",SUBSTITUTE(Sheet1!V55,", ","#",1))+2)),Sheet1!$A$1:$B$40,2,FALSE)&amp;","&amp;VLOOKUP(MID(Sheet1!V55,FIND("#",SUBSTITUTE(Sheet1!V55,", ","#",2))+2,FIND("#",SUBSTITUTE(Sheet1!V55,", ","#",3))-(FIND("#",SUBSTITUTE(Sheet1!V55,", ","#",2))+2)),Sheet1!$A$1:$B$40,2,FALSE)&amp;","&amp;VLOOKUP(MID(Sheet1!V55,FIND("#",SUBSTITUTE(Sheet1!V55,", ","#",3))+2,FIND("#",SUBSTITUTE(Sheet1!V55,", ","#",4))-(FIND("#",SUBSTITUTE(Sheet1!V55,", ","#",3))+2)),Sheet1!$A$1:$B$40,2,FALSE)&amp;","&amp;VLOOKUP(RIGHT(Sheet1!V55,LEN(Sheet1!V55)-FIND("#",SUBSTITUTE(Sheet1!V55,", ","#",4))-1),Sheet1!$A$1:$B$40,2,FALSE),"")</f>
        <v/>
      </c>
      <c r="K9" s="6" t="str">
        <f t="shared" si="1"/>
        <v/>
      </c>
      <c r="L9" s="6" t="str">
        <f>IFERROR(IF((LEN(Sheet1!AA55)-LEN(SUBSTITUTE(Sheet1!AA55,", ","")))/2=0,VLOOKUP(Sheet1!AA55,Sheet1!$A$1:$B$40,2,FALSE),""),"")</f>
        <v/>
      </c>
      <c r="M9" s="6" t="str">
        <f>IFERROR(IF((LEN(Sheet1!AA55)-LEN(SUBSTITUTE(Sheet1!AA55,", ","")))/2=1,VLOOKUP(LEFT(Sheet1!AA55,FIND(", ",Sheet1!AA55)-1),Sheet1!$A$1:$B$40,2,FALSE)&amp;","&amp;VLOOKUP(RIGHT(Sheet1!AA55,LEN(Sheet1!AA55)-FIND(", ",Sheet1!AA55)-1),Sheet1!$A$1:$B$40,2,FALSE),""),"")</f>
        <v/>
      </c>
      <c r="N9" s="6" t="str">
        <f t="shared" si="2"/>
        <v/>
      </c>
    </row>
    <row r="10" spans="1:14">
      <c r="A10" s="5" t="str">
        <f>IFERROR(IF((LEN(Sheet1!N56)-LEN(SUBSTITUTE(Sheet1!N56,", ","")))/2=0,VLOOKUP(Sheet1!N56,Sheet1!$A$1:$B$40,2,FALSE),""),"")</f>
        <v/>
      </c>
      <c r="B10" s="6" t="str">
        <f>IFERROR(IF((LEN(Sheet1!N56)-LEN(SUBSTITUTE(Sheet1!N56,", ","")))/2=1,VLOOKUP(LEFT(Sheet1!N56,FIND(", ",Sheet1!N56)-1),Sheet1!$A$1:$B$40,2,FALSE)&amp;","&amp;VLOOKUP(RIGHT(Sheet1!N56,LEN(Sheet1!N56)-FIND(", ",Sheet1!N56)-1),Sheet1!$A$1:$B$40,2,FALSE),""),"")</f>
        <v/>
      </c>
      <c r="C10" s="6" t="str">
        <f>IF((LEN(Sheet1!N56)-LEN(SUBSTITUTE(Sheet1!N56,", ","")))/2=2,VLOOKUP(LEFT(Sheet1!N56,FIND(", ",Sheet1!N56)-1),Sheet1!$A$1:$B$40,2,FALSE)&amp;","&amp;VLOOKUP(MID(Sheet1!N56,FIND("#",SUBSTITUTE(Sheet1!N56,", ","#",1))+2,FIND("#",SUBSTITUTE(Sheet1!N56,", ","#",2))-(FIND("#",SUBSTITUTE(Sheet1!N56,", ","#",1))+2)),Sheet1!$A$1:$B$40,2,FALSE)&amp;","&amp;VLOOKUP(RIGHT(Sheet1!N56,LEN(Sheet1!N56)-FIND("#",SUBSTITUTE(Sheet1!N56,", ","#",2))-1),Sheet1!$A$1:$B$40,2,FALSE),"")</f>
        <v/>
      </c>
      <c r="D10" s="6" t="str">
        <f>IF((LEN(Sheet1!N56)-LEN(SUBSTITUTE(Sheet1!N56,", ","")))/2=3,VLOOKUP(LEFT(Sheet1!N56,FIND(", ",Sheet1!N56)-1),Sheet1!$A$1:$B$40,2,FALSE)&amp;","&amp;VLOOKUP(MID(Sheet1!N56,FIND("#",SUBSTITUTE(Sheet1!N56,", ","#",1))+2,FIND("#",SUBSTITUTE(Sheet1!N56,", ","#",2))-(FIND("#",SUBSTITUTE(Sheet1!N56,", ","#",1))+2)),Sheet1!$A$1:$B$40,2,FALSE)&amp;","&amp;VLOOKUP(MID(Sheet1!N56,FIND("#",SUBSTITUTE(Sheet1!N56,", ","#",2))+2,FIND("#",SUBSTITUTE(Sheet1!N56,", ","#",3))-(FIND("#",SUBSTITUTE(Sheet1!N56,", ","#",2))+2)),Sheet1!$A$1:$B$40,2,FALSE)&amp;","&amp;VLOOKUP(RIGHT(Sheet1!N56,LEN(Sheet1!N56)-FIND("#",SUBSTITUTE(Sheet1!N56,", ","#",3))-1),Sheet1!$A$1:$B$40,2,FALSE),"")</f>
        <v/>
      </c>
      <c r="E10" s="6" t="str">
        <f t="shared" si="0"/>
        <v/>
      </c>
      <c r="F10" s="6" t="str">
        <f>IFERROR(IF((LEN(Sheet1!V56)-LEN(SUBSTITUTE(Sheet1!V56,", ","")))/2=0,VLOOKUP(Sheet1!V56,Sheet1!$A$1:$B$40,2,FALSE),""),"")</f>
        <v/>
      </c>
      <c r="G10" s="6" t="str">
        <f>IFERROR(IF((LEN(Sheet1!V56)-LEN(SUBSTITUTE(Sheet1!V56,", ","")))/2=1,VLOOKUP(LEFT(Sheet1!V56,FIND(", ",Sheet1!V56)-1),Sheet1!$A$1:$B$40,2,FALSE)&amp;","&amp;VLOOKUP(RIGHT(Sheet1!V56,LEN(Sheet1!V56)-FIND(", ",Sheet1!V56)-1),Sheet1!$A$1:$B$40,2,FALSE),""),"")</f>
        <v/>
      </c>
      <c r="H10" s="6" t="str">
        <f>IF((LEN(Sheet1!V56)-LEN(SUBSTITUTE(Sheet1!V56,", ","")))/2=2,VLOOKUP(LEFT(Sheet1!V56,FIND(", ",Sheet1!V56)-1),Sheet1!$A$1:$B$40,2,FALSE)&amp;","&amp;VLOOKUP(MID(Sheet1!V56,FIND("#",SUBSTITUTE(Sheet1!V56,", ","#",1))+2,FIND("#",SUBSTITUTE(Sheet1!V56,", ","#",2))-(FIND("#",SUBSTITUTE(Sheet1!V56,", ","#",1))+2)),Sheet1!$A$1:$B$40,2,FALSE)&amp;","&amp;VLOOKUP(RIGHT(Sheet1!V56,LEN(Sheet1!V56)-FIND("#",SUBSTITUTE(Sheet1!V56,", ","#",2))-1),Sheet1!$A$1:$B$40,2,FALSE),"")</f>
        <v/>
      </c>
      <c r="I10" s="6" t="str">
        <f>IF((LEN(Sheet1!V56)-LEN(SUBSTITUTE(Sheet1!V56,", ","")))/2=3,VLOOKUP(LEFT(Sheet1!V56,FIND(", ",Sheet1!V56)-1),Sheet1!$A$1:$B$40,2,FALSE)&amp;","&amp;VLOOKUP(MID(Sheet1!V56,FIND("#",SUBSTITUTE(Sheet1!V56,", ","#",1))+2,FIND("#",SUBSTITUTE(Sheet1!V56,", ","#",2))-(FIND("#",SUBSTITUTE(Sheet1!V56,", ","#",1))+2)),Sheet1!$A$1:$B$40,2,FALSE)&amp;","&amp;VLOOKUP(MID(Sheet1!V56,FIND("#",SUBSTITUTE(Sheet1!V56,", ","#",2))+2,FIND("#",SUBSTITUTE(Sheet1!V56,", ","#",3))-(FIND("#",SUBSTITUTE(Sheet1!V56,", ","#",2))+2)),Sheet1!$A$1:$B$40,2,FALSE)&amp;","&amp;VLOOKUP(RIGHT(Sheet1!V56,LEN(Sheet1!V56)-FIND("#",SUBSTITUTE(Sheet1!V56,", ","#",3))-1),Sheet1!$A$1:$B$40,2,FALSE),"")</f>
        <v/>
      </c>
      <c r="J10" s="6" t="str">
        <f>IF((LEN(Sheet1!V56)-LEN(SUBSTITUTE(Sheet1!V56,", ","")))/2=4,VLOOKUP(LEFT(Sheet1!V56,FIND(", ",Sheet1!V56)-1),Sheet1!$A$1:$B$40,2,FALSE)&amp;","&amp;VLOOKUP(MID(Sheet1!V56,FIND("#",SUBSTITUTE(Sheet1!V56,", ","#",1))+2,FIND("#",SUBSTITUTE(Sheet1!V56,", ","#",2))-(FIND("#",SUBSTITUTE(Sheet1!V56,", ","#",1))+2)),Sheet1!$A$1:$B$40,2,FALSE)&amp;","&amp;VLOOKUP(MID(Sheet1!V56,FIND("#",SUBSTITUTE(Sheet1!V56,", ","#",2))+2,FIND("#",SUBSTITUTE(Sheet1!V56,", ","#",3))-(FIND("#",SUBSTITUTE(Sheet1!V56,", ","#",2))+2)),Sheet1!$A$1:$B$40,2,FALSE)&amp;","&amp;VLOOKUP(MID(Sheet1!V56,FIND("#",SUBSTITUTE(Sheet1!V56,", ","#",3))+2,FIND("#",SUBSTITUTE(Sheet1!V56,", ","#",4))-(FIND("#",SUBSTITUTE(Sheet1!V56,", ","#",3))+2)),Sheet1!$A$1:$B$40,2,FALSE)&amp;","&amp;VLOOKUP(RIGHT(Sheet1!V56,LEN(Sheet1!V56)-FIND("#",SUBSTITUTE(Sheet1!V56,", ","#",4))-1),Sheet1!$A$1:$B$40,2,FALSE),"")</f>
        <v/>
      </c>
      <c r="K10" s="6" t="str">
        <f t="shared" si="1"/>
        <v/>
      </c>
      <c r="L10" s="6" t="str">
        <f>IFERROR(IF((LEN(Sheet1!AA56)-LEN(SUBSTITUTE(Sheet1!AA56,", ","")))/2=0,VLOOKUP(Sheet1!AA56,Sheet1!$A$1:$B$40,2,FALSE),""),"")</f>
        <v/>
      </c>
      <c r="M10" s="6" t="str">
        <f>IFERROR(IF((LEN(Sheet1!AA56)-LEN(SUBSTITUTE(Sheet1!AA56,", ","")))/2=1,VLOOKUP(LEFT(Sheet1!AA56,FIND(", ",Sheet1!AA56)-1),Sheet1!$A$1:$B$40,2,FALSE)&amp;","&amp;VLOOKUP(RIGHT(Sheet1!AA56,LEN(Sheet1!AA56)-FIND(", ",Sheet1!AA56)-1),Sheet1!$A$1:$B$40,2,FALSE),""),"")</f>
        <v/>
      </c>
      <c r="N10" s="6" t="str">
        <f t="shared" si="2"/>
        <v/>
      </c>
    </row>
    <row r="11" spans="1:14">
      <c r="A11" s="5" t="str">
        <f>IFERROR(IF((LEN(Sheet1!N57)-LEN(SUBSTITUTE(Sheet1!N57,", ","")))/2=0,VLOOKUP(Sheet1!N57,Sheet1!$A$1:$B$40,2,FALSE),""),"")</f>
        <v/>
      </c>
      <c r="B11" s="6" t="str">
        <f>IFERROR(IF((LEN(Sheet1!N57)-LEN(SUBSTITUTE(Sheet1!N57,", ","")))/2=1,VLOOKUP(LEFT(Sheet1!N57,FIND(", ",Sheet1!N57)-1),Sheet1!$A$1:$B$40,2,FALSE)&amp;","&amp;VLOOKUP(RIGHT(Sheet1!N57,LEN(Sheet1!N57)-FIND(", ",Sheet1!N57)-1),Sheet1!$A$1:$B$40,2,FALSE),""),"")</f>
        <v/>
      </c>
      <c r="C11" s="6" t="str">
        <f>IF((LEN(Sheet1!N57)-LEN(SUBSTITUTE(Sheet1!N57,", ","")))/2=2,VLOOKUP(LEFT(Sheet1!N57,FIND(", ",Sheet1!N57)-1),Sheet1!$A$1:$B$40,2,FALSE)&amp;","&amp;VLOOKUP(MID(Sheet1!N57,FIND("#",SUBSTITUTE(Sheet1!N57,", ","#",1))+2,FIND("#",SUBSTITUTE(Sheet1!N57,", ","#",2))-(FIND("#",SUBSTITUTE(Sheet1!N57,", ","#",1))+2)),Sheet1!$A$1:$B$40,2,FALSE)&amp;","&amp;VLOOKUP(RIGHT(Sheet1!N57,LEN(Sheet1!N57)-FIND("#",SUBSTITUTE(Sheet1!N57,", ","#",2))-1),Sheet1!$A$1:$B$40,2,FALSE),"")</f>
        <v/>
      </c>
      <c r="D11" s="6" t="str">
        <f>IF((LEN(Sheet1!N57)-LEN(SUBSTITUTE(Sheet1!N57,", ","")))/2=3,VLOOKUP(LEFT(Sheet1!N57,FIND(", ",Sheet1!N57)-1),Sheet1!$A$1:$B$40,2,FALSE)&amp;","&amp;VLOOKUP(MID(Sheet1!N57,FIND("#",SUBSTITUTE(Sheet1!N57,", ","#",1))+2,FIND("#",SUBSTITUTE(Sheet1!N57,", ","#",2))-(FIND("#",SUBSTITUTE(Sheet1!N57,", ","#",1))+2)),Sheet1!$A$1:$B$40,2,FALSE)&amp;","&amp;VLOOKUP(MID(Sheet1!N57,FIND("#",SUBSTITUTE(Sheet1!N57,", ","#",2))+2,FIND("#",SUBSTITUTE(Sheet1!N57,", ","#",3))-(FIND("#",SUBSTITUTE(Sheet1!N57,", ","#",2))+2)),Sheet1!$A$1:$B$40,2,FALSE)&amp;","&amp;VLOOKUP(RIGHT(Sheet1!N57,LEN(Sheet1!N57)-FIND("#",SUBSTITUTE(Sheet1!N57,", ","#",3))-1),Sheet1!$A$1:$B$40,2,FALSE),"")</f>
        <v/>
      </c>
      <c r="E11" s="6" t="str">
        <f t="shared" si="0"/>
        <v/>
      </c>
      <c r="F11" s="6" t="str">
        <f>IFERROR(IF((LEN(Sheet1!V57)-LEN(SUBSTITUTE(Sheet1!V57,", ","")))/2=0,VLOOKUP(Sheet1!V57,Sheet1!$A$1:$B$40,2,FALSE),""),"")</f>
        <v/>
      </c>
      <c r="G11" s="6" t="str">
        <f>IFERROR(IF((LEN(Sheet1!V57)-LEN(SUBSTITUTE(Sheet1!V57,", ","")))/2=1,VLOOKUP(LEFT(Sheet1!V57,FIND(", ",Sheet1!V57)-1),Sheet1!$A$1:$B$40,2,FALSE)&amp;","&amp;VLOOKUP(RIGHT(Sheet1!V57,LEN(Sheet1!V57)-FIND(", ",Sheet1!V57)-1),Sheet1!$A$1:$B$40,2,FALSE),""),"")</f>
        <v/>
      </c>
      <c r="H11" s="6" t="str">
        <f>IF((LEN(Sheet1!V57)-LEN(SUBSTITUTE(Sheet1!V57,", ","")))/2=2,VLOOKUP(LEFT(Sheet1!V57,FIND(", ",Sheet1!V57)-1),Sheet1!$A$1:$B$40,2,FALSE)&amp;","&amp;VLOOKUP(MID(Sheet1!V57,FIND("#",SUBSTITUTE(Sheet1!V57,", ","#",1))+2,FIND("#",SUBSTITUTE(Sheet1!V57,", ","#",2))-(FIND("#",SUBSTITUTE(Sheet1!V57,", ","#",1))+2)),Sheet1!$A$1:$B$40,2,FALSE)&amp;","&amp;VLOOKUP(RIGHT(Sheet1!V57,LEN(Sheet1!V57)-FIND("#",SUBSTITUTE(Sheet1!V57,", ","#",2))-1),Sheet1!$A$1:$B$40,2,FALSE),"")</f>
        <v/>
      </c>
      <c r="I11" s="6" t="str">
        <f>IF((LEN(Sheet1!V57)-LEN(SUBSTITUTE(Sheet1!V57,", ","")))/2=3,VLOOKUP(LEFT(Sheet1!V57,FIND(", ",Sheet1!V57)-1),Sheet1!$A$1:$B$40,2,FALSE)&amp;","&amp;VLOOKUP(MID(Sheet1!V57,FIND("#",SUBSTITUTE(Sheet1!V57,", ","#",1))+2,FIND("#",SUBSTITUTE(Sheet1!V57,", ","#",2))-(FIND("#",SUBSTITUTE(Sheet1!V57,", ","#",1))+2)),Sheet1!$A$1:$B$40,2,FALSE)&amp;","&amp;VLOOKUP(MID(Sheet1!V57,FIND("#",SUBSTITUTE(Sheet1!V57,", ","#",2))+2,FIND("#",SUBSTITUTE(Sheet1!V57,", ","#",3))-(FIND("#",SUBSTITUTE(Sheet1!V57,", ","#",2))+2)),Sheet1!$A$1:$B$40,2,FALSE)&amp;","&amp;VLOOKUP(RIGHT(Sheet1!V57,LEN(Sheet1!V57)-FIND("#",SUBSTITUTE(Sheet1!V57,", ","#",3))-1),Sheet1!$A$1:$B$40,2,FALSE),"")</f>
        <v/>
      </c>
      <c r="J11" s="6" t="str">
        <f>IF((LEN(Sheet1!V57)-LEN(SUBSTITUTE(Sheet1!V57,", ","")))/2=4,VLOOKUP(LEFT(Sheet1!V57,FIND(", ",Sheet1!V57)-1),Sheet1!$A$1:$B$40,2,FALSE)&amp;","&amp;VLOOKUP(MID(Sheet1!V57,FIND("#",SUBSTITUTE(Sheet1!V57,", ","#",1))+2,FIND("#",SUBSTITUTE(Sheet1!V57,", ","#",2))-(FIND("#",SUBSTITUTE(Sheet1!V57,", ","#",1))+2)),Sheet1!$A$1:$B$40,2,FALSE)&amp;","&amp;VLOOKUP(MID(Sheet1!V57,FIND("#",SUBSTITUTE(Sheet1!V57,", ","#",2))+2,FIND("#",SUBSTITUTE(Sheet1!V57,", ","#",3))-(FIND("#",SUBSTITUTE(Sheet1!V57,", ","#",2))+2)),Sheet1!$A$1:$B$40,2,FALSE)&amp;","&amp;VLOOKUP(MID(Sheet1!V57,FIND("#",SUBSTITUTE(Sheet1!V57,", ","#",3))+2,FIND("#",SUBSTITUTE(Sheet1!V57,", ","#",4))-(FIND("#",SUBSTITUTE(Sheet1!V57,", ","#",3))+2)),Sheet1!$A$1:$B$40,2,FALSE)&amp;","&amp;VLOOKUP(RIGHT(Sheet1!V57,LEN(Sheet1!V57)-FIND("#",SUBSTITUTE(Sheet1!V57,", ","#",4))-1),Sheet1!$A$1:$B$40,2,FALSE),"")</f>
        <v/>
      </c>
      <c r="K11" s="6" t="str">
        <f t="shared" si="1"/>
        <v/>
      </c>
      <c r="L11" s="6" t="str">
        <f>IFERROR(IF((LEN(Sheet1!AA57)-LEN(SUBSTITUTE(Sheet1!AA57,", ","")))/2=0,VLOOKUP(Sheet1!AA57,Sheet1!$A$1:$B$40,2,FALSE),""),"")</f>
        <v/>
      </c>
      <c r="M11" s="6" t="str">
        <f>IFERROR(IF((LEN(Sheet1!AA57)-LEN(SUBSTITUTE(Sheet1!AA57,", ","")))/2=1,VLOOKUP(LEFT(Sheet1!AA57,FIND(", ",Sheet1!AA57)-1),Sheet1!$A$1:$B$40,2,FALSE)&amp;","&amp;VLOOKUP(RIGHT(Sheet1!AA57,LEN(Sheet1!AA57)-FIND(", ",Sheet1!AA57)-1),Sheet1!$A$1:$B$40,2,FALSE),""),"")</f>
        <v/>
      </c>
      <c r="N11" s="6" t="str">
        <f t="shared" si="2"/>
        <v/>
      </c>
    </row>
    <row r="12" spans="1:14">
      <c r="A12" s="5" t="str">
        <f>IFERROR(IF((LEN(Sheet1!N58)-LEN(SUBSTITUTE(Sheet1!N58,", ","")))/2=0,VLOOKUP(Sheet1!N58,Sheet1!$A$1:$B$40,2,FALSE),""),"")</f>
        <v/>
      </c>
      <c r="B12" s="6" t="str">
        <f>IFERROR(IF((LEN(Sheet1!N58)-LEN(SUBSTITUTE(Sheet1!N58,", ","")))/2=1,VLOOKUP(LEFT(Sheet1!N58,FIND(", ",Sheet1!N58)-1),Sheet1!$A$1:$B$40,2,FALSE)&amp;","&amp;VLOOKUP(RIGHT(Sheet1!N58,LEN(Sheet1!N58)-FIND(", ",Sheet1!N58)-1),Sheet1!$A$1:$B$40,2,FALSE),""),"")</f>
        <v/>
      </c>
      <c r="C12" s="6" t="str">
        <f>IF((LEN(Sheet1!N58)-LEN(SUBSTITUTE(Sheet1!N58,", ","")))/2=2,VLOOKUP(LEFT(Sheet1!N58,FIND(", ",Sheet1!N58)-1),Sheet1!$A$1:$B$40,2,FALSE)&amp;","&amp;VLOOKUP(MID(Sheet1!N58,FIND("#",SUBSTITUTE(Sheet1!N58,", ","#",1))+2,FIND("#",SUBSTITUTE(Sheet1!N58,", ","#",2))-(FIND("#",SUBSTITUTE(Sheet1!N58,", ","#",1))+2)),Sheet1!$A$1:$B$40,2,FALSE)&amp;","&amp;VLOOKUP(RIGHT(Sheet1!N58,LEN(Sheet1!N58)-FIND("#",SUBSTITUTE(Sheet1!N58,", ","#",2))-1),Sheet1!$A$1:$B$40,2,FALSE),"")</f>
        <v/>
      </c>
      <c r="D12" s="6" t="str">
        <f>IF((LEN(Sheet1!N58)-LEN(SUBSTITUTE(Sheet1!N58,", ","")))/2=3,VLOOKUP(LEFT(Sheet1!N58,FIND(", ",Sheet1!N58)-1),Sheet1!$A$1:$B$40,2,FALSE)&amp;","&amp;VLOOKUP(MID(Sheet1!N58,FIND("#",SUBSTITUTE(Sheet1!N58,", ","#",1))+2,FIND("#",SUBSTITUTE(Sheet1!N58,", ","#",2))-(FIND("#",SUBSTITUTE(Sheet1!N58,", ","#",1))+2)),Sheet1!$A$1:$B$40,2,FALSE)&amp;","&amp;VLOOKUP(MID(Sheet1!N58,FIND("#",SUBSTITUTE(Sheet1!N58,", ","#",2))+2,FIND("#",SUBSTITUTE(Sheet1!N58,", ","#",3))-(FIND("#",SUBSTITUTE(Sheet1!N58,", ","#",2))+2)),Sheet1!$A$1:$B$40,2,FALSE)&amp;","&amp;VLOOKUP(RIGHT(Sheet1!N58,LEN(Sheet1!N58)-FIND("#",SUBSTITUTE(Sheet1!N58,", ","#",3))-1),Sheet1!$A$1:$B$40,2,FALSE),"")</f>
        <v/>
      </c>
      <c r="E12" s="6" t="str">
        <f t="shared" si="0"/>
        <v/>
      </c>
      <c r="F12" s="6" t="str">
        <f>IFERROR(IF((LEN(Sheet1!V58)-LEN(SUBSTITUTE(Sheet1!V58,", ","")))/2=0,VLOOKUP(Sheet1!V58,Sheet1!$A$1:$B$40,2,FALSE),""),"")</f>
        <v/>
      </c>
      <c r="G12" s="6" t="str">
        <f>IFERROR(IF((LEN(Sheet1!V58)-LEN(SUBSTITUTE(Sheet1!V58,", ","")))/2=1,VLOOKUP(LEFT(Sheet1!V58,FIND(", ",Sheet1!V58)-1),Sheet1!$A$1:$B$40,2,FALSE)&amp;","&amp;VLOOKUP(RIGHT(Sheet1!V58,LEN(Sheet1!V58)-FIND(", ",Sheet1!V58)-1),Sheet1!$A$1:$B$40,2,FALSE),""),"")</f>
        <v/>
      </c>
      <c r="H12" s="6" t="str">
        <f>IF((LEN(Sheet1!V58)-LEN(SUBSTITUTE(Sheet1!V58,", ","")))/2=2,VLOOKUP(LEFT(Sheet1!V58,FIND(", ",Sheet1!V58)-1),Sheet1!$A$1:$B$40,2,FALSE)&amp;","&amp;VLOOKUP(MID(Sheet1!V58,FIND("#",SUBSTITUTE(Sheet1!V58,", ","#",1))+2,FIND("#",SUBSTITUTE(Sheet1!V58,", ","#",2))-(FIND("#",SUBSTITUTE(Sheet1!V58,", ","#",1))+2)),Sheet1!$A$1:$B$40,2,FALSE)&amp;","&amp;VLOOKUP(RIGHT(Sheet1!V58,LEN(Sheet1!V58)-FIND("#",SUBSTITUTE(Sheet1!V58,", ","#",2))-1),Sheet1!$A$1:$B$40,2,FALSE),"")</f>
        <v/>
      </c>
      <c r="I12" s="6" t="str">
        <f>IF((LEN(Sheet1!V58)-LEN(SUBSTITUTE(Sheet1!V58,", ","")))/2=3,VLOOKUP(LEFT(Sheet1!V58,FIND(", ",Sheet1!V58)-1),Sheet1!$A$1:$B$40,2,FALSE)&amp;","&amp;VLOOKUP(MID(Sheet1!V58,FIND("#",SUBSTITUTE(Sheet1!V58,", ","#",1))+2,FIND("#",SUBSTITUTE(Sheet1!V58,", ","#",2))-(FIND("#",SUBSTITUTE(Sheet1!V58,", ","#",1))+2)),Sheet1!$A$1:$B$40,2,FALSE)&amp;","&amp;VLOOKUP(MID(Sheet1!V58,FIND("#",SUBSTITUTE(Sheet1!V58,", ","#",2))+2,FIND("#",SUBSTITUTE(Sheet1!V58,", ","#",3))-(FIND("#",SUBSTITUTE(Sheet1!V58,", ","#",2))+2)),Sheet1!$A$1:$B$40,2,FALSE)&amp;","&amp;VLOOKUP(RIGHT(Sheet1!V58,LEN(Sheet1!V58)-FIND("#",SUBSTITUTE(Sheet1!V58,", ","#",3))-1),Sheet1!$A$1:$B$40,2,FALSE),"")</f>
        <v/>
      </c>
      <c r="J12" s="6" t="str">
        <f>IF((LEN(Sheet1!V58)-LEN(SUBSTITUTE(Sheet1!V58,", ","")))/2=4,VLOOKUP(LEFT(Sheet1!V58,FIND(", ",Sheet1!V58)-1),Sheet1!$A$1:$B$40,2,FALSE)&amp;","&amp;VLOOKUP(MID(Sheet1!V58,FIND("#",SUBSTITUTE(Sheet1!V58,", ","#",1))+2,FIND("#",SUBSTITUTE(Sheet1!V58,", ","#",2))-(FIND("#",SUBSTITUTE(Sheet1!V58,", ","#",1))+2)),Sheet1!$A$1:$B$40,2,FALSE)&amp;","&amp;VLOOKUP(MID(Sheet1!V58,FIND("#",SUBSTITUTE(Sheet1!V58,", ","#",2))+2,FIND("#",SUBSTITUTE(Sheet1!V58,", ","#",3))-(FIND("#",SUBSTITUTE(Sheet1!V58,", ","#",2))+2)),Sheet1!$A$1:$B$40,2,FALSE)&amp;","&amp;VLOOKUP(MID(Sheet1!V58,FIND("#",SUBSTITUTE(Sheet1!V58,", ","#",3))+2,FIND("#",SUBSTITUTE(Sheet1!V58,", ","#",4))-(FIND("#",SUBSTITUTE(Sheet1!V58,", ","#",3))+2)),Sheet1!$A$1:$B$40,2,FALSE)&amp;","&amp;VLOOKUP(RIGHT(Sheet1!V58,LEN(Sheet1!V58)-FIND("#",SUBSTITUTE(Sheet1!V58,", ","#",4))-1),Sheet1!$A$1:$B$40,2,FALSE),"")</f>
        <v/>
      </c>
      <c r="K12" s="6" t="str">
        <f t="shared" si="1"/>
        <v/>
      </c>
      <c r="L12" s="6" t="str">
        <f>IFERROR(IF((LEN(Sheet1!AA58)-LEN(SUBSTITUTE(Sheet1!AA58,", ","")))/2=0,VLOOKUP(Sheet1!AA58,Sheet1!$A$1:$B$40,2,FALSE),""),"")</f>
        <v/>
      </c>
      <c r="M12" s="6" t="str">
        <f>IFERROR(IF((LEN(Sheet1!AA58)-LEN(SUBSTITUTE(Sheet1!AA58,", ","")))/2=1,VLOOKUP(LEFT(Sheet1!AA58,FIND(", ",Sheet1!AA58)-1),Sheet1!$A$1:$B$40,2,FALSE)&amp;","&amp;VLOOKUP(RIGHT(Sheet1!AA58,LEN(Sheet1!AA58)-FIND(", ",Sheet1!AA58)-1),Sheet1!$A$1:$B$40,2,FALSE),""),"")</f>
        <v/>
      </c>
      <c r="N12" s="6" t="str">
        <f t="shared" si="2"/>
        <v/>
      </c>
    </row>
    <row r="13" spans="1:14">
      <c r="A13" s="5" t="str">
        <f>IFERROR(IF((LEN(Sheet1!N59)-LEN(SUBSTITUTE(Sheet1!N59,", ","")))/2=0,VLOOKUP(Sheet1!N59,Sheet1!$A$1:$B$40,2,FALSE),""),"")</f>
        <v/>
      </c>
      <c r="B13" s="6" t="str">
        <f>IFERROR(IF((LEN(Sheet1!N59)-LEN(SUBSTITUTE(Sheet1!N59,", ","")))/2=1,VLOOKUP(LEFT(Sheet1!N59,FIND(", ",Sheet1!N59)-1),Sheet1!$A$1:$B$40,2,FALSE)&amp;","&amp;VLOOKUP(RIGHT(Sheet1!N59,LEN(Sheet1!N59)-FIND(", ",Sheet1!N59)-1),Sheet1!$A$1:$B$40,2,FALSE),""),"")</f>
        <v/>
      </c>
      <c r="C13" s="6" t="str">
        <f>IF((LEN(Sheet1!N59)-LEN(SUBSTITUTE(Sheet1!N59,", ","")))/2=2,VLOOKUP(LEFT(Sheet1!N59,FIND(", ",Sheet1!N59)-1),Sheet1!$A$1:$B$40,2,FALSE)&amp;","&amp;VLOOKUP(MID(Sheet1!N59,FIND("#",SUBSTITUTE(Sheet1!N59,", ","#",1))+2,FIND("#",SUBSTITUTE(Sheet1!N59,", ","#",2))-(FIND("#",SUBSTITUTE(Sheet1!N59,", ","#",1))+2)),Sheet1!$A$1:$B$40,2,FALSE)&amp;","&amp;VLOOKUP(RIGHT(Sheet1!N59,LEN(Sheet1!N59)-FIND("#",SUBSTITUTE(Sheet1!N59,", ","#",2))-1),Sheet1!$A$1:$B$40,2,FALSE),"")</f>
        <v/>
      </c>
      <c r="D13" s="6" t="str">
        <f>IF((LEN(Sheet1!N59)-LEN(SUBSTITUTE(Sheet1!N59,", ","")))/2=3,VLOOKUP(LEFT(Sheet1!N59,FIND(", ",Sheet1!N59)-1),Sheet1!$A$1:$B$40,2,FALSE)&amp;","&amp;VLOOKUP(MID(Sheet1!N59,FIND("#",SUBSTITUTE(Sheet1!N59,", ","#",1))+2,FIND("#",SUBSTITUTE(Sheet1!N59,", ","#",2))-(FIND("#",SUBSTITUTE(Sheet1!N59,", ","#",1))+2)),Sheet1!$A$1:$B$40,2,FALSE)&amp;","&amp;VLOOKUP(MID(Sheet1!N59,FIND("#",SUBSTITUTE(Sheet1!N59,", ","#",2))+2,FIND("#",SUBSTITUTE(Sheet1!N59,", ","#",3))-(FIND("#",SUBSTITUTE(Sheet1!N59,", ","#",2))+2)),Sheet1!$A$1:$B$40,2,FALSE)&amp;","&amp;VLOOKUP(RIGHT(Sheet1!N59,LEN(Sheet1!N59)-FIND("#",SUBSTITUTE(Sheet1!N59,", ","#",3))-1),Sheet1!$A$1:$B$40,2,FALSE),"")</f>
        <v/>
      </c>
      <c r="E13" s="6" t="str">
        <f t="shared" si="0"/>
        <v/>
      </c>
      <c r="F13" s="6" t="str">
        <f>IFERROR(IF((LEN(Sheet1!V59)-LEN(SUBSTITUTE(Sheet1!V59,", ","")))/2=0,VLOOKUP(Sheet1!V59,Sheet1!$A$1:$B$40,2,FALSE),""),"")</f>
        <v/>
      </c>
      <c r="G13" s="6" t="str">
        <f>IFERROR(IF((LEN(Sheet1!V59)-LEN(SUBSTITUTE(Sheet1!V59,", ","")))/2=1,VLOOKUP(LEFT(Sheet1!V59,FIND(", ",Sheet1!V59)-1),Sheet1!$A$1:$B$40,2,FALSE)&amp;","&amp;VLOOKUP(RIGHT(Sheet1!V59,LEN(Sheet1!V59)-FIND(", ",Sheet1!V59)-1),Sheet1!$A$1:$B$40,2,FALSE),""),"")</f>
        <v/>
      </c>
      <c r="H13" s="6" t="str">
        <f>IF((LEN(Sheet1!V59)-LEN(SUBSTITUTE(Sheet1!V59,", ","")))/2=2,VLOOKUP(LEFT(Sheet1!V59,FIND(", ",Sheet1!V59)-1),Sheet1!$A$1:$B$40,2,FALSE)&amp;","&amp;VLOOKUP(MID(Sheet1!V59,FIND("#",SUBSTITUTE(Sheet1!V59,", ","#",1))+2,FIND("#",SUBSTITUTE(Sheet1!V59,", ","#",2))-(FIND("#",SUBSTITUTE(Sheet1!V59,", ","#",1))+2)),Sheet1!$A$1:$B$40,2,FALSE)&amp;","&amp;VLOOKUP(RIGHT(Sheet1!V59,LEN(Sheet1!V59)-FIND("#",SUBSTITUTE(Sheet1!V59,", ","#",2))-1),Sheet1!$A$1:$B$40,2,FALSE),"")</f>
        <v/>
      </c>
      <c r="I13" s="6" t="str">
        <f>IF((LEN(Sheet1!V59)-LEN(SUBSTITUTE(Sheet1!V59,", ","")))/2=3,VLOOKUP(LEFT(Sheet1!V59,FIND(", ",Sheet1!V59)-1),Sheet1!$A$1:$B$40,2,FALSE)&amp;","&amp;VLOOKUP(MID(Sheet1!V59,FIND("#",SUBSTITUTE(Sheet1!V59,", ","#",1))+2,FIND("#",SUBSTITUTE(Sheet1!V59,", ","#",2))-(FIND("#",SUBSTITUTE(Sheet1!V59,", ","#",1))+2)),Sheet1!$A$1:$B$40,2,FALSE)&amp;","&amp;VLOOKUP(MID(Sheet1!V59,FIND("#",SUBSTITUTE(Sheet1!V59,", ","#",2))+2,FIND("#",SUBSTITUTE(Sheet1!V59,", ","#",3))-(FIND("#",SUBSTITUTE(Sheet1!V59,", ","#",2))+2)),Sheet1!$A$1:$B$40,2,FALSE)&amp;","&amp;VLOOKUP(RIGHT(Sheet1!V59,LEN(Sheet1!V59)-FIND("#",SUBSTITUTE(Sheet1!V59,", ","#",3))-1),Sheet1!$A$1:$B$40,2,FALSE),"")</f>
        <v/>
      </c>
      <c r="J13" s="6" t="str">
        <f>IF((LEN(Sheet1!V59)-LEN(SUBSTITUTE(Sheet1!V59,", ","")))/2=4,VLOOKUP(LEFT(Sheet1!V59,FIND(", ",Sheet1!V59)-1),Sheet1!$A$1:$B$40,2,FALSE)&amp;","&amp;VLOOKUP(MID(Sheet1!V59,FIND("#",SUBSTITUTE(Sheet1!V59,", ","#",1))+2,FIND("#",SUBSTITUTE(Sheet1!V59,", ","#",2))-(FIND("#",SUBSTITUTE(Sheet1!V59,", ","#",1))+2)),Sheet1!$A$1:$B$40,2,FALSE)&amp;","&amp;VLOOKUP(MID(Sheet1!V59,FIND("#",SUBSTITUTE(Sheet1!V59,", ","#",2))+2,FIND("#",SUBSTITUTE(Sheet1!V59,", ","#",3))-(FIND("#",SUBSTITUTE(Sheet1!V59,", ","#",2))+2)),Sheet1!$A$1:$B$40,2,FALSE)&amp;","&amp;VLOOKUP(MID(Sheet1!V59,FIND("#",SUBSTITUTE(Sheet1!V59,", ","#",3))+2,FIND("#",SUBSTITUTE(Sheet1!V59,", ","#",4))-(FIND("#",SUBSTITUTE(Sheet1!V59,", ","#",3))+2)),Sheet1!$A$1:$B$40,2,FALSE)&amp;","&amp;VLOOKUP(RIGHT(Sheet1!V59,LEN(Sheet1!V59)-FIND("#",SUBSTITUTE(Sheet1!V59,", ","#",4))-1),Sheet1!$A$1:$B$40,2,FALSE),"")</f>
        <v/>
      </c>
      <c r="K13" s="6" t="str">
        <f t="shared" si="1"/>
        <v/>
      </c>
      <c r="L13" s="6" t="str">
        <f>IFERROR(IF((LEN(Sheet1!AA59)-LEN(SUBSTITUTE(Sheet1!AA59,", ","")))/2=0,VLOOKUP(Sheet1!AA59,Sheet1!$A$1:$B$40,2,FALSE),""),"")</f>
        <v/>
      </c>
      <c r="M13" s="6" t="str">
        <f>IFERROR(IF((LEN(Sheet1!AA59)-LEN(SUBSTITUTE(Sheet1!AA59,", ","")))/2=1,VLOOKUP(LEFT(Sheet1!AA59,FIND(", ",Sheet1!AA59)-1),Sheet1!$A$1:$B$40,2,FALSE)&amp;","&amp;VLOOKUP(RIGHT(Sheet1!AA59,LEN(Sheet1!AA59)-FIND(", ",Sheet1!AA59)-1),Sheet1!$A$1:$B$40,2,FALSE),""),"")</f>
        <v/>
      </c>
      <c r="N13" s="6" t="str">
        <f t="shared" si="2"/>
        <v/>
      </c>
    </row>
    <row r="14" spans="1:14">
      <c r="A14" s="5" t="str">
        <f>IFERROR(IF((LEN(Sheet1!N60)-LEN(SUBSTITUTE(Sheet1!N60,", ","")))/2=0,VLOOKUP(Sheet1!N60,Sheet1!$A$1:$B$40,2,FALSE),""),"")</f>
        <v/>
      </c>
      <c r="B14" s="6" t="str">
        <f>IFERROR(IF((LEN(Sheet1!N60)-LEN(SUBSTITUTE(Sheet1!N60,", ","")))/2=1,VLOOKUP(LEFT(Sheet1!N60,FIND(", ",Sheet1!N60)-1),Sheet1!$A$1:$B$40,2,FALSE)&amp;","&amp;VLOOKUP(RIGHT(Sheet1!N60,LEN(Sheet1!N60)-FIND(", ",Sheet1!N60)-1),Sheet1!$A$1:$B$40,2,FALSE),""),"")</f>
        <v/>
      </c>
      <c r="C14" s="6" t="str">
        <f>IF((LEN(Sheet1!N60)-LEN(SUBSTITUTE(Sheet1!N60,", ","")))/2=2,VLOOKUP(LEFT(Sheet1!N60,FIND(", ",Sheet1!N60)-1),Sheet1!$A$1:$B$40,2,FALSE)&amp;","&amp;VLOOKUP(MID(Sheet1!N60,FIND("#",SUBSTITUTE(Sheet1!N60,", ","#",1))+2,FIND("#",SUBSTITUTE(Sheet1!N60,", ","#",2))-(FIND("#",SUBSTITUTE(Sheet1!N60,", ","#",1))+2)),Sheet1!$A$1:$B$40,2,FALSE)&amp;","&amp;VLOOKUP(RIGHT(Sheet1!N60,LEN(Sheet1!N60)-FIND("#",SUBSTITUTE(Sheet1!N60,", ","#",2))-1),Sheet1!$A$1:$B$40,2,FALSE),"")</f>
        <v/>
      </c>
      <c r="D14" s="6" t="str">
        <f>IF((LEN(Sheet1!N60)-LEN(SUBSTITUTE(Sheet1!N60,", ","")))/2=3,VLOOKUP(LEFT(Sheet1!N60,FIND(", ",Sheet1!N60)-1),Sheet1!$A$1:$B$40,2,FALSE)&amp;","&amp;VLOOKUP(MID(Sheet1!N60,FIND("#",SUBSTITUTE(Sheet1!N60,", ","#",1))+2,FIND("#",SUBSTITUTE(Sheet1!N60,", ","#",2))-(FIND("#",SUBSTITUTE(Sheet1!N60,", ","#",1))+2)),Sheet1!$A$1:$B$40,2,FALSE)&amp;","&amp;VLOOKUP(MID(Sheet1!N60,FIND("#",SUBSTITUTE(Sheet1!N60,", ","#",2))+2,FIND("#",SUBSTITUTE(Sheet1!N60,", ","#",3))-(FIND("#",SUBSTITUTE(Sheet1!N60,", ","#",2))+2)),Sheet1!$A$1:$B$40,2,FALSE)&amp;","&amp;VLOOKUP(RIGHT(Sheet1!N60,LEN(Sheet1!N60)-FIND("#",SUBSTITUTE(Sheet1!N60,", ","#",3))-1),Sheet1!$A$1:$B$40,2,FALSE),"")</f>
        <v/>
      </c>
      <c r="E14" s="6" t="str">
        <f t="shared" si="0"/>
        <v/>
      </c>
      <c r="F14" s="6" t="str">
        <f>IFERROR(IF((LEN(Sheet1!V60)-LEN(SUBSTITUTE(Sheet1!V60,", ","")))/2=0,VLOOKUP(Sheet1!V60,Sheet1!$A$1:$B$40,2,FALSE),""),"")</f>
        <v/>
      </c>
      <c r="G14" s="6" t="str">
        <f>IFERROR(IF((LEN(Sheet1!V60)-LEN(SUBSTITUTE(Sheet1!V60,", ","")))/2=1,VLOOKUP(LEFT(Sheet1!V60,FIND(", ",Sheet1!V60)-1),Sheet1!$A$1:$B$40,2,FALSE)&amp;","&amp;VLOOKUP(RIGHT(Sheet1!V60,LEN(Sheet1!V60)-FIND(", ",Sheet1!V60)-1),Sheet1!$A$1:$B$40,2,FALSE),""),"")</f>
        <v/>
      </c>
      <c r="H14" s="6" t="str">
        <f>IF((LEN(Sheet1!V60)-LEN(SUBSTITUTE(Sheet1!V60,", ","")))/2=2,VLOOKUP(LEFT(Sheet1!V60,FIND(", ",Sheet1!V60)-1),Sheet1!$A$1:$B$40,2,FALSE)&amp;","&amp;VLOOKUP(MID(Sheet1!V60,FIND("#",SUBSTITUTE(Sheet1!V60,", ","#",1))+2,FIND("#",SUBSTITUTE(Sheet1!V60,", ","#",2))-(FIND("#",SUBSTITUTE(Sheet1!V60,", ","#",1))+2)),Sheet1!$A$1:$B$40,2,FALSE)&amp;","&amp;VLOOKUP(RIGHT(Sheet1!V60,LEN(Sheet1!V60)-FIND("#",SUBSTITUTE(Sheet1!V60,", ","#",2))-1),Sheet1!$A$1:$B$40,2,FALSE),"")</f>
        <v/>
      </c>
      <c r="I14" s="6" t="str">
        <f>IF((LEN(Sheet1!V60)-LEN(SUBSTITUTE(Sheet1!V60,", ","")))/2=3,VLOOKUP(LEFT(Sheet1!V60,FIND(", ",Sheet1!V60)-1),Sheet1!$A$1:$B$40,2,FALSE)&amp;","&amp;VLOOKUP(MID(Sheet1!V60,FIND("#",SUBSTITUTE(Sheet1!V60,", ","#",1))+2,FIND("#",SUBSTITUTE(Sheet1!V60,", ","#",2))-(FIND("#",SUBSTITUTE(Sheet1!V60,", ","#",1))+2)),Sheet1!$A$1:$B$40,2,FALSE)&amp;","&amp;VLOOKUP(MID(Sheet1!V60,FIND("#",SUBSTITUTE(Sheet1!V60,", ","#",2))+2,FIND("#",SUBSTITUTE(Sheet1!V60,", ","#",3))-(FIND("#",SUBSTITUTE(Sheet1!V60,", ","#",2))+2)),Sheet1!$A$1:$B$40,2,FALSE)&amp;","&amp;VLOOKUP(RIGHT(Sheet1!V60,LEN(Sheet1!V60)-FIND("#",SUBSTITUTE(Sheet1!V60,", ","#",3))-1),Sheet1!$A$1:$B$40,2,FALSE),"")</f>
        <v/>
      </c>
      <c r="J14" s="6" t="str">
        <f>IF((LEN(Sheet1!V60)-LEN(SUBSTITUTE(Sheet1!V60,", ","")))/2=4,VLOOKUP(LEFT(Sheet1!V60,FIND(", ",Sheet1!V60)-1),Sheet1!$A$1:$B$40,2,FALSE)&amp;","&amp;VLOOKUP(MID(Sheet1!V60,FIND("#",SUBSTITUTE(Sheet1!V60,", ","#",1))+2,FIND("#",SUBSTITUTE(Sheet1!V60,", ","#",2))-(FIND("#",SUBSTITUTE(Sheet1!V60,", ","#",1))+2)),Sheet1!$A$1:$B$40,2,FALSE)&amp;","&amp;VLOOKUP(MID(Sheet1!V60,FIND("#",SUBSTITUTE(Sheet1!V60,", ","#",2))+2,FIND("#",SUBSTITUTE(Sheet1!V60,", ","#",3))-(FIND("#",SUBSTITUTE(Sheet1!V60,", ","#",2))+2)),Sheet1!$A$1:$B$40,2,FALSE)&amp;","&amp;VLOOKUP(MID(Sheet1!V60,FIND("#",SUBSTITUTE(Sheet1!V60,", ","#",3))+2,FIND("#",SUBSTITUTE(Sheet1!V60,", ","#",4))-(FIND("#",SUBSTITUTE(Sheet1!V60,", ","#",3))+2)),Sheet1!$A$1:$B$40,2,FALSE)&amp;","&amp;VLOOKUP(RIGHT(Sheet1!V60,LEN(Sheet1!V60)-FIND("#",SUBSTITUTE(Sheet1!V60,", ","#",4))-1),Sheet1!$A$1:$B$40,2,FALSE),"")</f>
        <v/>
      </c>
      <c r="K14" s="6" t="str">
        <f t="shared" si="1"/>
        <v/>
      </c>
      <c r="L14" s="6" t="str">
        <f>IFERROR(IF((LEN(Sheet1!AA60)-LEN(SUBSTITUTE(Sheet1!AA60,", ","")))/2=0,VLOOKUP(Sheet1!AA60,Sheet1!$A$1:$B$40,2,FALSE),""),"")</f>
        <v/>
      </c>
      <c r="M14" s="6" t="str">
        <f>IFERROR(IF((LEN(Sheet1!AA60)-LEN(SUBSTITUTE(Sheet1!AA60,", ","")))/2=1,VLOOKUP(LEFT(Sheet1!AA60,FIND(", ",Sheet1!AA60)-1),Sheet1!$A$1:$B$40,2,FALSE)&amp;","&amp;VLOOKUP(RIGHT(Sheet1!AA60,LEN(Sheet1!AA60)-FIND(", ",Sheet1!AA60)-1),Sheet1!$A$1:$B$40,2,FALSE),""),"")</f>
        <v/>
      </c>
      <c r="N14" s="6" t="str">
        <f t="shared" si="2"/>
        <v/>
      </c>
    </row>
    <row r="15" spans="1:14">
      <c r="A15" s="5" t="str">
        <f>IFERROR(IF((LEN(Sheet1!N61)-LEN(SUBSTITUTE(Sheet1!N61,", ","")))/2=0,VLOOKUP(Sheet1!N61,Sheet1!$A$1:$B$40,2,FALSE),""),"")</f>
        <v/>
      </c>
      <c r="B15" s="6" t="str">
        <f>IFERROR(IF((LEN(Sheet1!N61)-LEN(SUBSTITUTE(Sheet1!N61,", ","")))/2=1,VLOOKUP(LEFT(Sheet1!N61,FIND(", ",Sheet1!N61)-1),Sheet1!$A$1:$B$40,2,FALSE)&amp;","&amp;VLOOKUP(RIGHT(Sheet1!N61,LEN(Sheet1!N61)-FIND(", ",Sheet1!N61)-1),Sheet1!$A$1:$B$40,2,FALSE),""),"")</f>
        <v/>
      </c>
      <c r="C15" s="6" t="str">
        <f>IF((LEN(Sheet1!N61)-LEN(SUBSTITUTE(Sheet1!N61,", ","")))/2=2,VLOOKUP(LEFT(Sheet1!N61,FIND(", ",Sheet1!N61)-1),Sheet1!$A$1:$B$40,2,FALSE)&amp;","&amp;VLOOKUP(MID(Sheet1!N61,FIND("#",SUBSTITUTE(Sheet1!N61,", ","#",1))+2,FIND("#",SUBSTITUTE(Sheet1!N61,", ","#",2))-(FIND("#",SUBSTITUTE(Sheet1!N61,", ","#",1))+2)),Sheet1!$A$1:$B$40,2,FALSE)&amp;","&amp;VLOOKUP(RIGHT(Sheet1!N61,LEN(Sheet1!N61)-FIND("#",SUBSTITUTE(Sheet1!N61,", ","#",2))-1),Sheet1!$A$1:$B$40,2,FALSE),"")</f>
        <v/>
      </c>
      <c r="D15" s="6" t="str">
        <f>IF((LEN(Sheet1!N61)-LEN(SUBSTITUTE(Sheet1!N61,", ","")))/2=3,VLOOKUP(LEFT(Sheet1!N61,FIND(", ",Sheet1!N61)-1),Sheet1!$A$1:$B$40,2,FALSE)&amp;","&amp;VLOOKUP(MID(Sheet1!N61,FIND("#",SUBSTITUTE(Sheet1!N61,", ","#",1))+2,FIND("#",SUBSTITUTE(Sheet1!N61,", ","#",2))-(FIND("#",SUBSTITUTE(Sheet1!N61,", ","#",1))+2)),Sheet1!$A$1:$B$40,2,FALSE)&amp;","&amp;VLOOKUP(MID(Sheet1!N61,FIND("#",SUBSTITUTE(Sheet1!N61,", ","#",2))+2,FIND("#",SUBSTITUTE(Sheet1!N61,", ","#",3))-(FIND("#",SUBSTITUTE(Sheet1!N61,", ","#",2))+2)),Sheet1!$A$1:$B$40,2,FALSE)&amp;","&amp;VLOOKUP(RIGHT(Sheet1!N61,LEN(Sheet1!N61)-FIND("#",SUBSTITUTE(Sheet1!N61,", ","#",3))-1),Sheet1!$A$1:$B$40,2,FALSE),"")</f>
        <v/>
      </c>
      <c r="E15" s="6" t="str">
        <f t="shared" si="0"/>
        <v/>
      </c>
      <c r="F15" s="6" t="str">
        <f>IFERROR(IF((LEN(Sheet1!V61)-LEN(SUBSTITUTE(Sheet1!V61,", ","")))/2=0,VLOOKUP(Sheet1!V61,Sheet1!$A$1:$B$40,2,FALSE),""),"")</f>
        <v/>
      </c>
      <c r="G15" s="6" t="str">
        <f>IFERROR(IF((LEN(Sheet1!V61)-LEN(SUBSTITUTE(Sheet1!V61,", ","")))/2=1,VLOOKUP(LEFT(Sheet1!V61,FIND(", ",Sheet1!V61)-1),Sheet1!$A$1:$B$40,2,FALSE)&amp;","&amp;VLOOKUP(RIGHT(Sheet1!V61,LEN(Sheet1!V61)-FIND(", ",Sheet1!V61)-1),Sheet1!$A$1:$B$40,2,FALSE),""),"")</f>
        <v/>
      </c>
      <c r="H15" s="6" t="str">
        <f>IF((LEN(Sheet1!V61)-LEN(SUBSTITUTE(Sheet1!V61,", ","")))/2=2,VLOOKUP(LEFT(Sheet1!V61,FIND(", ",Sheet1!V61)-1),Sheet1!$A$1:$B$40,2,FALSE)&amp;","&amp;VLOOKUP(MID(Sheet1!V61,FIND("#",SUBSTITUTE(Sheet1!V61,", ","#",1))+2,FIND("#",SUBSTITUTE(Sheet1!V61,", ","#",2))-(FIND("#",SUBSTITUTE(Sheet1!V61,", ","#",1))+2)),Sheet1!$A$1:$B$40,2,FALSE)&amp;","&amp;VLOOKUP(RIGHT(Sheet1!V61,LEN(Sheet1!V61)-FIND("#",SUBSTITUTE(Sheet1!V61,", ","#",2))-1),Sheet1!$A$1:$B$40,2,FALSE),"")</f>
        <v/>
      </c>
      <c r="I15" s="6" t="str">
        <f>IF((LEN(Sheet1!V61)-LEN(SUBSTITUTE(Sheet1!V61,", ","")))/2=3,VLOOKUP(LEFT(Sheet1!V61,FIND(", ",Sheet1!V61)-1),Sheet1!$A$1:$B$40,2,FALSE)&amp;","&amp;VLOOKUP(MID(Sheet1!V61,FIND("#",SUBSTITUTE(Sheet1!V61,", ","#",1))+2,FIND("#",SUBSTITUTE(Sheet1!V61,", ","#",2))-(FIND("#",SUBSTITUTE(Sheet1!V61,", ","#",1))+2)),Sheet1!$A$1:$B$40,2,FALSE)&amp;","&amp;VLOOKUP(MID(Sheet1!V61,FIND("#",SUBSTITUTE(Sheet1!V61,", ","#",2))+2,FIND("#",SUBSTITUTE(Sheet1!V61,", ","#",3))-(FIND("#",SUBSTITUTE(Sheet1!V61,", ","#",2))+2)),Sheet1!$A$1:$B$40,2,FALSE)&amp;","&amp;VLOOKUP(RIGHT(Sheet1!V61,LEN(Sheet1!V61)-FIND("#",SUBSTITUTE(Sheet1!V61,", ","#",3))-1),Sheet1!$A$1:$B$40,2,FALSE),"")</f>
        <v/>
      </c>
      <c r="J15" s="6" t="str">
        <f>IF((LEN(Sheet1!V61)-LEN(SUBSTITUTE(Sheet1!V61,", ","")))/2=4,VLOOKUP(LEFT(Sheet1!V61,FIND(", ",Sheet1!V61)-1),Sheet1!$A$1:$B$40,2,FALSE)&amp;","&amp;VLOOKUP(MID(Sheet1!V61,FIND("#",SUBSTITUTE(Sheet1!V61,", ","#",1))+2,FIND("#",SUBSTITUTE(Sheet1!V61,", ","#",2))-(FIND("#",SUBSTITUTE(Sheet1!V61,", ","#",1))+2)),Sheet1!$A$1:$B$40,2,FALSE)&amp;","&amp;VLOOKUP(MID(Sheet1!V61,FIND("#",SUBSTITUTE(Sheet1!V61,", ","#",2))+2,FIND("#",SUBSTITUTE(Sheet1!V61,", ","#",3))-(FIND("#",SUBSTITUTE(Sheet1!V61,", ","#",2))+2)),Sheet1!$A$1:$B$40,2,FALSE)&amp;","&amp;VLOOKUP(MID(Sheet1!V61,FIND("#",SUBSTITUTE(Sheet1!V61,", ","#",3))+2,FIND("#",SUBSTITUTE(Sheet1!V61,", ","#",4))-(FIND("#",SUBSTITUTE(Sheet1!V61,", ","#",3))+2)),Sheet1!$A$1:$B$40,2,FALSE)&amp;","&amp;VLOOKUP(RIGHT(Sheet1!V61,LEN(Sheet1!V61)-FIND("#",SUBSTITUTE(Sheet1!V61,", ","#",4))-1),Sheet1!$A$1:$B$40,2,FALSE),"")</f>
        <v/>
      </c>
      <c r="K15" s="6" t="str">
        <f t="shared" si="1"/>
        <v/>
      </c>
      <c r="L15" s="6" t="str">
        <f>IFERROR(IF((LEN(Sheet1!AA61)-LEN(SUBSTITUTE(Sheet1!AA61,", ","")))/2=0,VLOOKUP(Sheet1!AA61,Sheet1!$A$1:$B$40,2,FALSE),""),"")</f>
        <v/>
      </c>
      <c r="M15" s="6" t="str">
        <f>IFERROR(IF((LEN(Sheet1!AA61)-LEN(SUBSTITUTE(Sheet1!AA61,", ","")))/2=1,VLOOKUP(LEFT(Sheet1!AA61,FIND(", ",Sheet1!AA61)-1),Sheet1!$A$1:$B$40,2,FALSE)&amp;","&amp;VLOOKUP(RIGHT(Sheet1!AA61,LEN(Sheet1!AA61)-FIND(", ",Sheet1!AA61)-1),Sheet1!$A$1:$B$40,2,FALSE),""),"")</f>
        <v/>
      </c>
      <c r="N15" s="6" t="str">
        <f t="shared" si="2"/>
        <v/>
      </c>
    </row>
    <row r="16" spans="1:14">
      <c r="A16" s="5" t="str">
        <f>IFERROR(IF((LEN(Sheet1!N62)-LEN(SUBSTITUTE(Sheet1!N62,", ","")))/2=0,VLOOKUP(Sheet1!N62,Sheet1!$A$1:$B$40,2,FALSE),""),"")</f>
        <v/>
      </c>
      <c r="B16" s="6" t="str">
        <f>IFERROR(IF((LEN(Sheet1!N62)-LEN(SUBSTITUTE(Sheet1!N62,", ","")))/2=1,VLOOKUP(LEFT(Sheet1!N62,FIND(", ",Sheet1!N62)-1),Sheet1!$A$1:$B$40,2,FALSE)&amp;","&amp;VLOOKUP(RIGHT(Sheet1!N62,LEN(Sheet1!N62)-FIND(", ",Sheet1!N62)-1),Sheet1!$A$1:$B$40,2,FALSE),""),"")</f>
        <v/>
      </c>
      <c r="C16" s="6" t="str">
        <f>IF((LEN(Sheet1!N62)-LEN(SUBSTITUTE(Sheet1!N62,", ","")))/2=2,VLOOKUP(LEFT(Sheet1!N62,FIND(", ",Sheet1!N62)-1),Sheet1!$A$1:$B$40,2,FALSE)&amp;","&amp;VLOOKUP(MID(Sheet1!N62,FIND("#",SUBSTITUTE(Sheet1!N62,", ","#",1))+2,FIND("#",SUBSTITUTE(Sheet1!N62,", ","#",2))-(FIND("#",SUBSTITUTE(Sheet1!N62,", ","#",1))+2)),Sheet1!$A$1:$B$40,2,FALSE)&amp;","&amp;VLOOKUP(RIGHT(Sheet1!N62,LEN(Sheet1!N62)-FIND("#",SUBSTITUTE(Sheet1!N62,", ","#",2))-1),Sheet1!$A$1:$B$40,2,FALSE),"")</f>
        <v/>
      </c>
      <c r="D16" s="6" t="str">
        <f>IF((LEN(Sheet1!N62)-LEN(SUBSTITUTE(Sheet1!N62,", ","")))/2=3,VLOOKUP(LEFT(Sheet1!N62,FIND(", ",Sheet1!N62)-1),Sheet1!$A$1:$B$40,2,FALSE)&amp;","&amp;VLOOKUP(MID(Sheet1!N62,FIND("#",SUBSTITUTE(Sheet1!N62,", ","#",1))+2,FIND("#",SUBSTITUTE(Sheet1!N62,", ","#",2))-(FIND("#",SUBSTITUTE(Sheet1!N62,", ","#",1))+2)),Sheet1!$A$1:$B$40,2,FALSE)&amp;","&amp;VLOOKUP(MID(Sheet1!N62,FIND("#",SUBSTITUTE(Sheet1!N62,", ","#",2))+2,FIND("#",SUBSTITUTE(Sheet1!N62,", ","#",3))-(FIND("#",SUBSTITUTE(Sheet1!N62,", ","#",2))+2)),Sheet1!$A$1:$B$40,2,FALSE)&amp;","&amp;VLOOKUP(RIGHT(Sheet1!N62,LEN(Sheet1!N62)-FIND("#",SUBSTITUTE(Sheet1!N62,", ","#",3))-1),Sheet1!$A$1:$B$40,2,FALSE),"")</f>
        <v/>
      </c>
      <c r="E16" s="6" t="str">
        <f t="shared" si="0"/>
        <v/>
      </c>
      <c r="F16" s="6" t="str">
        <f>IFERROR(IF((LEN(Sheet1!V62)-LEN(SUBSTITUTE(Sheet1!V62,", ","")))/2=0,VLOOKUP(Sheet1!V62,Sheet1!$A$1:$B$40,2,FALSE),""),"")</f>
        <v/>
      </c>
      <c r="G16" s="6" t="str">
        <f>IFERROR(IF((LEN(Sheet1!V62)-LEN(SUBSTITUTE(Sheet1!V62,", ","")))/2=1,VLOOKUP(LEFT(Sheet1!V62,FIND(", ",Sheet1!V62)-1),Sheet1!$A$1:$B$40,2,FALSE)&amp;","&amp;VLOOKUP(RIGHT(Sheet1!V62,LEN(Sheet1!V62)-FIND(", ",Sheet1!V62)-1),Sheet1!$A$1:$B$40,2,FALSE),""),"")</f>
        <v/>
      </c>
      <c r="H16" s="6" t="str">
        <f>IF((LEN(Sheet1!V62)-LEN(SUBSTITUTE(Sheet1!V62,", ","")))/2=2,VLOOKUP(LEFT(Sheet1!V62,FIND(", ",Sheet1!V62)-1),Sheet1!$A$1:$B$40,2,FALSE)&amp;","&amp;VLOOKUP(MID(Sheet1!V62,FIND("#",SUBSTITUTE(Sheet1!V62,", ","#",1))+2,FIND("#",SUBSTITUTE(Sheet1!V62,", ","#",2))-(FIND("#",SUBSTITUTE(Sheet1!V62,", ","#",1))+2)),Sheet1!$A$1:$B$40,2,FALSE)&amp;","&amp;VLOOKUP(RIGHT(Sheet1!V62,LEN(Sheet1!V62)-FIND("#",SUBSTITUTE(Sheet1!V62,", ","#",2))-1),Sheet1!$A$1:$B$40,2,FALSE),"")</f>
        <v/>
      </c>
      <c r="I16" s="6" t="str">
        <f>IF((LEN(Sheet1!V62)-LEN(SUBSTITUTE(Sheet1!V62,", ","")))/2=3,VLOOKUP(LEFT(Sheet1!V62,FIND(", ",Sheet1!V62)-1),Sheet1!$A$1:$B$40,2,FALSE)&amp;","&amp;VLOOKUP(MID(Sheet1!V62,FIND("#",SUBSTITUTE(Sheet1!V62,", ","#",1))+2,FIND("#",SUBSTITUTE(Sheet1!V62,", ","#",2))-(FIND("#",SUBSTITUTE(Sheet1!V62,", ","#",1))+2)),Sheet1!$A$1:$B$40,2,FALSE)&amp;","&amp;VLOOKUP(MID(Sheet1!V62,FIND("#",SUBSTITUTE(Sheet1!V62,", ","#",2))+2,FIND("#",SUBSTITUTE(Sheet1!V62,", ","#",3))-(FIND("#",SUBSTITUTE(Sheet1!V62,", ","#",2))+2)),Sheet1!$A$1:$B$40,2,FALSE)&amp;","&amp;VLOOKUP(RIGHT(Sheet1!V62,LEN(Sheet1!V62)-FIND("#",SUBSTITUTE(Sheet1!V62,", ","#",3))-1),Sheet1!$A$1:$B$40,2,FALSE),"")</f>
        <v/>
      </c>
      <c r="J16" s="6" t="str">
        <f>IF((LEN(Sheet1!V62)-LEN(SUBSTITUTE(Sheet1!V62,", ","")))/2=4,VLOOKUP(LEFT(Sheet1!V62,FIND(", ",Sheet1!V62)-1),Sheet1!$A$1:$B$40,2,FALSE)&amp;","&amp;VLOOKUP(MID(Sheet1!V62,FIND("#",SUBSTITUTE(Sheet1!V62,", ","#",1))+2,FIND("#",SUBSTITUTE(Sheet1!V62,", ","#",2))-(FIND("#",SUBSTITUTE(Sheet1!V62,", ","#",1))+2)),Sheet1!$A$1:$B$40,2,FALSE)&amp;","&amp;VLOOKUP(MID(Sheet1!V62,FIND("#",SUBSTITUTE(Sheet1!V62,", ","#",2))+2,FIND("#",SUBSTITUTE(Sheet1!V62,", ","#",3))-(FIND("#",SUBSTITUTE(Sheet1!V62,", ","#",2))+2)),Sheet1!$A$1:$B$40,2,FALSE)&amp;","&amp;VLOOKUP(MID(Sheet1!V62,FIND("#",SUBSTITUTE(Sheet1!V62,", ","#",3))+2,FIND("#",SUBSTITUTE(Sheet1!V62,", ","#",4))-(FIND("#",SUBSTITUTE(Sheet1!V62,", ","#",3))+2)),Sheet1!$A$1:$B$40,2,FALSE)&amp;","&amp;VLOOKUP(RIGHT(Sheet1!V62,LEN(Sheet1!V62)-FIND("#",SUBSTITUTE(Sheet1!V62,", ","#",4))-1),Sheet1!$A$1:$B$40,2,FALSE),"")</f>
        <v/>
      </c>
      <c r="K16" s="6" t="str">
        <f t="shared" si="1"/>
        <v/>
      </c>
      <c r="L16" s="6" t="str">
        <f>IFERROR(IF((LEN(Sheet1!AA62)-LEN(SUBSTITUTE(Sheet1!AA62,", ","")))/2=0,VLOOKUP(Sheet1!AA62,Sheet1!$A$1:$B$40,2,FALSE),""),"")</f>
        <v/>
      </c>
      <c r="M16" s="6" t="str">
        <f>IFERROR(IF((LEN(Sheet1!AA62)-LEN(SUBSTITUTE(Sheet1!AA62,", ","")))/2=1,VLOOKUP(LEFT(Sheet1!AA62,FIND(", ",Sheet1!AA62)-1),Sheet1!$A$1:$B$40,2,FALSE)&amp;","&amp;VLOOKUP(RIGHT(Sheet1!AA62,LEN(Sheet1!AA62)-FIND(", ",Sheet1!AA62)-1),Sheet1!$A$1:$B$40,2,FALSE),""),"")</f>
        <v/>
      </c>
      <c r="N16" s="6" t="str">
        <f t="shared" si="2"/>
        <v/>
      </c>
    </row>
    <row r="17" spans="1:14">
      <c r="A17" s="5" t="str">
        <f>IFERROR(IF((LEN(Sheet1!N63)-LEN(SUBSTITUTE(Sheet1!N63,", ","")))/2=0,VLOOKUP(Sheet1!N63,Sheet1!$A$1:$B$40,2,FALSE),""),"")</f>
        <v/>
      </c>
      <c r="B17" s="6" t="str">
        <f>IFERROR(IF((LEN(Sheet1!N63)-LEN(SUBSTITUTE(Sheet1!N63,", ","")))/2=1,VLOOKUP(LEFT(Sheet1!N63,FIND(", ",Sheet1!N63)-1),Sheet1!$A$1:$B$40,2,FALSE)&amp;","&amp;VLOOKUP(RIGHT(Sheet1!N63,LEN(Sheet1!N63)-FIND(", ",Sheet1!N63)-1),Sheet1!$A$1:$B$40,2,FALSE),""),"")</f>
        <v/>
      </c>
      <c r="C17" s="6" t="str">
        <f>IF((LEN(Sheet1!N63)-LEN(SUBSTITUTE(Sheet1!N63,", ","")))/2=2,VLOOKUP(LEFT(Sheet1!N63,FIND(", ",Sheet1!N63)-1),Sheet1!$A$1:$B$40,2,FALSE)&amp;","&amp;VLOOKUP(MID(Sheet1!N63,FIND("#",SUBSTITUTE(Sheet1!N63,", ","#",1))+2,FIND("#",SUBSTITUTE(Sheet1!N63,", ","#",2))-(FIND("#",SUBSTITUTE(Sheet1!N63,", ","#",1))+2)),Sheet1!$A$1:$B$40,2,FALSE)&amp;","&amp;VLOOKUP(RIGHT(Sheet1!N63,LEN(Sheet1!N63)-FIND("#",SUBSTITUTE(Sheet1!N63,", ","#",2))-1),Sheet1!$A$1:$B$40,2,FALSE),"")</f>
        <v/>
      </c>
      <c r="D17" s="6" t="str">
        <f>IF((LEN(Sheet1!N63)-LEN(SUBSTITUTE(Sheet1!N63,", ","")))/2=3,VLOOKUP(LEFT(Sheet1!N63,FIND(", ",Sheet1!N63)-1),Sheet1!$A$1:$B$40,2,FALSE)&amp;","&amp;VLOOKUP(MID(Sheet1!N63,FIND("#",SUBSTITUTE(Sheet1!N63,", ","#",1))+2,FIND("#",SUBSTITUTE(Sheet1!N63,", ","#",2))-(FIND("#",SUBSTITUTE(Sheet1!N63,", ","#",1))+2)),Sheet1!$A$1:$B$40,2,FALSE)&amp;","&amp;VLOOKUP(MID(Sheet1!N63,FIND("#",SUBSTITUTE(Sheet1!N63,", ","#",2))+2,FIND("#",SUBSTITUTE(Sheet1!N63,", ","#",3))-(FIND("#",SUBSTITUTE(Sheet1!N63,", ","#",2))+2)),Sheet1!$A$1:$B$40,2,FALSE)&amp;","&amp;VLOOKUP(RIGHT(Sheet1!N63,LEN(Sheet1!N63)-FIND("#",SUBSTITUTE(Sheet1!N63,", ","#",3))-1),Sheet1!$A$1:$B$40,2,FALSE),"")</f>
        <v/>
      </c>
      <c r="E17" s="6" t="str">
        <f t="shared" si="0"/>
        <v/>
      </c>
      <c r="F17" s="6" t="str">
        <f>IFERROR(IF((LEN(Sheet1!V63)-LEN(SUBSTITUTE(Sheet1!V63,", ","")))/2=0,VLOOKUP(Sheet1!V63,Sheet1!$A$1:$B$40,2,FALSE),""),"")</f>
        <v/>
      </c>
      <c r="G17" s="6" t="str">
        <f>IFERROR(IF((LEN(Sheet1!V63)-LEN(SUBSTITUTE(Sheet1!V63,", ","")))/2=1,VLOOKUP(LEFT(Sheet1!V63,FIND(", ",Sheet1!V63)-1),Sheet1!$A$1:$B$40,2,FALSE)&amp;","&amp;VLOOKUP(RIGHT(Sheet1!V63,LEN(Sheet1!V63)-FIND(", ",Sheet1!V63)-1),Sheet1!$A$1:$B$40,2,FALSE),""),"")</f>
        <v/>
      </c>
      <c r="H17" s="6" t="str">
        <f>IF((LEN(Sheet1!V63)-LEN(SUBSTITUTE(Sheet1!V63,", ","")))/2=2,VLOOKUP(LEFT(Sheet1!V63,FIND(", ",Sheet1!V63)-1),Sheet1!$A$1:$B$40,2,FALSE)&amp;","&amp;VLOOKUP(MID(Sheet1!V63,FIND("#",SUBSTITUTE(Sheet1!V63,", ","#",1))+2,FIND("#",SUBSTITUTE(Sheet1!V63,", ","#",2))-(FIND("#",SUBSTITUTE(Sheet1!V63,", ","#",1))+2)),Sheet1!$A$1:$B$40,2,FALSE)&amp;","&amp;VLOOKUP(RIGHT(Sheet1!V63,LEN(Sheet1!V63)-FIND("#",SUBSTITUTE(Sheet1!V63,", ","#",2))-1),Sheet1!$A$1:$B$40,2,FALSE),"")</f>
        <v/>
      </c>
      <c r="I17" s="6" t="str">
        <f>IF((LEN(Sheet1!V63)-LEN(SUBSTITUTE(Sheet1!V63,", ","")))/2=3,VLOOKUP(LEFT(Sheet1!V63,FIND(", ",Sheet1!V63)-1),Sheet1!$A$1:$B$40,2,FALSE)&amp;","&amp;VLOOKUP(MID(Sheet1!V63,FIND("#",SUBSTITUTE(Sheet1!V63,", ","#",1))+2,FIND("#",SUBSTITUTE(Sheet1!V63,", ","#",2))-(FIND("#",SUBSTITUTE(Sheet1!V63,", ","#",1))+2)),Sheet1!$A$1:$B$40,2,FALSE)&amp;","&amp;VLOOKUP(MID(Sheet1!V63,FIND("#",SUBSTITUTE(Sheet1!V63,", ","#",2))+2,FIND("#",SUBSTITUTE(Sheet1!V63,", ","#",3))-(FIND("#",SUBSTITUTE(Sheet1!V63,", ","#",2))+2)),Sheet1!$A$1:$B$40,2,FALSE)&amp;","&amp;VLOOKUP(RIGHT(Sheet1!V63,LEN(Sheet1!V63)-FIND("#",SUBSTITUTE(Sheet1!V63,", ","#",3))-1),Sheet1!$A$1:$B$40,2,FALSE),"")</f>
        <v/>
      </c>
      <c r="J17" s="6" t="str">
        <f>IF((LEN(Sheet1!V63)-LEN(SUBSTITUTE(Sheet1!V63,", ","")))/2=4,VLOOKUP(LEFT(Sheet1!V63,FIND(", ",Sheet1!V63)-1),Sheet1!$A$1:$B$40,2,FALSE)&amp;","&amp;VLOOKUP(MID(Sheet1!V63,FIND("#",SUBSTITUTE(Sheet1!V63,", ","#",1))+2,FIND("#",SUBSTITUTE(Sheet1!V63,", ","#",2))-(FIND("#",SUBSTITUTE(Sheet1!V63,", ","#",1))+2)),Sheet1!$A$1:$B$40,2,FALSE)&amp;","&amp;VLOOKUP(MID(Sheet1!V63,FIND("#",SUBSTITUTE(Sheet1!V63,", ","#",2))+2,FIND("#",SUBSTITUTE(Sheet1!V63,", ","#",3))-(FIND("#",SUBSTITUTE(Sheet1!V63,", ","#",2))+2)),Sheet1!$A$1:$B$40,2,FALSE)&amp;","&amp;VLOOKUP(MID(Sheet1!V63,FIND("#",SUBSTITUTE(Sheet1!V63,", ","#",3))+2,FIND("#",SUBSTITUTE(Sheet1!V63,", ","#",4))-(FIND("#",SUBSTITUTE(Sheet1!V63,", ","#",3))+2)),Sheet1!$A$1:$B$40,2,FALSE)&amp;","&amp;VLOOKUP(RIGHT(Sheet1!V63,LEN(Sheet1!V63)-FIND("#",SUBSTITUTE(Sheet1!V63,", ","#",4))-1),Sheet1!$A$1:$B$40,2,FALSE),"")</f>
        <v/>
      </c>
      <c r="K17" s="6" t="str">
        <f t="shared" si="1"/>
        <v/>
      </c>
      <c r="L17" s="6" t="str">
        <f>IFERROR(IF((LEN(Sheet1!AA63)-LEN(SUBSTITUTE(Sheet1!AA63,", ","")))/2=0,VLOOKUP(Sheet1!AA63,Sheet1!$A$1:$B$40,2,FALSE),""),"")</f>
        <v/>
      </c>
      <c r="M17" s="6" t="str">
        <f>IFERROR(IF((LEN(Sheet1!AA63)-LEN(SUBSTITUTE(Sheet1!AA63,", ","")))/2=1,VLOOKUP(LEFT(Sheet1!AA63,FIND(", ",Sheet1!AA63)-1),Sheet1!$A$1:$B$40,2,FALSE)&amp;","&amp;VLOOKUP(RIGHT(Sheet1!AA63,LEN(Sheet1!AA63)-FIND(", ",Sheet1!AA63)-1),Sheet1!$A$1:$B$40,2,FALSE),""),"")</f>
        <v/>
      </c>
      <c r="N17" s="6" t="str">
        <f t="shared" si="2"/>
        <v/>
      </c>
    </row>
    <row r="18" spans="1:14">
      <c r="A18" s="5" t="str">
        <f>IFERROR(IF((LEN(Sheet1!N64)-LEN(SUBSTITUTE(Sheet1!N64,", ","")))/2=0,VLOOKUP(Sheet1!N64,Sheet1!$A$1:$B$40,2,FALSE),""),"")</f>
        <v/>
      </c>
      <c r="B18" s="6" t="str">
        <f>IFERROR(IF((LEN(Sheet1!N64)-LEN(SUBSTITUTE(Sheet1!N64,", ","")))/2=1,VLOOKUP(LEFT(Sheet1!N64,FIND(", ",Sheet1!N64)-1),Sheet1!$A$1:$B$40,2,FALSE)&amp;","&amp;VLOOKUP(RIGHT(Sheet1!N64,LEN(Sheet1!N64)-FIND(", ",Sheet1!N64)-1),Sheet1!$A$1:$B$40,2,FALSE),""),"")</f>
        <v/>
      </c>
      <c r="C18" s="6" t="str">
        <f>IF((LEN(Sheet1!N64)-LEN(SUBSTITUTE(Sheet1!N64,", ","")))/2=2,VLOOKUP(LEFT(Sheet1!N64,FIND(", ",Sheet1!N64)-1),Sheet1!$A$1:$B$40,2,FALSE)&amp;","&amp;VLOOKUP(MID(Sheet1!N64,FIND("#",SUBSTITUTE(Sheet1!N64,", ","#",1))+2,FIND("#",SUBSTITUTE(Sheet1!N64,", ","#",2))-(FIND("#",SUBSTITUTE(Sheet1!N64,", ","#",1))+2)),Sheet1!$A$1:$B$40,2,FALSE)&amp;","&amp;VLOOKUP(RIGHT(Sheet1!N64,LEN(Sheet1!N64)-FIND("#",SUBSTITUTE(Sheet1!N64,", ","#",2))-1),Sheet1!$A$1:$B$40,2,FALSE),"")</f>
        <v/>
      </c>
      <c r="D18" s="6" t="str">
        <f>IF((LEN(Sheet1!N64)-LEN(SUBSTITUTE(Sheet1!N64,", ","")))/2=3,VLOOKUP(LEFT(Sheet1!N64,FIND(", ",Sheet1!N64)-1),Sheet1!$A$1:$B$40,2,FALSE)&amp;","&amp;VLOOKUP(MID(Sheet1!N64,FIND("#",SUBSTITUTE(Sheet1!N64,", ","#",1))+2,FIND("#",SUBSTITUTE(Sheet1!N64,", ","#",2))-(FIND("#",SUBSTITUTE(Sheet1!N64,", ","#",1))+2)),Sheet1!$A$1:$B$40,2,FALSE)&amp;","&amp;VLOOKUP(MID(Sheet1!N64,FIND("#",SUBSTITUTE(Sheet1!N64,", ","#",2))+2,FIND("#",SUBSTITUTE(Sheet1!N64,", ","#",3))-(FIND("#",SUBSTITUTE(Sheet1!N64,", ","#",2))+2)),Sheet1!$A$1:$B$40,2,FALSE)&amp;","&amp;VLOOKUP(RIGHT(Sheet1!N64,LEN(Sheet1!N64)-FIND("#",SUBSTITUTE(Sheet1!N64,", ","#",3))-1),Sheet1!$A$1:$B$40,2,FALSE),"")</f>
        <v/>
      </c>
      <c r="E18" s="6" t="str">
        <f t="shared" si="0"/>
        <v/>
      </c>
      <c r="F18" s="6" t="str">
        <f>IFERROR(IF((LEN(Sheet1!V64)-LEN(SUBSTITUTE(Sheet1!V64,", ","")))/2=0,VLOOKUP(Sheet1!V64,Sheet1!$A$1:$B$40,2,FALSE),""),"")</f>
        <v/>
      </c>
      <c r="G18" s="6" t="str">
        <f>IFERROR(IF((LEN(Sheet1!V64)-LEN(SUBSTITUTE(Sheet1!V64,", ","")))/2=1,VLOOKUP(LEFT(Sheet1!V64,FIND(", ",Sheet1!V64)-1),Sheet1!$A$1:$B$40,2,FALSE)&amp;","&amp;VLOOKUP(RIGHT(Sheet1!V64,LEN(Sheet1!V64)-FIND(", ",Sheet1!V64)-1),Sheet1!$A$1:$B$40,2,FALSE),""),"")</f>
        <v/>
      </c>
      <c r="H18" s="6" t="str">
        <f>IF((LEN(Sheet1!V64)-LEN(SUBSTITUTE(Sheet1!V64,", ","")))/2=2,VLOOKUP(LEFT(Sheet1!V64,FIND(", ",Sheet1!V64)-1),Sheet1!$A$1:$B$40,2,FALSE)&amp;","&amp;VLOOKUP(MID(Sheet1!V64,FIND("#",SUBSTITUTE(Sheet1!V64,", ","#",1))+2,FIND("#",SUBSTITUTE(Sheet1!V64,", ","#",2))-(FIND("#",SUBSTITUTE(Sheet1!V64,", ","#",1))+2)),Sheet1!$A$1:$B$40,2,FALSE)&amp;","&amp;VLOOKUP(RIGHT(Sheet1!V64,LEN(Sheet1!V64)-FIND("#",SUBSTITUTE(Sheet1!V64,", ","#",2))-1),Sheet1!$A$1:$B$40,2,FALSE),"")</f>
        <v/>
      </c>
      <c r="I18" s="6" t="str">
        <f>IF((LEN(Sheet1!V64)-LEN(SUBSTITUTE(Sheet1!V64,", ","")))/2=3,VLOOKUP(LEFT(Sheet1!V64,FIND(", ",Sheet1!V64)-1),Sheet1!$A$1:$B$40,2,FALSE)&amp;","&amp;VLOOKUP(MID(Sheet1!V64,FIND("#",SUBSTITUTE(Sheet1!V64,", ","#",1))+2,FIND("#",SUBSTITUTE(Sheet1!V64,", ","#",2))-(FIND("#",SUBSTITUTE(Sheet1!V64,", ","#",1))+2)),Sheet1!$A$1:$B$40,2,FALSE)&amp;","&amp;VLOOKUP(MID(Sheet1!V64,FIND("#",SUBSTITUTE(Sheet1!V64,", ","#",2))+2,FIND("#",SUBSTITUTE(Sheet1!V64,", ","#",3))-(FIND("#",SUBSTITUTE(Sheet1!V64,", ","#",2))+2)),Sheet1!$A$1:$B$40,2,FALSE)&amp;","&amp;VLOOKUP(RIGHT(Sheet1!V64,LEN(Sheet1!V64)-FIND("#",SUBSTITUTE(Sheet1!V64,", ","#",3))-1),Sheet1!$A$1:$B$40,2,FALSE),"")</f>
        <v/>
      </c>
      <c r="J18" s="6" t="str">
        <f>IF((LEN(Sheet1!V64)-LEN(SUBSTITUTE(Sheet1!V64,", ","")))/2=4,VLOOKUP(LEFT(Sheet1!V64,FIND(", ",Sheet1!V64)-1),Sheet1!$A$1:$B$40,2,FALSE)&amp;","&amp;VLOOKUP(MID(Sheet1!V64,FIND("#",SUBSTITUTE(Sheet1!V64,", ","#",1))+2,FIND("#",SUBSTITUTE(Sheet1!V64,", ","#",2))-(FIND("#",SUBSTITUTE(Sheet1!V64,", ","#",1))+2)),Sheet1!$A$1:$B$40,2,FALSE)&amp;","&amp;VLOOKUP(MID(Sheet1!V64,FIND("#",SUBSTITUTE(Sheet1!V64,", ","#",2))+2,FIND("#",SUBSTITUTE(Sheet1!V64,", ","#",3))-(FIND("#",SUBSTITUTE(Sheet1!V64,", ","#",2))+2)),Sheet1!$A$1:$B$40,2,FALSE)&amp;","&amp;VLOOKUP(MID(Sheet1!V64,FIND("#",SUBSTITUTE(Sheet1!V64,", ","#",3))+2,FIND("#",SUBSTITUTE(Sheet1!V64,", ","#",4))-(FIND("#",SUBSTITUTE(Sheet1!V64,", ","#",3))+2)),Sheet1!$A$1:$B$40,2,FALSE)&amp;","&amp;VLOOKUP(RIGHT(Sheet1!V64,LEN(Sheet1!V64)-FIND("#",SUBSTITUTE(Sheet1!V64,", ","#",4))-1),Sheet1!$A$1:$B$40,2,FALSE),"")</f>
        <v/>
      </c>
      <c r="K18" s="6" t="str">
        <f t="shared" si="1"/>
        <v/>
      </c>
      <c r="L18" s="6" t="str">
        <f>IFERROR(IF((LEN(Sheet1!AA64)-LEN(SUBSTITUTE(Sheet1!AA64,", ","")))/2=0,VLOOKUP(Sheet1!AA64,Sheet1!$A$1:$B$40,2,FALSE),""),"")</f>
        <v/>
      </c>
      <c r="M18" s="6" t="str">
        <f>IFERROR(IF((LEN(Sheet1!AA64)-LEN(SUBSTITUTE(Sheet1!AA64,", ","")))/2=1,VLOOKUP(LEFT(Sheet1!AA64,FIND(", ",Sheet1!AA64)-1),Sheet1!$A$1:$B$40,2,FALSE)&amp;","&amp;VLOOKUP(RIGHT(Sheet1!AA64,LEN(Sheet1!AA64)-FIND(", ",Sheet1!AA64)-1),Sheet1!$A$1:$B$40,2,FALSE),""),"")</f>
        <v/>
      </c>
      <c r="N18" s="6" t="str">
        <f t="shared" si="2"/>
        <v/>
      </c>
    </row>
    <row r="19" spans="1:14">
      <c r="A19" s="5" t="str">
        <f>IFERROR(IF((LEN(Sheet1!N65)-LEN(SUBSTITUTE(Sheet1!N65,", ","")))/2=0,VLOOKUP(Sheet1!N65,Sheet1!$A$1:$B$40,2,FALSE),""),"")</f>
        <v/>
      </c>
      <c r="B19" s="6" t="str">
        <f>IFERROR(IF((LEN(Sheet1!N65)-LEN(SUBSTITUTE(Sheet1!N65,", ","")))/2=1,VLOOKUP(LEFT(Sheet1!N65,FIND(", ",Sheet1!N65)-1),Sheet1!$A$1:$B$40,2,FALSE)&amp;","&amp;VLOOKUP(RIGHT(Sheet1!N65,LEN(Sheet1!N65)-FIND(", ",Sheet1!N65)-1),Sheet1!$A$1:$B$40,2,FALSE),""),"")</f>
        <v/>
      </c>
      <c r="C19" s="6" t="str">
        <f>IF((LEN(Sheet1!N65)-LEN(SUBSTITUTE(Sheet1!N65,", ","")))/2=2,VLOOKUP(LEFT(Sheet1!N65,FIND(", ",Sheet1!N65)-1),Sheet1!$A$1:$B$40,2,FALSE)&amp;","&amp;VLOOKUP(MID(Sheet1!N65,FIND("#",SUBSTITUTE(Sheet1!N65,", ","#",1))+2,FIND("#",SUBSTITUTE(Sheet1!N65,", ","#",2))-(FIND("#",SUBSTITUTE(Sheet1!N65,", ","#",1))+2)),Sheet1!$A$1:$B$40,2,FALSE)&amp;","&amp;VLOOKUP(RIGHT(Sheet1!N65,LEN(Sheet1!N65)-FIND("#",SUBSTITUTE(Sheet1!N65,", ","#",2))-1),Sheet1!$A$1:$B$40,2,FALSE),"")</f>
        <v/>
      </c>
      <c r="D19" s="6" t="str">
        <f>IF((LEN(Sheet1!N65)-LEN(SUBSTITUTE(Sheet1!N65,", ","")))/2=3,VLOOKUP(LEFT(Sheet1!N65,FIND(", ",Sheet1!N65)-1),Sheet1!$A$1:$B$40,2,FALSE)&amp;","&amp;VLOOKUP(MID(Sheet1!N65,FIND("#",SUBSTITUTE(Sheet1!N65,", ","#",1))+2,FIND("#",SUBSTITUTE(Sheet1!N65,", ","#",2))-(FIND("#",SUBSTITUTE(Sheet1!N65,", ","#",1))+2)),Sheet1!$A$1:$B$40,2,FALSE)&amp;","&amp;VLOOKUP(MID(Sheet1!N65,FIND("#",SUBSTITUTE(Sheet1!N65,", ","#",2))+2,FIND("#",SUBSTITUTE(Sheet1!N65,", ","#",3))-(FIND("#",SUBSTITUTE(Sheet1!N65,", ","#",2))+2)),Sheet1!$A$1:$B$40,2,FALSE)&amp;","&amp;VLOOKUP(RIGHT(Sheet1!N65,LEN(Sheet1!N65)-FIND("#",SUBSTITUTE(Sheet1!N65,", ","#",3))-1),Sheet1!$A$1:$B$40,2,FALSE),"")</f>
        <v/>
      </c>
      <c r="E19" s="6" t="str">
        <f t="shared" si="0"/>
        <v/>
      </c>
      <c r="F19" s="6" t="str">
        <f>IFERROR(IF((LEN(Sheet1!V65)-LEN(SUBSTITUTE(Sheet1!V65,", ","")))/2=0,VLOOKUP(Sheet1!V65,Sheet1!$A$1:$B$40,2,FALSE),""),"")</f>
        <v/>
      </c>
      <c r="G19" s="6" t="str">
        <f>IFERROR(IF((LEN(Sheet1!V65)-LEN(SUBSTITUTE(Sheet1!V65,", ","")))/2=1,VLOOKUP(LEFT(Sheet1!V65,FIND(", ",Sheet1!V65)-1),Sheet1!$A$1:$B$40,2,FALSE)&amp;","&amp;VLOOKUP(RIGHT(Sheet1!V65,LEN(Sheet1!V65)-FIND(", ",Sheet1!V65)-1),Sheet1!$A$1:$B$40,2,FALSE),""),"")</f>
        <v/>
      </c>
      <c r="H19" s="6" t="str">
        <f>IF((LEN(Sheet1!V65)-LEN(SUBSTITUTE(Sheet1!V65,", ","")))/2=2,VLOOKUP(LEFT(Sheet1!V65,FIND(", ",Sheet1!V65)-1),Sheet1!$A$1:$B$40,2,FALSE)&amp;","&amp;VLOOKUP(MID(Sheet1!V65,FIND("#",SUBSTITUTE(Sheet1!V65,", ","#",1))+2,FIND("#",SUBSTITUTE(Sheet1!V65,", ","#",2))-(FIND("#",SUBSTITUTE(Sheet1!V65,", ","#",1))+2)),Sheet1!$A$1:$B$40,2,FALSE)&amp;","&amp;VLOOKUP(RIGHT(Sheet1!V65,LEN(Sheet1!V65)-FIND("#",SUBSTITUTE(Sheet1!V65,", ","#",2))-1),Sheet1!$A$1:$B$40,2,FALSE),"")</f>
        <v/>
      </c>
      <c r="I19" s="6" t="str">
        <f>IF((LEN(Sheet1!V65)-LEN(SUBSTITUTE(Sheet1!V65,", ","")))/2=3,VLOOKUP(LEFT(Sheet1!V65,FIND(", ",Sheet1!V65)-1),Sheet1!$A$1:$B$40,2,FALSE)&amp;","&amp;VLOOKUP(MID(Sheet1!V65,FIND("#",SUBSTITUTE(Sheet1!V65,", ","#",1))+2,FIND("#",SUBSTITUTE(Sheet1!V65,", ","#",2))-(FIND("#",SUBSTITUTE(Sheet1!V65,", ","#",1))+2)),Sheet1!$A$1:$B$40,2,FALSE)&amp;","&amp;VLOOKUP(MID(Sheet1!V65,FIND("#",SUBSTITUTE(Sheet1!V65,", ","#",2))+2,FIND("#",SUBSTITUTE(Sheet1!V65,", ","#",3))-(FIND("#",SUBSTITUTE(Sheet1!V65,", ","#",2))+2)),Sheet1!$A$1:$B$40,2,FALSE)&amp;","&amp;VLOOKUP(RIGHT(Sheet1!V65,LEN(Sheet1!V65)-FIND("#",SUBSTITUTE(Sheet1!V65,", ","#",3))-1),Sheet1!$A$1:$B$40,2,FALSE),"")</f>
        <v/>
      </c>
      <c r="J19" s="6" t="str">
        <f>IF((LEN(Sheet1!V65)-LEN(SUBSTITUTE(Sheet1!V65,", ","")))/2=4,VLOOKUP(LEFT(Sheet1!V65,FIND(", ",Sheet1!V65)-1),Sheet1!$A$1:$B$40,2,FALSE)&amp;","&amp;VLOOKUP(MID(Sheet1!V65,FIND("#",SUBSTITUTE(Sheet1!V65,", ","#",1))+2,FIND("#",SUBSTITUTE(Sheet1!V65,", ","#",2))-(FIND("#",SUBSTITUTE(Sheet1!V65,", ","#",1))+2)),Sheet1!$A$1:$B$40,2,FALSE)&amp;","&amp;VLOOKUP(MID(Sheet1!V65,FIND("#",SUBSTITUTE(Sheet1!V65,", ","#",2))+2,FIND("#",SUBSTITUTE(Sheet1!V65,", ","#",3))-(FIND("#",SUBSTITUTE(Sheet1!V65,", ","#",2))+2)),Sheet1!$A$1:$B$40,2,FALSE)&amp;","&amp;VLOOKUP(MID(Sheet1!V65,FIND("#",SUBSTITUTE(Sheet1!V65,", ","#",3))+2,FIND("#",SUBSTITUTE(Sheet1!V65,", ","#",4))-(FIND("#",SUBSTITUTE(Sheet1!V65,", ","#",3))+2)),Sheet1!$A$1:$B$40,2,FALSE)&amp;","&amp;VLOOKUP(RIGHT(Sheet1!V65,LEN(Sheet1!V65)-FIND("#",SUBSTITUTE(Sheet1!V65,", ","#",4))-1),Sheet1!$A$1:$B$40,2,FALSE),"")</f>
        <v/>
      </c>
      <c r="K19" s="6" t="str">
        <f t="shared" si="1"/>
        <v/>
      </c>
      <c r="L19" s="6" t="str">
        <f>IFERROR(IF((LEN(Sheet1!AA65)-LEN(SUBSTITUTE(Sheet1!AA65,", ","")))/2=0,VLOOKUP(Sheet1!AA65,Sheet1!$A$1:$B$40,2,FALSE),""),"")</f>
        <v/>
      </c>
      <c r="M19" s="6" t="str">
        <f>IFERROR(IF((LEN(Sheet1!AA65)-LEN(SUBSTITUTE(Sheet1!AA65,", ","")))/2=1,VLOOKUP(LEFT(Sheet1!AA65,FIND(", ",Sheet1!AA65)-1),Sheet1!$A$1:$B$40,2,FALSE)&amp;","&amp;VLOOKUP(RIGHT(Sheet1!AA65,LEN(Sheet1!AA65)-FIND(", ",Sheet1!AA65)-1),Sheet1!$A$1:$B$40,2,FALSE),""),"")</f>
        <v/>
      </c>
      <c r="N19" s="6" t="str">
        <f t="shared" si="2"/>
        <v/>
      </c>
    </row>
    <row r="20" spans="1:14">
      <c r="A20" s="5" t="str">
        <f>IFERROR(IF((LEN(Sheet1!N66)-LEN(SUBSTITUTE(Sheet1!N66,", ","")))/2=0,VLOOKUP(Sheet1!N66,Sheet1!$A$1:$B$40,2,FALSE),""),"")</f>
        <v/>
      </c>
      <c r="B20" s="6" t="str">
        <f>IFERROR(IF((LEN(Sheet1!N66)-LEN(SUBSTITUTE(Sheet1!N66,", ","")))/2=1,VLOOKUP(LEFT(Sheet1!N66,FIND(", ",Sheet1!N66)-1),Sheet1!$A$1:$B$40,2,FALSE)&amp;","&amp;VLOOKUP(RIGHT(Sheet1!N66,LEN(Sheet1!N66)-FIND(", ",Sheet1!N66)-1),Sheet1!$A$1:$B$40,2,FALSE),""),"")</f>
        <v/>
      </c>
      <c r="C20" s="6" t="str">
        <f>IF((LEN(Sheet1!N66)-LEN(SUBSTITUTE(Sheet1!N66,", ","")))/2=2,VLOOKUP(LEFT(Sheet1!N66,FIND(", ",Sheet1!N66)-1),Sheet1!$A$1:$B$40,2,FALSE)&amp;","&amp;VLOOKUP(MID(Sheet1!N66,FIND("#",SUBSTITUTE(Sheet1!N66,", ","#",1))+2,FIND("#",SUBSTITUTE(Sheet1!N66,", ","#",2))-(FIND("#",SUBSTITUTE(Sheet1!N66,", ","#",1))+2)),Sheet1!$A$1:$B$40,2,FALSE)&amp;","&amp;VLOOKUP(RIGHT(Sheet1!N66,LEN(Sheet1!N66)-FIND("#",SUBSTITUTE(Sheet1!N66,", ","#",2))-1),Sheet1!$A$1:$B$40,2,FALSE),"")</f>
        <v/>
      </c>
      <c r="D20" s="6" t="str">
        <f>IF((LEN(Sheet1!N66)-LEN(SUBSTITUTE(Sheet1!N66,", ","")))/2=3,VLOOKUP(LEFT(Sheet1!N66,FIND(", ",Sheet1!N66)-1),Sheet1!$A$1:$B$40,2,FALSE)&amp;","&amp;VLOOKUP(MID(Sheet1!N66,FIND("#",SUBSTITUTE(Sheet1!N66,", ","#",1))+2,FIND("#",SUBSTITUTE(Sheet1!N66,", ","#",2))-(FIND("#",SUBSTITUTE(Sheet1!N66,", ","#",1))+2)),Sheet1!$A$1:$B$40,2,FALSE)&amp;","&amp;VLOOKUP(MID(Sheet1!N66,FIND("#",SUBSTITUTE(Sheet1!N66,", ","#",2))+2,FIND("#",SUBSTITUTE(Sheet1!N66,", ","#",3))-(FIND("#",SUBSTITUTE(Sheet1!N66,", ","#",2))+2)),Sheet1!$A$1:$B$40,2,FALSE)&amp;","&amp;VLOOKUP(RIGHT(Sheet1!N66,LEN(Sheet1!N66)-FIND("#",SUBSTITUTE(Sheet1!N66,", ","#",3))-1),Sheet1!$A$1:$B$40,2,FALSE),"")</f>
        <v/>
      </c>
      <c r="E20" s="6" t="str">
        <f t="shared" si="0"/>
        <v/>
      </c>
      <c r="F20" s="6" t="str">
        <f>IFERROR(IF((LEN(Sheet1!V66)-LEN(SUBSTITUTE(Sheet1!V66,", ","")))/2=0,VLOOKUP(Sheet1!V66,Sheet1!$A$1:$B$40,2,FALSE),""),"")</f>
        <v/>
      </c>
      <c r="G20" s="6" t="str">
        <f>IFERROR(IF((LEN(Sheet1!V66)-LEN(SUBSTITUTE(Sheet1!V66,", ","")))/2=1,VLOOKUP(LEFT(Sheet1!V66,FIND(", ",Sheet1!V66)-1),Sheet1!$A$1:$B$40,2,FALSE)&amp;","&amp;VLOOKUP(RIGHT(Sheet1!V66,LEN(Sheet1!V66)-FIND(", ",Sheet1!V66)-1),Sheet1!$A$1:$B$40,2,FALSE),""),"")</f>
        <v/>
      </c>
      <c r="H20" s="6" t="str">
        <f>IF((LEN(Sheet1!V66)-LEN(SUBSTITUTE(Sheet1!V66,", ","")))/2=2,VLOOKUP(LEFT(Sheet1!V66,FIND(", ",Sheet1!V66)-1),Sheet1!$A$1:$B$40,2,FALSE)&amp;","&amp;VLOOKUP(MID(Sheet1!V66,FIND("#",SUBSTITUTE(Sheet1!V66,", ","#",1))+2,FIND("#",SUBSTITUTE(Sheet1!V66,", ","#",2))-(FIND("#",SUBSTITUTE(Sheet1!V66,", ","#",1))+2)),Sheet1!$A$1:$B$40,2,FALSE)&amp;","&amp;VLOOKUP(RIGHT(Sheet1!V66,LEN(Sheet1!V66)-FIND("#",SUBSTITUTE(Sheet1!V66,", ","#",2))-1),Sheet1!$A$1:$B$40,2,FALSE),"")</f>
        <v/>
      </c>
      <c r="I20" s="6" t="str">
        <f>IF((LEN(Sheet1!V66)-LEN(SUBSTITUTE(Sheet1!V66,", ","")))/2=3,VLOOKUP(LEFT(Sheet1!V66,FIND(", ",Sheet1!V66)-1),Sheet1!$A$1:$B$40,2,FALSE)&amp;","&amp;VLOOKUP(MID(Sheet1!V66,FIND("#",SUBSTITUTE(Sheet1!V66,", ","#",1))+2,FIND("#",SUBSTITUTE(Sheet1!V66,", ","#",2))-(FIND("#",SUBSTITUTE(Sheet1!V66,", ","#",1))+2)),Sheet1!$A$1:$B$40,2,FALSE)&amp;","&amp;VLOOKUP(MID(Sheet1!V66,FIND("#",SUBSTITUTE(Sheet1!V66,", ","#",2))+2,FIND("#",SUBSTITUTE(Sheet1!V66,", ","#",3))-(FIND("#",SUBSTITUTE(Sheet1!V66,", ","#",2))+2)),Sheet1!$A$1:$B$40,2,FALSE)&amp;","&amp;VLOOKUP(RIGHT(Sheet1!V66,LEN(Sheet1!V66)-FIND("#",SUBSTITUTE(Sheet1!V66,", ","#",3))-1),Sheet1!$A$1:$B$40,2,FALSE),"")</f>
        <v/>
      </c>
      <c r="J20" s="6" t="str">
        <f>IF((LEN(Sheet1!V66)-LEN(SUBSTITUTE(Sheet1!V66,", ","")))/2=4,VLOOKUP(LEFT(Sheet1!V66,FIND(", ",Sheet1!V66)-1),Sheet1!$A$1:$B$40,2,FALSE)&amp;","&amp;VLOOKUP(MID(Sheet1!V66,FIND("#",SUBSTITUTE(Sheet1!V66,", ","#",1))+2,FIND("#",SUBSTITUTE(Sheet1!V66,", ","#",2))-(FIND("#",SUBSTITUTE(Sheet1!V66,", ","#",1))+2)),Sheet1!$A$1:$B$40,2,FALSE)&amp;","&amp;VLOOKUP(MID(Sheet1!V66,FIND("#",SUBSTITUTE(Sheet1!V66,", ","#",2))+2,FIND("#",SUBSTITUTE(Sheet1!V66,", ","#",3))-(FIND("#",SUBSTITUTE(Sheet1!V66,", ","#",2))+2)),Sheet1!$A$1:$B$40,2,FALSE)&amp;","&amp;VLOOKUP(MID(Sheet1!V66,FIND("#",SUBSTITUTE(Sheet1!V66,", ","#",3))+2,FIND("#",SUBSTITUTE(Sheet1!V66,", ","#",4))-(FIND("#",SUBSTITUTE(Sheet1!V66,", ","#",3))+2)),Sheet1!$A$1:$B$40,2,FALSE)&amp;","&amp;VLOOKUP(RIGHT(Sheet1!V66,LEN(Sheet1!V66)-FIND("#",SUBSTITUTE(Sheet1!V66,", ","#",4))-1),Sheet1!$A$1:$B$40,2,FALSE),"")</f>
        <v/>
      </c>
      <c r="K20" s="6" t="str">
        <f t="shared" si="1"/>
        <v/>
      </c>
      <c r="L20" s="6" t="str">
        <f>IFERROR(IF((LEN(Sheet1!AA66)-LEN(SUBSTITUTE(Sheet1!AA66,", ","")))/2=0,VLOOKUP(Sheet1!AA66,Sheet1!$A$1:$B$40,2,FALSE),""),"")</f>
        <v/>
      </c>
      <c r="M20" s="6" t="str">
        <f>IFERROR(IF((LEN(Sheet1!AA66)-LEN(SUBSTITUTE(Sheet1!AA66,", ","")))/2=1,VLOOKUP(LEFT(Sheet1!AA66,FIND(", ",Sheet1!AA66)-1),Sheet1!$A$1:$B$40,2,FALSE)&amp;","&amp;VLOOKUP(RIGHT(Sheet1!AA66,LEN(Sheet1!AA66)-FIND(", ",Sheet1!AA66)-1),Sheet1!$A$1:$B$40,2,FALSE),""),"")</f>
        <v/>
      </c>
      <c r="N20" s="6" t="str">
        <f t="shared" si="2"/>
        <v/>
      </c>
    </row>
    <row r="21" spans="1:14">
      <c r="A21" s="5" t="str">
        <f>IFERROR(IF((LEN(Sheet1!N67)-LEN(SUBSTITUTE(Sheet1!N67,", ","")))/2=0,VLOOKUP(Sheet1!N67,Sheet1!$A$1:$B$40,2,FALSE),""),"")</f>
        <v/>
      </c>
      <c r="B21" s="6" t="str">
        <f>IFERROR(IF((LEN(Sheet1!N67)-LEN(SUBSTITUTE(Sheet1!N67,", ","")))/2=1,VLOOKUP(LEFT(Sheet1!N67,FIND(", ",Sheet1!N67)-1),Sheet1!$A$1:$B$40,2,FALSE)&amp;","&amp;VLOOKUP(RIGHT(Sheet1!N67,LEN(Sheet1!N67)-FIND(", ",Sheet1!N67)-1),Sheet1!$A$1:$B$40,2,FALSE),""),"")</f>
        <v/>
      </c>
      <c r="C21" s="6" t="str">
        <f>IF((LEN(Sheet1!N67)-LEN(SUBSTITUTE(Sheet1!N67,", ","")))/2=2,VLOOKUP(LEFT(Sheet1!N67,FIND(", ",Sheet1!N67)-1),Sheet1!$A$1:$B$40,2,FALSE)&amp;","&amp;VLOOKUP(MID(Sheet1!N67,FIND("#",SUBSTITUTE(Sheet1!N67,", ","#",1))+2,FIND("#",SUBSTITUTE(Sheet1!N67,", ","#",2))-(FIND("#",SUBSTITUTE(Sheet1!N67,", ","#",1))+2)),Sheet1!$A$1:$B$40,2,FALSE)&amp;","&amp;VLOOKUP(RIGHT(Sheet1!N67,LEN(Sheet1!N67)-FIND("#",SUBSTITUTE(Sheet1!N67,", ","#",2))-1),Sheet1!$A$1:$B$40,2,FALSE),"")</f>
        <v/>
      </c>
      <c r="D21" s="6" t="str">
        <f>IF((LEN(Sheet1!N67)-LEN(SUBSTITUTE(Sheet1!N67,", ","")))/2=3,VLOOKUP(LEFT(Sheet1!N67,FIND(", ",Sheet1!N67)-1),Sheet1!$A$1:$B$40,2,FALSE)&amp;","&amp;VLOOKUP(MID(Sheet1!N67,FIND("#",SUBSTITUTE(Sheet1!N67,", ","#",1))+2,FIND("#",SUBSTITUTE(Sheet1!N67,", ","#",2))-(FIND("#",SUBSTITUTE(Sheet1!N67,", ","#",1))+2)),Sheet1!$A$1:$B$40,2,FALSE)&amp;","&amp;VLOOKUP(MID(Sheet1!N67,FIND("#",SUBSTITUTE(Sheet1!N67,", ","#",2))+2,FIND("#",SUBSTITUTE(Sheet1!N67,", ","#",3))-(FIND("#",SUBSTITUTE(Sheet1!N67,", ","#",2))+2)),Sheet1!$A$1:$B$40,2,FALSE)&amp;","&amp;VLOOKUP(RIGHT(Sheet1!N67,LEN(Sheet1!N67)-FIND("#",SUBSTITUTE(Sheet1!N67,", ","#",3))-1),Sheet1!$A$1:$B$40,2,FALSE),"")</f>
        <v/>
      </c>
      <c r="E21" s="6" t="str">
        <f t="shared" si="0"/>
        <v/>
      </c>
      <c r="F21" s="6" t="str">
        <f>IFERROR(IF((LEN(Sheet1!V67)-LEN(SUBSTITUTE(Sheet1!V67,", ","")))/2=0,VLOOKUP(Sheet1!V67,Sheet1!$A$1:$B$40,2,FALSE),""),"")</f>
        <v/>
      </c>
      <c r="G21" s="6" t="str">
        <f>IFERROR(IF((LEN(Sheet1!V67)-LEN(SUBSTITUTE(Sheet1!V67,", ","")))/2=1,VLOOKUP(LEFT(Sheet1!V67,FIND(", ",Sheet1!V67)-1),Sheet1!$A$1:$B$40,2,FALSE)&amp;","&amp;VLOOKUP(RIGHT(Sheet1!V67,LEN(Sheet1!V67)-FIND(", ",Sheet1!V67)-1),Sheet1!$A$1:$B$40,2,FALSE),""),"")</f>
        <v/>
      </c>
      <c r="H21" s="6" t="str">
        <f>IF((LEN(Sheet1!V67)-LEN(SUBSTITUTE(Sheet1!V67,", ","")))/2=2,VLOOKUP(LEFT(Sheet1!V67,FIND(", ",Sheet1!V67)-1),Sheet1!$A$1:$B$40,2,FALSE)&amp;","&amp;VLOOKUP(MID(Sheet1!V67,FIND("#",SUBSTITUTE(Sheet1!V67,", ","#",1))+2,FIND("#",SUBSTITUTE(Sheet1!V67,", ","#",2))-(FIND("#",SUBSTITUTE(Sheet1!V67,", ","#",1))+2)),Sheet1!$A$1:$B$40,2,FALSE)&amp;","&amp;VLOOKUP(RIGHT(Sheet1!V67,LEN(Sheet1!V67)-FIND("#",SUBSTITUTE(Sheet1!V67,", ","#",2))-1),Sheet1!$A$1:$B$40,2,FALSE),"")</f>
        <v/>
      </c>
      <c r="I21" s="6" t="str">
        <f>IF((LEN(Sheet1!V67)-LEN(SUBSTITUTE(Sheet1!V67,", ","")))/2=3,VLOOKUP(LEFT(Sheet1!V67,FIND(", ",Sheet1!V67)-1),Sheet1!$A$1:$B$40,2,FALSE)&amp;","&amp;VLOOKUP(MID(Sheet1!V67,FIND("#",SUBSTITUTE(Sheet1!V67,", ","#",1))+2,FIND("#",SUBSTITUTE(Sheet1!V67,", ","#",2))-(FIND("#",SUBSTITUTE(Sheet1!V67,", ","#",1))+2)),Sheet1!$A$1:$B$40,2,FALSE)&amp;","&amp;VLOOKUP(MID(Sheet1!V67,FIND("#",SUBSTITUTE(Sheet1!V67,", ","#",2))+2,FIND("#",SUBSTITUTE(Sheet1!V67,", ","#",3))-(FIND("#",SUBSTITUTE(Sheet1!V67,", ","#",2))+2)),Sheet1!$A$1:$B$40,2,FALSE)&amp;","&amp;VLOOKUP(RIGHT(Sheet1!V67,LEN(Sheet1!V67)-FIND("#",SUBSTITUTE(Sheet1!V67,", ","#",3))-1),Sheet1!$A$1:$B$40,2,FALSE),"")</f>
        <v/>
      </c>
      <c r="J21" s="6" t="str">
        <f>IF((LEN(Sheet1!V67)-LEN(SUBSTITUTE(Sheet1!V67,", ","")))/2=4,VLOOKUP(LEFT(Sheet1!V67,FIND(", ",Sheet1!V67)-1),Sheet1!$A$1:$B$40,2,FALSE)&amp;","&amp;VLOOKUP(MID(Sheet1!V67,FIND("#",SUBSTITUTE(Sheet1!V67,", ","#",1))+2,FIND("#",SUBSTITUTE(Sheet1!V67,", ","#",2))-(FIND("#",SUBSTITUTE(Sheet1!V67,", ","#",1))+2)),Sheet1!$A$1:$B$40,2,FALSE)&amp;","&amp;VLOOKUP(MID(Sheet1!V67,FIND("#",SUBSTITUTE(Sheet1!V67,", ","#",2))+2,FIND("#",SUBSTITUTE(Sheet1!V67,", ","#",3))-(FIND("#",SUBSTITUTE(Sheet1!V67,", ","#",2))+2)),Sheet1!$A$1:$B$40,2,FALSE)&amp;","&amp;VLOOKUP(MID(Sheet1!V67,FIND("#",SUBSTITUTE(Sheet1!V67,", ","#",3))+2,FIND("#",SUBSTITUTE(Sheet1!V67,", ","#",4))-(FIND("#",SUBSTITUTE(Sheet1!V67,", ","#",3))+2)),Sheet1!$A$1:$B$40,2,FALSE)&amp;","&amp;VLOOKUP(RIGHT(Sheet1!V67,LEN(Sheet1!V67)-FIND("#",SUBSTITUTE(Sheet1!V67,", ","#",4))-1),Sheet1!$A$1:$B$40,2,FALSE),"")</f>
        <v/>
      </c>
      <c r="K21" s="6" t="str">
        <f t="shared" si="1"/>
        <v/>
      </c>
      <c r="L21" s="6" t="str">
        <f>IFERROR(IF((LEN(Sheet1!AA67)-LEN(SUBSTITUTE(Sheet1!AA67,", ","")))/2=0,VLOOKUP(Sheet1!AA67,Sheet1!$A$1:$B$40,2,FALSE),""),"")</f>
        <v/>
      </c>
      <c r="M21" s="6" t="str">
        <f>IFERROR(IF((LEN(Sheet1!AA67)-LEN(SUBSTITUTE(Sheet1!AA67,", ","")))/2=1,VLOOKUP(LEFT(Sheet1!AA67,FIND(", ",Sheet1!AA67)-1),Sheet1!$A$1:$B$40,2,FALSE)&amp;","&amp;VLOOKUP(RIGHT(Sheet1!AA67,LEN(Sheet1!AA67)-FIND(", ",Sheet1!AA67)-1),Sheet1!$A$1:$B$40,2,FALSE),""),"")</f>
        <v/>
      </c>
      <c r="N21" s="6" t="str">
        <f t="shared" si="2"/>
        <v/>
      </c>
    </row>
    <row r="22" spans="1:14">
      <c r="A22" s="5" t="str">
        <f>IFERROR(IF((LEN(Sheet1!N68)-LEN(SUBSTITUTE(Sheet1!N68,", ","")))/2=0,VLOOKUP(Sheet1!N68,Sheet1!$A$1:$B$40,2,FALSE),""),"")</f>
        <v/>
      </c>
      <c r="B22" s="6" t="str">
        <f>IFERROR(IF((LEN(Sheet1!N68)-LEN(SUBSTITUTE(Sheet1!N68,", ","")))/2=1,VLOOKUP(LEFT(Sheet1!N68,FIND(", ",Sheet1!N68)-1),Sheet1!$A$1:$B$40,2,FALSE)&amp;","&amp;VLOOKUP(RIGHT(Sheet1!N68,LEN(Sheet1!N68)-FIND(", ",Sheet1!N68)-1),Sheet1!$A$1:$B$40,2,FALSE),""),"")</f>
        <v/>
      </c>
      <c r="C22" s="6" t="str">
        <f>IF((LEN(Sheet1!N68)-LEN(SUBSTITUTE(Sheet1!N68,", ","")))/2=2,VLOOKUP(LEFT(Sheet1!N68,FIND(", ",Sheet1!N68)-1),Sheet1!$A$1:$B$40,2,FALSE)&amp;","&amp;VLOOKUP(MID(Sheet1!N68,FIND("#",SUBSTITUTE(Sheet1!N68,", ","#",1))+2,FIND("#",SUBSTITUTE(Sheet1!N68,", ","#",2))-(FIND("#",SUBSTITUTE(Sheet1!N68,", ","#",1))+2)),Sheet1!$A$1:$B$40,2,FALSE)&amp;","&amp;VLOOKUP(RIGHT(Sheet1!N68,LEN(Sheet1!N68)-FIND("#",SUBSTITUTE(Sheet1!N68,", ","#",2))-1),Sheet1!$A$1:$B$40,2,FALSE),"")</f>
        <v/>
      </c>
      <c r="D22" s="6" t="str">
        <f>IF((LEN(Sheet1!N68)-LEN(SUBSTITUTE(Sheet1!N68,", ","")))/2=3,VLOOKUP(LEFT(Sheet1!N68,FIND(", ",Sheet1!N68)-1),Sheet1!$A$1:$B$40,2,FALSE)&amp;","&amp;VLOOKUP(MID(Sheet1!N68,FIND("#",SUBSTITUTE(Sheet1!N68,", ","#",1))+2,FIND("#",SUBSTITUTE(Sheet1!N68,", ","#",2))-(FIND("#",SUBSTITUTE(Sheet1!N68,", ","#",1))+2)),Sheet1!$A$1:$B$40,2,FALSE)&amp;","&amp;VLOOKUP(MID(Sheet1!N68,FIND("#",SUBSTITUTE(Sheet1!N68,", ","#",2))+2,FIND("#",SUBSTITUTE(Sheet1!N68,", ","#",3))-(FIND("#",SUBSTITUTE(Sheet1!N68,", ","#",2))+2)),Sheet1!$A$1:$B$40,2,FALSE)&amp;","&amp;VLOOKUP(RIGHT(Sheet1!N68,LEN(Sheet1!N68)-FIND("#",SUBSTITUTE(Sheet1!N68,", ","#",3))-1),Sheet1!$A$1:$B$40,2,FALSE),"")</f>
        <v/>
      </c>
      <c r="E22" s="6" t="str">
        <f t="shared" si="0"/>
        <v/>
      </c>
      <c r="F22" s="6" t="str">
        <f>IFERROR(IF((LEN(Sheet1!V68)-LEN(SUBSTITUTE(Sheet1!V68,", ","")))/2=0,VLOOKUP(Sheet1!V68,Sheet1!$A$1:$B$40,2,FALSE),""),"")</f>
        <v/>
      </c>
      <c r="G22" s="6" t="str">
        <f>IFERROR(IF((LEN(Sheet1!V68)-LEN(SUBSTITUTE(Sheet1!V68,", ","")))/2=1,VLOOKUP(LEFT(Sheet1!V68,FIND(", ",Sheet1!V68)-1),Sheet1!$A$1:$B$40,2,FALSE)&amp;","&amp;VLOOKUP(RIGHT(Sheet1!V68,LEN(Sheet1!V68)-FIND(", ",Sheet1!V68)-1),Sheet1!$A$1:$B$40,2,FALSE),""),"")</f>
        <v/>
      </c>
      <c r="H22" s="6" t="str">
        <f>IF((LEN(Sheet1!V68)-LEN(SUBSTITUTE(Sheet1!V68,", ","")))/2=2,VLOOKUP(LEFT(Sheet1!V68,FIND(", ",Sheet1!V68)-1),Sheet1!$A$1:$B$40,2,FALSE)&amp;","&amp;VLOOKUP(MID(Sheet1!V68,FIND("#",SUBSTITUTE(Sheet1!V68,", ","#",1))+2,FIND("#",SUBSTITUTE(Sheet1!V68,", ","#",2))-(FIND("#",SUBSTITUTE(Sheet1!V68,", ","#",1))+2)),Sheet1!$A$1:$B$40,2,FALSE)&amp;","&amp;VLOOKUP(RIGHT(Sheet1!V68,LEN(Sheet1!V68)-FIND("#",SUBSTITUTE(Sheet1!V68,", ","#",2))-1),Sheet1!$A$1:$B$40,2,FALSE),"")</f>
        <v/>
      </c>
      <c r="I22" s="6" t="str">
        <f>IF((LEN(Sheet1!V68)-LEN(SUBSTITUTE(Sheet1!V68,", ","")))/2=3,VLOOKUP(LEFT(Sheet1!V68,FIND(", ",Sheet1!V68)-1),Sheet1!$A$1:$B$40,2,FALSE)&amp;","&amp;VLOOKUP(MID(Sheet1!V68,FIND("#",SUBSTITUTE(Sheet1!V68,", ","#",1))+2,FIND("#",SUBSTITUTE(Sheet1!V68,", ","#",2))-(FIND("#",SUBSTITUTE(Sheet1!V68,", ","#",1))+2)),Sheet1!$A$1:$B$40,2,FALSE)&amp;","&amp;VLOOKUP(MID(Sheet1!V68,FIND("#",SUBSTITUTE(Sheet1!V68,", ","#",2))+2,FIND("#",SUBSTITUTE(Sheet1!V68,", ","#",3))-(FIND("#",SUBSTITUTE(Sheet1!V68,", ","#",2))+2)),Sheet1!$A$1:$B$40,2,FALSE)&amp;","&amp;VLOOKUP(RIGHT(Sheet1!V68,LEN(Sheet1!V68)-FIND("#",SUBSTITUTE(Sheet1!V68,", ","#",3))-1),Sheet1!$A$1:$B$40,2,FALSE),"")</f>
        <v/>
      </c>
      <c r="J22" s="6" t="str">
        <f>IF((LEN(Sheet1!V68)-LEN(SUBSTITUTE(Sheet1!V68,", ","")))/2=4,VLOOKUP(LEFT(Sheet1!V68,FIND(", ",Sheet1!V68)-1),Sheet1!$A$1:$B$40,2,FALSE)&amp;","&amp;VLOOKUP(MID(Sheet1!V68,FIND("#",SUBSTITUTE(Sheet1!V68,", ","#",1))+2,FIND("#",SUBSTITUTE(Sheet1!V68,", ","#",2))-(FIND("#",SUBSTITUTE(Sheet1!V68,", ","#",1))+2)),Sheet1!$A$1:$B$40,2,FALSE)&amp;","&amp;VLOOKUP(MID(Sheet1!V68,FIND("#",SUBSTITUTE(Sheet1!V68,", ","#",2))+2,FIND("#",SUBSTITUTE(Sheet1!V68,", ","#",3))-(FIND("#",SUBSTITUTE(Sheet1!V68,", ","#",2))+2)),Sheet1!$A$1:$B$40,2,FALSE)&amp;","&amp;VLOOKUP(MID(Sheet1!V68,FIND("#",SUBSTITUTE(Sheet1!V68,", ","#",3))+2,FIND("#",SUBSTITUTE(Sheet1!V68,", ","#",4))-(FIND("#",SUBSTITUTE(Sheet1!V68,", ","#",3))+2)),Sheet1!$A$1:$B$40,2,FALSE)&amp;","&amp;VLOOKUP(RIGHT(Sheet1!V68,LEN(Sheet1!V68)-FIND("#",SUBSTITUTE(Sheet1!V68,", ","#",4))-1),Sheet1!$A$1:$B$40,2,FALSE),"")</f>
        <v/>
      </c>
      <c r="K22" s="6" t="str">
        <f t="shared" si="1"/>
        <v/>
      </c>
      <c r="L22" s="6" t="str">
        <f>IFERROR(IF((LEN(Sheet1!AA68)-LEN(SUBSTITUTE(Sheet1!AA68,", ","")))/2=0,VLOOKUP(Sheet1!AA68,Sheet1!$A$1:$B$40,2,FALSE),""),"")</f>
        <v/>
      </c>
      <c r="M22" s="6" t="str">
        <f>IFERROR(IF((LEN(Sheet1!AA68)-LEN(SUBSTITUTE(Sheet1!AA68,", ","")))/2=1,VLOOKUP(LEFT(Sheet1!AA68,FIND(", ",Sheet1!AA68)-1),Sheet1!$A$1:$B$40,2,FALSE)&amp;","&amp;VLOOKUP(RIGHT(Sheet1!AA68,LEN(Sheet1!AA68)-FIND(", ",Sheet1!AA68)-1),Sheet1!$A$1:$B$40,2,FALSE),""),"")</f>
        <v/>
      </c>
      <c r="N22" s="6" t="str">
        <f t="shared" si="2"/>
        <v/>
      </c>
    </row>
    <row r="23" spans="1:14">
      <c r="A23" s="5" t="str">
        <f>IFERROR(IF((LEN(Sheet1!N69)-LEN(SUBSTITUTE(Sheet1!N69,", ","")))/2=0,VLOOKUP(Sheet1!N69,Sheet1!$A$1:$B$40,2,FALSE),""),"")</f>
        <v/>
      </c>
      <c r="B23" s="6" t="str">
        <f>IFERROR(IF((LEN(Sheet1!N69)-LEN(SUBSTITUTE(Sheet1!N69,", ","")))/2=1,VLOOKUP(LEFT(Sheet1!N69,FIND(", ",Sheet1!N69)-1),Sheet1!$A$1:$B$40,2,FALSE)&amp;","&amp;VLOOKUP(RIGHT(Sheet1!N69,LEN(Sheet1!N69)-FIND(", ",Sheet1!N69)-1),Sheet1!$A$1:$B$40,2,FALSE),""),"")</f>
        <v/>
      </c>
      <c r="C23" s="6" t="str">
        <f>IF((LEN(Sheet1!N69)-LEN(SUBSTITUTE(Sheet1!N69,", ","")))/2=2,VLOOKUP(LEFT(Sheet1!N69,FIND(", ",Sheet1!N69)-1),Sheet1!$A$1:$B$40,2,FALSE)&amp;","&amp;VLOOKUP(MID(Sheet1!N69,FIND("#",SUBSTITUTE(Sheet1!N69,", ","#",1))+2,FIND("#",SUBSTITUTE(Sheet1!N69,", ","#",2))-(FIND("#",SUBSTITUTE(Sheet1!N69,", ","#",1))+2)),Sheet1!$A$1:$B$40,2,FALSE)&amp;","&amp;VLOOKUP(RIGHT(Sheet1!N69,LEN(Sheet1!N69)-FIND("#",SUBSTITUTE(Sheet1!N69,", ","#",2))-1),Sheet1!$A$1:$B$40,2,FALSE),"")</f>
        <v/>
      </c>
      <c r="D23" s="6" t="str">
        <f>IF((LEN(Sheet1!N69)-LEN(SUBSTITUTE(Sheet1!N69,", ","")))/2=3,VLOOKUP(LEFT(Sheet1!N69,FIND(", ",Sheet1!N69)-1),Sheet1!$A$1:$B$40,2,FALSE)&amp;","&amp;VLOOKUP(MID(Sheet1!N69,FIND("#",SUBSTITUTE(Sheet1!N69,", ","#",1))+2,FIND("#",SUBSTITUTE(Sheet1!N69,", ","#",2))-(FIND("#",SUBSTITUTE(Sheet1!N69,", ","#",1))+2)),Sheet1!$A$1:$B$40,2,FALSE)&amp;","&amp;VLOOKUP(MID(Sheet1!N69,FIND("#",SUBSTITUTE(Sheet1!N69,", ","#",2))+2,FIND("#",SUBSTITUTE(Sheet1!N69,", ","#",3))-(FIND("#",SUBSTITUTE(Sheet1!N69,", ","#",2))+2)),Sheet1!$A$1:$B$40,2,FALSE)&amp;","&amp;VLOOKUP(RIGHT(Sheet1!N69,LEN(Sheet1!N69)-FIND("#",SUBSTITUTE(Sheet1!N69,", ","#",3))-1),Sheet1!$A$1:$B$40,2,FALSE),"")</f>
        <v/>
      </c>
      <c r="E23" s="6" t="str">
        <f t="shared" si="0"/>
        <v/>
      </c>
      <c r="F23" s="6" t="str">
        <f>IFERROR(IF((LEN(Sheet1!V69)-LEN(SUBSTITUTE(Sheet1!V69,", ","")))/2=0,VLOOKUP(Sheet1!V69,Sheet1!$A$1:$B$40,2,FALSE),""),"")</f>
        <v/>
      </c>
      <c r="G23" s="6" t="str">
        <f>IFERROR(IF((LEN(Sheet1!V69)-LEN(SUBSTITUTE(Sheet1!V69,", ","")))/2=1,VLOOKUP(LEFT(Sheet1!V69,FIND(", ",Sheet1!V69)-1),Sheet1!$A$1:$B$40,2,FALSE)&amp;","&amp;VLOOKUP(RIGHT(Sheet1!V69,LEN(Sheet1!V69)-FIND(", ",Sheet1!V69)-1),Sheet1!$A$1:$B$40,2,FALSE),""),"")</f>
        <v/>
      </c>
      <c r="H23" s="6" t="str">
        <f>IF((LEN(Sheet1!V69)-LEN(SUBSTITUTE(Sheet1!V69,", ","")))/2=2,VLOOKUP(LEFT(Sheet1!V69,FIND(", ",Sheet1!V69)-1),Sheet1!$A$1:$B$40,2,FALSE)&amp;","&amp;VLOOKUP(MID(Sheet1!V69,FIND("#",SUBSTITUTE(Sheet1!V69,", ","#",1))+2,FIND("#",SUBSTITUTE(Sheet1!V69,", ","#",2))-(FIND("#",SUBSTITUTE(Sheet1!V69,", ","#",1))+2)),Sheet1!$A$1:$B$40,2,FALSE)&amp;","&amp;VLOOKUP(RIGHT(Sheet1!V69,LEN(Sheet1!V69)-FIND("#",SUBSTITUTE(Sheet1!V69,", ","#",2))-1),Sheet1!$A$1:$B$40,2,FALSE),"")</f>
        <v/>
      </c>
      <c r="I23" s="6" t="str">
        <f>IF((LEN(Sheet1!V69)-LEN(SUBSTITUTE(Sheet1!V69,", ","")))/2=3,VLOOKUP(LEFT(Sheet1!V69,FIND(", ",Sheet1!V69)-1),Sheet1!$A$1:$B$40,2,FALSE)&amp;","&amp;VLOOKUP(MID(Sheet1!V69,FIND("#",SUBSTITUTE(Sheet1!V69,", ","#",1))+2,FIND("#",SUBSTITUTE(Sheet1!V69,", ","#",2))-(FIND("#",SUBSTITUTE(Sheet1!V69,", ","#",1))+2)),Sheet1!$A$1:$B$40,2,FALSE)&amp;","&amp;VLOOKUP(MID(Sheet1!V69,FIND("#",SUBSTITUTE(Sheet1!V69,", ","#",2))+2,FIND("#",SUBSTITUTE(Sheet1!V69,", ","#",3))-(FIND("#",SUBSTITUTE(Sheet1!V69,", ","#",2))+2)),Sheet1!$A$1:$B$40,2,FALSE)&amp;","&amp;VLOOKUP(RIGHT(Sheet1!V69,LEN(Sheet1!V69)-FIND("#",SUBSTITUTE(Sheet1!V69,", ","#",3))-1),Sheet1!$A$1:$B$40,2,FALSE),"")</f>
        <v/>
      </c>
      <c r="J23" s="6" t="str">
        <f>IF((LEN(Sheet1!V69)-LEN(SUBSTITUTE(Sheet1!V69,", ","")))/2=4,VLOOKUP(LEFT(Sheet1!V69,FIND(", ",Sheet1!V69)-1),Sheet1!$A$1:$B$40,2,FALSE)&amp;","&amp;VLOOKUP(MID(Sheet1!V69,FIND("#",SUBSTITUTE(Sheet1!V69,", ","#",1))+2,FIND("#",SUBSTITUTE(Sheet1!V69,", ","#",2))-(FIND("#",SUBSTITUTE(Sheet1!V69,", ","#",1))+2)),Sheet1!$A$1:$B$40,2,FALSE)&amp;","&amp;VLOOKUP(MID(Sheet1!V69,FIND("#",SUBSTITUTE(Sheet1!V69,", ","#",2))+2,FIND("#",SUBSTITUTE(Sheet1!V69,", ","#",3))-(FIND("#",SUBSTITUTE(Sheet1!V69,", ","#",2))+2)),Sheet1!$A$1:$B$40,2,FALSE)&amp;","&amp;VLOOKUP(MID(Sheet1!V69,FIND("#",SUBSTITUTE(Sheet1!V69,", ","#",3))+2,FIND("#",SUBSTITUTE(Sheet1!V69,", ","#",4))-(FIND("#",SUBSTITUTE(Sheet1!V69,", ","#",3))+2)),Sheet1!$A$1:$B$40,2,FALSE)&amp;","&amp;VLOOKUP(RIGHT(Sheet1!V69,LEN(Sheet1!V69)-FIND("#",SUBSTITUTE(Sheet1!V69,", ","#",4))-1),Sheet1!$A$1:$B$40,2,FALSE),"")</f>
        <v/>
      </c>
      <c r="K23" s="6" t="str">
        <f t="shared" si="1"/>
        <v/>
      </c>
      <c r="L23" s="6" t="str">
        <f>IFERROR(IF((LEN(Sheet1!AA69)-LEN(SUBSTITUTE(Sheet1!AA69,", ","")))/2=0,VLOOKUP(Sheet1!AA69,Sheet1!$A$1:$B$40,2,FALSE),""),"")</f>
        <v/>
      </c>
      <c r="M23" s="6" t="str">
        <f>IFERROR(IF((LEN(Sheet1!AA69)-LEN(SUBSTITUTE(Sheet1!AA69,", ","")))/2=1,VLOOKUP(LEFT(Sheet1!AA69,FIND(", ",Sheet1!AA69)-1),Sheet1!$A$1:$B$40,2,FALSE)&amp;","&amp;VLOOKUP(RIGHT(Sheet1!AA69,LEN(Sheet1!AA69)-FIND(", ",Sheet1!AA69)-1),Sheet1!$A$1:$B$40,2,FALSE),""),"")</f>
        <v/>
      </c>
      <c r="N23" s="6" t="str">
        <f t="shared" si="2"/>
        <v/>
      </c>
    </row>
    <row r="24" spans="1:14">
      <c r="A24" s="5" t="str">
        <f>IFERROR(IF((LEN(Sheet1!N70)-LEN(SUBSTITUTE(Sheet1!N70,", ","")))/2=0,VLOOKUP(Sheet1!N70,Sheet1!$A$1:$B$40,2,FALSE),""),"")</f>
        <v/>
      </c>
      <c r="B24" s="6" t="str">
        <f>IFERROR(IF((LEN(Sheet1!N70)-LEN(SUBSTITUTE(Sheet1!N70,", ","")))/2=1,VLOOKUP(LEFT(Sheet1!N70,FIND(", ",Sheet1!N70)-1),Sheet1!$A$1:$B$40,2,FALSE)&amp;","&amp;VLOOKUP(RIGHT(Sheet1!N70,LEN(Sheet1!N70)-FIND(", ",Sheet1!N70)-1),Sheet1!$A$1:$B$40,2,FALSE),""),"")</f>
        <v/>
      </c>
      <c r="C24" s="6" t="str">
        <f>IF((LEN(Sheet1!N70)-LEN(SUBSTITUTE(Sheet1!N70,", ","")))/2=2,VLOOKUP(LEFT(Sheet1!N70,FIND(", ",Sheet1!N70)-1),Sheet1!$A$1:$B$40,2,FALSE)&amp;","&amp;VLOOKUP(MID(Sheet1!N70,FIND("#",SUBSTITUTE(Sheet1!N70,", ","#",1))+2,FIND("#",SUBSTITUTE(Sheet1!N70,", ","#",2))-(FIND("#",SUBSTITUTE(Sheet1!N70,", ","#",1))+2)),Sheet1!$A$1:$B$40,2,FALSE)&amp;","&amp;VLOOKUP(RIGHT(Sheet1!N70,LEN(Sheet1!N70)-FIND("#",SUBSTITUTE(Sheet1!N70,", ","#",2))-1),Sheet1!$A$1:$B$40,2,FALSE),"")</f>
        <v/>
      </c>
      <c r="D24" s="6" t="str">
        <f>IF((LEN(Sheet1!N70)-LEN(SUBSTITUTE(Sheet1!N70,", ","")))/2=3,VLOOKUP(LEFT(Sheet1!N70,FIND(", ",Sheet1!N70)-1),Sheet1!$A$1:$B$40,2,FALSE)&amp;","&amp;VLOOKUP(MID(Sheet1!N70,FIND("#",SUBSTITUTE(Sheet1!N70,", ","#",1))+2,FIND("#",SUBSTITUTE(Sheet1!N70,", ","#",2))-(FIND("#",SUBSTITUTE(Sheet1!N70,", ","#",1))+2)),Sheet1!$A$1:$B$40,2,FALSE)&amp;","&amp;VLOOKUP(MID(Sheet1!N70,FIND("#",SUBSTITUTE(Sheet1!N70,", ","#",2))+2,FIND("#",SUBSTITUTE(Sheet1!N70,", ","#",3))-(FIND("#",SUBSTITUTE(Sheet1!N70,", ","#",2))+2)),Sheet1!$A$1:$B$40,2,FALSE)&amp;","&amp;VLOOKUP(RIGHT(Sheet1!N70,LEN(Sheet1!N70)-FIND("#",SUBSTITUTE(Sheet1!N70,", ","#",3))-1),Sheet1!$A$1:$B$40,2,FALSE),"")</f>
        <v/>
      </c>
      <c r="E24" s="6" t="str">
        <f t="shared" si="0"/>
        <v/>
      </c>
      <c r="F24" s="6" t="str">
        <f>IFERROR(IF((LEN(Sheet1!V70)-LEN(SUBSTITUTE(Sheet1!V70,", ","")))/2=0,VLOOKUP(Sheet1!V70,Sheet1!$A$1:$B$40,2,FALSE),""),"")</f>
        <v/>
      </c>
      <c r="G24" s="6" t="str">
        <f>IFERROR(IF((LEN(Sheet1!V70)-LEN(SUBSTITUTE(Sheet1!V70,", ","")))/2=1,VLOOKUP(LEFT(Sheet1!V70,FIND(", ",Sheet1!V70)-1),Sheet1!$A$1:$B$40,2,FALSE)&amp;","&amp;VLOOKUP(RIGHT(Sheet1!V70,LEN(Sheet1!V70)-FIND(", ",Sheet1!V70)-1),Sheet1!$A$1:$B$40,2,FALSE),""),"")</f>
        <v/>
      </c>
      <c r="H24" s="6" t="str">
        <f>IF((LEN(Sheet1!V70)-LEN(SUBSTITUTE(Sheet1!V70,", ","")))/2=2,VLOOKUP(LEFT(Sheet1!V70,FIND(", ",Sheet1!V70)-1),Sheet1!$A$1:$B$40,2,FALSE)&amp;","&amp;VLOOKUP(MID(Sheet1!V70,FIND("#",SUBSTITUTE(Sheet1!V70,", ","#",1))+2,FIND("#",SUBSTITUTE(Sheet1!V70,", ","#",2))-(FIND("#",SUBSTITUTE(Sheet1!V70,", ","#",1))+2)),Sheet1!$A$1:$B$40,2,FALSE)&amp;","&amp;VLOOKUP(RIGHT(Sheet1!V70,LEN(Sheet1!V70)-FIND("#",SUBSTITUTE(Sheet1!V70,", ","#",2))-1),Sheet1!$A$1:$B$40,2,FALSE),"")</f>
        <v/>
      </c>
      <c r="I24" s="6" t="str">
        <f>IF((LEN(Sheet1!V70)-LEN(SUBSTITUTE(Sheet1!V70,", ","")))/2=3,VLOOKUP(LEFT(Sheet1!V70,FIND(", ",Sheet1!V70)-1),Sheet1!$A$1:$B$40,2,FALSE)&amp;","&amp;VLOOKUP(MID(Sheet1!V70,FIND("#",SUBSTITUTE(Sheet1!V70,", ","#",1))+2,FIND("#",SUBSTITUTE(Sheet1!V70,", ","#",2))-(FIND("#",SUBSTITUTE(Sheet1!V70,", ","#",1))+2)),Sheet1!$A$1:$B$40,2,FALSE)&amp;","&amp;VLOOKUP(MID(Sheet1!V70,FIND("#",SUBSTITUTE(Sheet1!V70,", ","#",2))+2,FIND("#",SUBSTITUTE(Sheet1!V70,", ","#",3))-(FIND("#",SUBSTITUTE(Sheet1!V70,", ","#",2))+2)),Sheet1!$A$1:$B$40,2,FALSE)&amp;","&amp;VLOOKUP(RIGHT(Sheet1!V70,LEN(Sheet1!V70)-FIND("#",SUBSTITUTE(Sheet1!V70,", ","#",3))-1),Sheet1!$A$1:$B$40,2,FALSE),"")</f>
        <v/>
      </c>
      <c r="J24" s="6" t="str">
        <f>IF((LEN(Sheet1!V70)-LEN(SUBSTITUTE(Sheet1!V70,", ","")))/2=4,VLOOKUP(LEFT(Sheet1!V70,FIND(", ",Sheet1!V70)-1),Sheet1!$A$1:$B$40,2,FALSE)&amp;","&amp;VLOOKUP(MID(Sheet1!V70,FIND("#",SUBSTITUTE(Sheet1!V70,", ","#",1))+2,FIND("#",SUBSTITUTE(Sheet1!V70,", ","#",2))-(FIND("#",SUBSTITUTE(Sheet1!V70,", ","#",1))+2)),Sheet1!$A$1:$B$40,2,FALSE)&amp;","&amp;VLOOKUP(MID(Sheet1!V70,FIND("#",SUBSTITUTE(Sheet1!V70,", ","#",2))+2,FIND("#",SUBSTITUTE(Sheet1!V70,", ","#",3))-(FIND("#",SUBSTITUTE(Sheet1!V70,", ","#",2))+2)),Sheet1!$A$1:$B$40,2,FALSE)&amp;","&amp;VLOOKUP(MID(Sheet1!V70,FIND("#",SUBSTITUTE(Sheet1!V70,", ","#",3))+2,FIND("#",SUBSTITUTE(Sheet1!V70,", ","#",4))-(FIND("#",SUBSTITUTE(Sheet1!V70,", ","#",3))+2)),Sheet1!$A$1:$B$40,2,FALSE)&amp;","&amp;VLOOKUP(RIGHT(Sheet1!V70,LEN(Sheet1!V70)-FIND("#",SUBSTITUTE(Sheet1!V70,", ","#",4))-1),Sheet1!$A$1:$B$40,2,FALSE),"")</f>
        <v/>
      </c>
      <c r="K24" s="6" t="str">
        <f t="shared" si="1"/>
        <v/>
      </c>
      <c r="L24" s="6" t="str">
        <f>IFERROR(IF((LEN(Sheet1!AA70)-LEN(SUBSTITUTE(Sheet1!AA70,", ","")))/2=0,VLOOKUP(Sheet1!AA70,Sheet1!$A$1:$B$40,2,FALSE),""),"")</f>
        <v/>
      </c>
      <c r="M24" s="6" t="str">
        <f>IFERROR(IF((LEN(Sheet1!AA70)-LEN(SUBSTITUTE(Sheet1!AA70,", ","")))/2=1,VLOOKUP(LEFT(Sheet1!AA70,FIND(", ",Sheet1!AA70)-1),Sheet1!$A$1:$B$40,2,FALSE)&amp;","&amp;VLOOKUP(RIGHT(Sheet1!AA70,LEN(Sheet1!AA70)-FIND(", ",Sheet1!AA70)-1),Sheet1!$A$1:$B$40,2,FALSE),""),"")</f>
        <v/>
      </c>
      <c r="N24" s="6" t="str">
        <f t="shared" si="2"/>
        <v/>
      </c>
    </row>
    <row r="25" spans="1:14">
      <c r="A25" s="5" t="str">
        <f>IFERROR(IF((LEN(Sheet1!N71)-LEN(SUBSTITUTE(Sheet1!N71,", ","")))/2=0,VLOOKUP(Sheet1!N71,Sheet1!$A$1:$B$40,2,FALSE),""),"")</f>
        <v/>
      </c>
      <c r="B25" s="6" t="str">
        <f>IFERROR(IF((LEN(Sheet1!N71)-LEN(SUBSTITUTE(Sheet1!N71,", ","")))/2=1,VLOOKUP(LEFT(Sheet1!N71,FIND(", ",Sheet1!N71)-1),Sheet1!$A$1:$B$40,2,FALSE)&amp;","&amp;VLOOKUP(RIGHT(Sheet1!N71,LEN(Sheet1!N71)-FIND(", ",Sheet1!N71)-1),Sheet1!$A$1:$B$40,2,FALSE),""),"")</f>
        <v/>
      </c>
      <c r="C25" s="6" t="str">
        <f>IF((LEN(Sheet1!N71)-LEN(SUBSTITUTE(Sheet1!N71,", ","")))/2=2,VLOOKUP(LEFT(Sheet1!N71,FIND(", ",Sheet1!N71)-1),Sheet1!$A$1:$B$40,2,FALSE)&amp;","&amp;VLOOKUP(MID(Sheet1!N71,FIND("#",SUBSTITUTE(Sheet1!N71,", ","#",1))+2,FIND("#",SUBSTITUTE(Sheet1!N71,", ","#",2))-(FIND("#",SUBSTITUTE(Sheet1!N71,", ","#",1))+2)),Sheet1!$A$1:$B$40,2,FALSE)&amp;","&amp;VLOOKUP(RIGHT(Sheet1!N71,LEN(Sheet1!N71)-FIND("#",SUBSTITUTE(Sheet1!N71,", ","#",2))-1),Sheet1!$A$1:$B$40,2,FALSE),"")</f>
        <v/>
      </c>
      <c r="D25" s="6" t="str">
        <f>IF((LEN(Sheet1!N71)-LEN(SUBSTITUTE(Sheet1!N71,", ","")))/2=3,VLOOKUP(LEFT(Sheet1!N71,FIND(", ",Sheet1!N71)-1),Sheet1!$A$1:$B$40,2,FALSE)&amp;","&amp;VLOOKUP(MID(Sheet1!N71,FIND("#",SUBSTITUTE(Sheet1!N71,", ","#",1))+2,FIND("#",SUBSTITUTE(Sheet1!N71,", ","#",2))-(FIND("#",SUBSTITUTE(Sheet1!N71,", ","#",1))+2)),Sheet1!$A$1:$B$40,2,FALSE)&amp;","&amp;VLOOKUP(MID(Sheet1!N71,FIND("#",SUBSTITUTE(Sheet1!N71,", ","#",2))+2,FIND("#",SUBSTITUTE(Sheet1!N71,", ","#",3))-(FIND("#",SUBSTITUTE(Sheet1!N71,", ","#",2))+2)),Sheet1!$A$1:$B$40,2,FALSE)&amp;","&amp;VLOOKUP(RIGHT(Sheet1!N71,LEN(Sheet1!N71)-FIND("#",SUBSTITUTE(Sheet1!N71,", ","#",3))-1),Sheet1!$A$1:$B$40,2,FALSE),"")</f>
        <v/>
      </c>
      <c r="E25" s="6" t="str">
        <f t="shared" si="0"/>
        <v/>
      </c>
      <c r="F25" s="6" t="str">
        <f>IFERROR(IF((LEN(Sheet1!V71)-LEN(SUBSTITUTE(Sheet1!V71,", ","")))/2=0,VLOOKUP(Sheet1!V71,Sheet1!$A$1:$B$40,2,FALSE),""),"")</f>
        <v/>
      </c>
      <c r="G25" s="6" t="str">
        <f>IFERROR(IF((LEN(Sheet1!V71)-LEN(SUBSTITUTE(Sheet1!V71,", ","")))/2=1,VLOOKUP(LEFT(Sheet1!V71,FIND(", ",Sheet1!V71)-1),Sheet1!$A$1:$B$40,2,FALSE)&amp;","&amp;VLOOKUP(RIGHT(Sheet1!V71,LEN(Sheet1!V71)-FIND(", ",Sheet1!V71)-1),Sheet1!$A$1:$B$40,2,FALSE),""),"")</f>
        <v/>
      </c>
      <c r="H25" s="6" t="str">
        <f>IF((LEN(Sheet1!V71)-LEN(SUBSTITUTE(Sheet1!V71,", ","")))/2=2,VLOOKUP(LEFT(Sheet1!V71,FIND(", ",Sheet1!V71)-1),Sheet1!$A$1:$B$40,2,FALSE)&amp;","&amp;VLOOKUP(MID(Sheet1!V71,FIND("#",SUBSTITUTE(Sheet1!V71,", ","#",1))+2,FIND("#",SUBSTITUTE(Sheet1!V71,", ","#",2))-(FIND("#",SUBSTITUTE(Sheet1!V71,", ","#",1))+2)),Sheet1!$A$1:$B$40,2,FALSE)&amp;","&amp;VLOOKUP(RIGHT(Sheet1!V71,LEN(Sheet1!V71)-FIND("#",SUBSTITUTE(Sheet1!V71,", ","#",2))-1),Sheet1!$A$1:$B$40,2,FALSE),"")</f>
        <v/>
      </c>
      <c r="I25" s="6" t="str">
        <f>IF((LEN(Sheet1!V71)-LEN(SUBSTITUTE(Sheet1!V71,", ","")))/2=3,VLOOKUP(LEFT(Sheet1!V71,FIND(", ",Sheet1!V71)-1),Sheet1!$A$1:$B$40,2,FALSE)&amp;","&amp;VLOOKUP(MID(Sheet1!V71,FIND("#",SUBSTITUTE(Sheet1!V71,", ","#",1))+2,FIND("#",SUBSTITUTE(Sheet1!V71,", ","#",2))-(FIND("#",SUBSTITUTE(Sheet1!V71,", ","#",1))+2)),Sheet1!$A$1:$B$40,2,FALSE)&amp;","&amp;VLOOKUP(MID(Sheet1!V71,FIND("#",SUBSTITUTE(Sheet1!V71,", ","#",2))+2,FIND("#",SUBSTITUTE(Sheet1!V71,", ","#",3))-(FIND("#",SUBSTITUTE(Sheet1!V71,", ","#",2))+2)),Sheet1!$A$1:$B$40,2,FALSE)&amp;","&amp;VLOOKUP(RIGHT(Sheet1!V71,LEN(Sheet1!V71)-FIND("#",SUBSTITUTE(Sheet1!V71,", ","#",3))-1),Sheet1!$A$1:$B$40,2,FALSE),"")</f>
        <v/>
      </c>
      <c r="J25" s="6" t="str">
        <f>IF((LEN(Sheet1!V71)-LEN(SUBSTITUTE(Sheet1!V71,", ","")))/2=4,VLOOKUP(LEFT(Sheet1!V71,FIND(", ",Sheet1!V71)-1),Sheet1!$A$1:$B$40,2,FALSE)&amp;","&amp;VLOOKUP(MID(Sheet1!V71,FIND("#",SUBSTITUTE(Sheet1!V71,", ","#",1))+2,FIND("#",SUBSTITUTE(Sheet1!V71,", ","#",2))-(FIND("#",SUBSTITUTE(Sheet1!V71,", ","#",1))+2)),Sheet1!$A$1:$B$40,2,FALSE)&amp;","&amp;VLOOKUP(MID(Sheet1!V71,FIND("#",SUBSTITUTE(Sheet1!V71,", ","#",2))+2,FIND("#",SUBSTITUTE(Sheet1!V71,", ","#",3))-(FIND("#",SUBSTITUTE(Sheet1!V71,", ","#",2))+2)),Sheet1!$A$1:$B$40,2,FALSE)&amp;","&amp;VLOOKUP(MID(Sheet1!V71,FIND("#",SUBSTITUTE(Sheet1!V71,", ","#",3))+2,FIND("#",SUBSTITUTE(Sheet1!V71,", ","#",4))-(FIND("#",SUBSTITUTE(Sheet1!V71,", ","#",3))+2)),Sheet1!$A$1:$B$40,2,FALSE)&amp;","&amp;VLOOKUP(RIGHT(Sheet1!V71,LEN(Sheet1!V71)-FIND("#",SUBSTITUTE(Sheet1!V71,", ","#",4))-1),Sheet1!$A$1:$B$40,2,FALSE),"")</f>
        <v/>
      </c>
      <c r="K25" s="6" t="str">
        <f t="shared" ref="K25:K66" si="3">F25&amp;G25&amp;H25&amp;I25&amp;J25</f>
        <v/>
      </c>
      <c r="L25" s="6" t="str">
        <f>IFERROR(IF((LEN(Sheet1!AA71)-LEN(SUBSTITUTE(Sheet1!AA71,", ","")))/2=0,VLOOKUP(Sheet1!AA71,Sheet1!$A$1:$B$40,2,FALSE),""),"")</f>
        <v/>
      </c>
      <c r="M25" s="6" t="str">
        <f>IFERROR(IF((LEN(Sheet1!AA71)-LEN(SUBSTITUTE(Sheet1!AA71,", ","")))/2=1,VLOOKUP(LEFT(Sheet1!AA71,FIND(", ",Sheet1!AA71)-1),Sheet1!$A$1:$B$40,2,FALSE)&amp;","&amp;VLOOKUP(RIGHT(Sheet1!AA71,LEN(Sheet1!AA71)-FIND(", ",Sheet1!AA71)-1),Sheet1!$A$1:$B$40,2,FALSE),""),"")</f>
        <v/>
      </c>
      <c r="N25" s="6" t="str">
        <f t="shared" si="2"/>
        <v/>
      </c>
    </row>
    <row r="26" spans="1:14">
      <c r="A26" s="5" t="str">
        <f>IFERROR(IF((LEN(Sheet1!N72)-LEN(SUBSTITUTE(Sheet1!N72,", ","")))/2=0,VLOOKUP(Sheet1!N72,Sheet1!$A$1:$B$40,2,FALSE),""),"")</f>
        <v/>
      </c>
      <c r="B26" s="6" t="str">
        <f>IFERROR(IF((LEN(Sheet1!N72)-LEN(SUBSTITUTE(Sheet1!N72,", ","")))/2=1,VLOOKUP(LEFT(Sheet1!N72,FIND(", ",Sheet1!N72)-1),Sheet1!$A$1:$B$40,2,FALSE)&amp;","&amp;VLOOKUP(RIGHT(Sheet1!N72,LEN(Sheet1!N72)-FIND(", ",Sheet1!N72)-1),Sheet1!$A$1:$B$40,2,FALSE),""),"")</f>
        <v/>
      </c>
      <c r="C26" s="6" t="str">
        <f>IF((LEN(Sheet1!N72)-LEN(SUBSTITUTE(Sheet1!N72,", ","")))/2=2,VLOOKUP(LEFT(Sheet1!N72,FIND(", ",Sheet1!N72)-1),Sheet1!$A$1:$B$40,2,FALSE)&amp;","&amp;VLOOKUP(MID(Sheet1!N72,FIND("#",SUBSTITUTE(Sheet1!N72,", ","#",1))+2,FIND("#",SUBSTITUTE(Sheet1!N72,", ","#",2))-(FIND("#",SUBSTITUTE(Sheet1!N72,", ","#",1))+2)),Sheet1!$A$1:$B$40,2,FALSE)&amp;","&amp;VLOOKUP(RIGHT(Sheet1!N72,LEN(Sheet1!N72)-FIND("#",SUBSTITUTE(Sheet1!N72,", ","#",2))-1),Sheet1!$A$1:$B$40,2,FALSE),"")</f>
        <v/>
      </c>
      <c r="D26" s="6" t="str">
        <f>IF((LEN(Sheet1!N72)-LEN(SUBSTITUTE(Sheet1!N72,", ","")))/2=3,VLOOKUP(LEFT(Sheet1!N72,FIND(", ",Sheet1!N72)-1),Sheet1!$A$1:$B$40,2,FALSE)&amp;","&amp;VLOOKUP(MID(Sheet1!N72,FIND("#",SUBSTITUTE(Sheet1!N72,", ","#",1))+2,FIND("#",SUBSTITUTE(Sheet1!N72,", ","#",2))-(FIND("#",SUBSTITUTE(Sheet1!N72,", ","#",1))+2)),Sheet1!$A$1:$B$40,2,FALSE)&amp;","&amp;VLOOKUP(MID(Sheet1!N72,FIND("#",SUBSTITUTE(Sheet1!N72,", ","#",2))+2,FIND("#",SUBSTITUTE(Sheet1!N72,", ","#",3))-(FIND("#",SUBSTITUTE(Sheet1!N72,", ","#",2))+2)),Sheet1!$A$1:$B$40,2,FALSE)&amp;","&amp;VLOOKUP(RIGHT(Sheet1!N72,LEN(Sheet1!N72)-FIND("#",SUBSTITUTE(Sheet1!N72,", ","#",3))-1),Sheet1!$A$1:$B$40,2,FALSE),"")</f>
        <v/>
      </c>
      <c r="E26" s="6" t="str">
        <f t="shared" si="0"/>
        <v/>
      </c>
      <c r="F26" s="6" t="str">
        <f>IFERROR(IF((LEN(Sheet1!V72)-LEN(SUBSTITUTE(Sheet1!V72,", ","")))/2=0,VLOOKUP(Sheet1!V72,Sheet1!$A$1:$B$40,2,FALSE),""),"")</f>
        <v/>
      </c>
      <c r="G26" s="6" t="str">
        <f>IFERROR(IF((LEN(Sheet1!V72)-LEN(SUBSTITUTE(Sheet1!V72,", ","")))/2=1,VLOOKUP(LEFT(Sheet1!V72,FIND(", ",Sheet1!V72)-1),Sheet1!$A$1:$B$40,2,FALSE)&amp;","&amp;VLOOKUP(RIGHT(Sheet1!V72,LEN(Sheet1!V72)-FIND(", ",Sheet1!V72)-1),Sheet1!$A$1:$B$40,2,FALSE),""),"")</f>
        <v/>
      </c>
      <c r="H26" s="6" t="str">
        <f>IF((LEN(Sheet1!V72)-LEN(SUBSTITUTE(Sheet1!V72,", ","")))/2=2,VLOOKUP(LEFT(Sheet1!V72,FIND(", ",Sheet1!V72)-1),Sheet1!$A$1:$B$40,2,FALSE)&amp;","&amp;VLOOKUP(MID(Sheet1!V72,FIND("#",SUBSTITUTE(Sheet1!V72,", ","#",1))+2,FIND("#",SUBSTITUTE(Sheet1!V72,", ","#",2))-(FIND("#",SUBSTITUTE(Sheet1!V72,", ","#",1))+2)),Sheet1!$A$1:$B$40,2,FALSE)&amp;","&amp;VLOOKUP(RIGHT(Sheet1!V72,LEN(Sheet1!V72)-FIND("#",SUBSTITUTE(Sheet1!V72,", ","#",2))-1),Sheet1!$A$1:$B$40,2,FALSE),"")</f>
        <v/>
      </c>
      <c r="I26" s="6" t="str">
        <f>IF((LEN(Sheet1!V72)-LEN(SUBSTITUTE(Sheet1!V72,", ","")))/2=3,VLOOKUP(LEFT(Sheet1!V72,FIND(", ",Sheet1!V72)-1),Sheet1!$A$1:$B$40,2,FALSE)&amp;","&amp;VLOOKUP(MID(Sheet1!V72,FIND("#",SUBSTITUTE(Sheet1!V72,", ","#",1))+2,FIND("#",SUBSTITUTE(Sheet1!V72,", ","#",2))-(FIND("#",SUBSTITUTE(Sheet1!V72,", ","#",1))+2)),Sheet1!$A$1:$B$40,2,FALSE)&amp;","&amp;VLOOKUP(MID(Sheet1!V72,FIND("#",SUBSTITUTE(Sheet1!V72,", ","#",2))+2,FIND("#",SUBSTITUTE(Sheet1!V72,", ","#",3))-(FIND("#",SUBSTITUTE(Sheet1!V72,", ","#",2))+2)),Sheet1!$A$1:$B$40,2,FALSE)&amp;","&amp;VLOOKUP(RIGHT(Sheet1!V72,LEN(Sheet1!V72)-FIND("#",SUBSTITUTE(Sheet1!V72,", ","#",3))-1),Sheet1!$A$1:$B$40,2,FALSE),"")</f>
        <v/>
      </c>
      <c r="J26" s="6" t="str">
        <f>IF((LEN(Sheet1!V72)-LEN(SUBSTITUTE(Sheet1!V72,", ","")))/2=4,VLOOKUP(LEFT(Sheet1!V72,FIND(", ",Sheet1!V72)-1),Sheet1!$A$1:$B$40,2,FALSE)&amp;","&amp;VLOOKUP(MID(Sheet1!V72,FIND("#",SUBSTITUTE(Sheet1!V72,", ","#",1))+2,FIND("#",SUBSTITUTE(Sheet1!V72,", ","#",2))-(FIND("#",SUBSTITUTE(Sheet1!V72,", ","#",1))+2)),Sheet1!$A$1:$B$40,2,FALSE)&amp;","&amp;VLOOKUP(MID(Sheet1!V72,FIND("#",SUBSTITUTE(Sheet1!V72,", ","#",2))+2,FIND("#",SUBSTITUTE(Sheet1!V72,", ","#",3))-(FIND("#",SUBSTITUTE(Sheet1!V72,", ","#",2))+2)),Sheet1!$A$1:$B$40,2,FALSE)&amp;","&amp;VLOOKUP(MID(Sheet1!V72,FIND("#",SUBSTITUTE(Sheet1!V72,", ","#",3))+2,FIND("#",SUBSTITUTE(Sheet1!V72,", ","#",4))-(FIND("#",SUBSTITUTE(Sheet1!V72,", ","#",3))+2)),Sheet1!$A$1:$B$40,2,FALSE)&amp;","&amp;VLOOKUP(RIGHT(Sheet1!V72,LEN(Sheet1!V72)-FIND("#",SUBSTITUTE(Sheet1!V72,", ","#",4))-1),Sheet1!$A$1:$B$40,2,FALSE),"")</f>
        <v/>
      </c>
      <c r="K26" s="6" t="str">
        <f t="shared" si="3"/>
        <v/>
      </c>
      <c r="L26" s="6" t="str">
        <f>IFERROR(IF((LEN(Sheet1!AA72)-LEN(SUBSTITUTE(Sheet1!AA72,", ","")))/2=0,VLOOKUP(Sheet1!AA72,Sheet1!$A$1:$B$40,2,FALSE),""),"")</f>
        <v/>
      </c>
      <c r="M26" s="6" t="str">
        <f>IFERROR(IF((LEN(Sheet1!AA72)-LEN(SUBSTITUTE(Sheet1!AA72,", ","")))/2=1,VLOOKUP(LEFT(Sheet1!AA72,FIND(", ",Sheet1!AA72)-1),Sheet1!$A$1:$B$40,2,FALSE)&amp;","&amp;VLOOKUP(RIGHT(Sheet1!AA72,LEN(Sheet1!AA72)-FIND(", ",Sheet1!AA72)-1),Sheet1!$A$1:$B$40,2,FALSE),""),"")</f>
        <v/>
      </c>
      <c r="N26" s="6" t="str">
        <f t="shared" ref="N26:N46" si="4">L26&amp;M26</f>
        <v/>
      </c>
    </row>
    <row r="27" spans="1:14">
      <c r="A27" s="5" t="str">
        <f>IFERROR(IF((LEN(Sheet1!N73)-LEN(SUBSTITUTE(Sheet1!N73,", ","")))/2=0,VLOOKUP(Sheet1!N73,Sheet1!$A$1:$B$40,2,FALSE),""),"")</f>
        <v/>
      </c>
      <c r="B27" s="6" t="str">
        <f>IFERROR(IF((LEN(Sheet1!N73)-LEN(SUBSTITUTE(Sheet1!N73,", ","")))/2=1,VLOOKUP(LEFT(Sheet1!N73,FIND(", ",Sheet1!N73)-1),Sheet1!$A$1:$B$40,2,FALSE)&amp;","&amp;VLOOKUP(RIGHT(Sheet1!N73,LEN(Sheet1!N73)-FIND(", ",Sheet1!N73)-1),Sheet1!$A$1:$B$40,2,FALSE),""),"")</f>
        <v/>
      </c>
      <c r="C27" s="6" t="str">
        <f>IF((LEN(Sheet1!N73)-LEN(SUBSTITUTE(Sheet1!N73,", ","")))/2=2,VLOOKUP(LEFT(Sheet1!N73,FIND(", ",Sheet1!N73)-1),Sheet1!$A$1:$B$40,2,FALSE)&amp;","&amp;VLOOKUP(MID(Sheet1!N73,FIND("#",SUBSTITUTE(Sheet1!N73,", ","#",1))+2,FIND("#",SUBSTITUTE(Sheet1!N73,", ","#",2))-(FIND("#",SUBSTITUTE(Sheet1!N73,", ","#",1))+2)),Sheet1!$A$1:$B$40,2,FALSE)&amp;","&amp;VLOOKUP(RIGHT(Sheet1!N73,LEN(Sheet1!N73)-FIND("#",SUBSTITUTE(Sheet1!N73,", ","#",2))-1),Sheet1!$A$1:$B$40,2,FALSE),"")</f>
        <v/>
      </c>
      <c r="D27" s="6" t="str">
        <f>IF((LEN(Sheet1!N73)-LEN(SUBSTITUTE(Sheet1!N73,", ","")))/2=3,VLOOKUP(LEFT(Sheet1!N73,FIND(", ",Sheet1!N73)-1),Sheet1!$A$1:$B$40,2,FALSE)&amp;","&amp;VLOOKUP(MID(Sheet1!N73,FIND("#",SUBSTITUTE(Sheet1!N73,", ","#",1))+2,FIND("#",SUBSTITUTE(Sheet1!N73,", ","#",2))-(FIND("#",SUBSTITUTE(Sheet1!N73,", ","#",1))+2)),Sheet1!$A$1:$B$40,2,FALSE)&amp;","&amp;VLOOKUP(MID(Sheet1!N73,FIND("#",SUBSTITUTE(Sheet1!N73,", ","#",2))+2,FIND("#",SUBSTITUTE(Sheet1!N73,", ","#",3))-(FIND("#",SUBSTITUTE(Sheet1!N73,", ","#",2))+2)),Sheet1!$A$1:$B$40,2,FALSE)&amp;","&amp;VLOOKUP(RIGHT(Sheet1!N73,LEN(Sheet1!N73)-FIND("#",SUBSTITUTE(Sheet1!N73,", ","#",3))-1),Sheet1!$A$1:$B$40,2,FALSE),"")</f>
        <v/>
      </c>
      <c r="E27" s="6" t="str">
        <f t="shared" si="0"/>
        <v/>
      </c>
      <c r="F27" s="6" t="str">
        <f>IFERROR(IF((LEN(Sheet1!V73)-LEN(SUBSTITUTE(Sheet1!V73,", ","")))/2=0,VLOOKUP(Sheet1!V73,Sheet1!$A$1:$B$40,2,FALSE),""),"")</f>
        <v/>
      </c>
      <c r="G27" s="6" t="str">
        <f>IFERROR(IF((LEN(Sheet1!V73)-LEN(SUBSTITUTE(Sheet1!V73,", ","")))/2=1,VLOOKUP(LEFT(Sheet1!V73,FIND(", ",Sheet1!V73)-1),Sheet1!$A$1:$B$40,2,FALSE)&amp;","&amp;VLOOKUP(RIGHT(Sheet1!V73,LEN(Sheet1!V73)-FIND(", ",Sheet1!V73)-1),Sheet1!$A$1:$B$40,2,FALSE),""),"")</f>
        <v/>
      </c>
      <c r="H27" s="6" t="str">
        <f>IF((LEN(Sheet1!V73)-LEN(SUBSTITUTE(Sheet1!V73,", ","")))/2=2,VLOOKUP(LEFT(Sheet1!V73,FIND(", ",Sheet1!V73)-1),Sheet1!$A$1:$B$40,2,FALSE)&amp;","&amp;VLOOKUP(MID(Sheet1!V73,FIND("#",SUBSTITUTE(Sheet1!V73,", ","#",1))+2,FIND("#",SUBSTITUTE(Sheet1!V73,", ","#",2))-(FIND("#",SUBSTITUTE(Sheet1!V73,", ","#",1))+2)),Sheet1!$A$1:$B$40,2,FALSE)&amp;","&amp;VLOOKUP(RIGHT(Sheet1!V73,LEN(Sheet1!V73)-FIND("#",SUBSTITUTE(Sheet1!V73,", ","#",2))-1),Sheet1!$A$1:$B$40,2,FALSE),"")</f>
        <v/>
      </c>
      <c r="I27" s="6" t="str">
        <f>IF((LEN(Sheet1!V73)-LEN(SUBSTITUTE(Sheet1!V73,", ","")))/2=3,VLOOKUP(LEFT(Sheet1!V73,FIND(", ",Sheet1!V73)-1),Sheet1!$A$1:$B$40,2,FALSE)&amp;","&amp;VLOOKUP(MID(Sheet1!V73,FIND("#",SUBSTITUTE(Sheet1!V73,", ","#",1))+2,FIND("#",SUBSTITUTE(Sheet1!V73,", ","#",2))-(FIND("#",SUBSTITUTE(Sheet1!V73,", ","#",1))+2)),Sheet1!$A$1:$B$40,2,FALSE)&amp;","&amp;VLOOKUP(MID(Sheet1!V73,FIND("#",SUBSTITUTE(Sheet1!V73,", ","#",2))+2,FIND("#",SUBSTITUTE(Sheet1!V73,", ","#",3))-(FIND("#",SUBSTITUTE(Sheet1!V73,", ","#",2))+2)),Sheet1!$A$1:$B$40,2,FALSE)&amp;","&amp;VLOOKUP(RIGHT(Sheet1!V73,LEN(Sheet1!V73)-FIND("#",SUBSTITUTE(Sheet1!V73,", ","#",3))-1),Sheet1!$A$1:$B$40,2,FALSE),"")</f>
        <v/>
      </c>
      <c r="J27" s="6" t="str">
        <f>IF((LEN(Sheet1!V73)-LEN(SUBSTITUTE(Sheet1!V73,", ","")))/2=4,VLOOKUP(LEFT(Sheet1!V73,FIND(", ",Sheet1!V73)-1),Sheet1!$A$1:$B$40,2,FALSE)&amp;","&amp;VLOOKUP(MID(Sheet1!V73,FIND("#",SUBSTITUTE(Sheet1!V73,", ","#",1))+2,FIND("#",SUBSTITUTE(Sheet1!V73,", ","#",2))-(FIND("#",SUBSTITUTE(Sheet1!V73,", ","#",1))+2)),Sheet1!$A$1:$B$40,2,FALSE)&amp;","&amp;VLOOKUP(MID(Sheet1!V73,FIND("#",SUBSTITUTE(Sheet1!V73,", ","#",2))+2,FIND("#",SUBSTITUTE(Sheet1!V73,", ","#",3))-(FIND("#",SUBSTITUTE(Sheet1!V73,", ","#",2))+2)),Sheet1!$A$1:$B$40,2,FALSE)&amp;","&amp;VLOOKUP(MID(Sheet1!V73,FIND("#",SUBSTITUTE(Sheet1!V73,", ","#",3))+2,FIND("#",SUBSTITUTE(Sheet1!V73,", ","#",4))-(FIND("#",SUBSTITUTE(Sheet1!V73,", ","#",3))+2)),Sheet1!$A$1:$B$40,2,FALSE)&amp;","&amp;VLOOKUP(RIGHT(Sheet1!V73,LEN(Sheet1!V73)-FIND("#",SUBSTITUTE(Sheet1!V73,", ","#",4))-1),Sheet1!$A$1:$B$40,2,FALSE),"")</f>
        <v/>
      </c>
      <c r="K27" s="6" t="str">
        <f t="shared" si="3"/>
        <v/>
      </c>
      <c r="L27" s="6" t="str">
        <f>IFERROR(IF((LEN(Sheet1!AA73)-LEN(SUBSTITUTE(Sheet1!AA73,", ","")))/2=0,VLOOKUP(Sheet1!AA73,Sheet1!$A$1:$B$40,2,FALSE),""),"")</f>
        <v/>
      </c>
      <c r="M27" s="6" t="str">
        <f>IFERROR(IF((LEN(Sheet1!AA73)-LEN(SUBSTITUTE(Sheet1!AA73,", ","")))/2=1,VLOOKUP(LEFT(Sheet1!AA73,FIND(", ",Sheet1!AA73)-1),Sheet1!$A$1:$B$40,2,FALSE)&amp;","&amp;VLOOKUP(RIGHT(Sheet1!AA73,LEN(Sheet1!AA73)-FIND(", ",Sheet1!AA73)-1),Sheet1!$A$1:$B$40,2,FALSE),""),"")</f>
        <v/>
      </c>
      <c r="N27" s="6" t="str">
        <f t="shared" si="4"/>
        <v/>
      </c>
    </row>
    <row r="28" spans="1:14">
      <c r="A28" s="5" t="str">
        <f>IFERROR(IF((LEN(Sheet1!N74)-LEN(SUBSTITUTE(Sheet1!N74,", ","")))/2=0,VLOOKUP(Sheet1!N74,Sheet1!$A$1:$B$40,2,FALSE),""),"")</f>
        <v/>
      </c>
      <c r="B28" s="6" t="str">
        <f>IFERROR(IF((LEN(Sheet1!N74)-LEN(SUBSTITUTE(Sheet1!N74,", ","")))/2=1,VLOOKUP(LEFT(Sheet1!N74,FIND(", ",Sheet1!N74)-1),Sheet1!$A$1:$B$40,2,FALSE)&amp;","&amp;VLOOKUP(RIGHT(Sheet1!N74,LEN(Sheet1!N74)-FIND(", ",Sheet1!N74)-1),Sheet1!$A$1:$B$40,2,FALSE),""),"")</f>
        <v/>
      </c>
      <c r="C28" s="6" t="str">
        <f>IF((LEN(Sheet1!N74)-LEN(SUBSTITUTE(Sheet1!N74,", ","")))/2=2,VLOOKUP(LEFT(Sheet1!N74,FIND(", ",Sheet1!N74)-1),Sheet1!$A$1:$B$40,2,FALSE)&amp;","&amp;VLOOKUP(MID(Sheet1!N74,FIND("#",SUBSTITUTE(Sheet1!N74,", ","#",1))+2,FIND("#",SUBSTITUTE(Sheet1!N74,", ","#",2))-(FIND("#",SUBSTITUTE(Sheet1!N74,", ","#",1))+2)),Sheet1!$A$1:$B$40,2,FALSE)&amp;","&amp;VLOOKUP(RIGHT(Sheet1!N74,LEN(Sheet1!N74)-FIND("#",SUBSTITUTE(Sheet1!N74,", ","#",2))-1),Sheet1!$A$1:$B$40,2,FALSE),"")</f>
        <v/>
      </c>
      <c r="D28" s="6" t="str">
        <f>IF((LEN(Sheet1!N74)-LEN(SUBSTITUTE(Sheet1!N74,", ","")))/2=3,VLOOKUP(LEFT(Sheet1!N74,FIND(", ",Sheet1!N74)-1),Sheet1!$A$1:$B$40,2,FALSE)&amp;","&amp;VLOOKUP(MID(Sheet1!N74,FIND("#",SUBSTITUTE(Sheet1!N74,", ","#",1))+2,FIND("#",SUBSTITUTE(Sheet1!N74,", ","#",2))-(FIND("#",SUBSTITUTE(Sheet1!N74,", ","#",1))+2)),Sheet1!$A$1:$B$40,2,FALSE)&amp;","&amp;VLOOKUP(MID(Sheet1!N74,FIND("#",SUBSTITUTE(Sheet1!N74,", ","#",2))+2,FIND("#",SUBSTITUTE(Sheet1!N74,", ","#",3))-(FIND("#",SUBSTITUTE(Sheet1!N74,", ","#",2))+2)),Sheet1!$A$1:$B$40,2,FALSE)&amp;","&amp;VLOOKUP(RIGHT(Sheet1!N74,LEN(Sheet1!N74)-FIND("#",SUBSTITUTE(Sheet1!N74,", ","#",3))-1),Sheet1!$A$1:$B$40,2,FALSE),"")</f>
        <v/>
      </c>
      <c r="E28" s="6" t="str">
        <f t="shared" si="0"/>
        <v/>
      </c>
      <c r="F28" s="6" t="str">
        <f>IFERROR(IF((LEN(Sheet1!V74)-LEN(SUBSTITUTE(Sheet1!V74,", ","")))/2=0,VLOOKUP(Sheet1!V74,Sheet1!$A$1:$B$40,2,FALSE),""),"")</f>
        <v/>
      </c>
      <c r="G28" s="6" t="str">
        <f>IFERROR(IF((LEN(Sheet1!V74)-LEN(SUBSTITUTE(Sheet1!V74,", ","")))/2=1,VLOOKUP(LEFT(Sheet1!V74,FIND(", ",Sheet1!V74)-1),Sheet1!$A$1:$B$40,2,FALSE)&amp;","&amp;VLOOKUP(RIGHT(Sheet1!V74,LEN(Sheet1!V74)-FIND(", ",Sheet1!V74)-1),Sheet1!$A$1:$B$40,2,FALSE),""),"")</f>
        <v/>
      </c>
      <c r="H28" s="6" t="str">
        <f>IF((LEN(Sheet1!V74)-LEN(SUBSTITUTE(Sheet1!V74,", ","")))/2=2,VLOOKUP(LEFT(Sheet1!V74,FIND(", ",Sheet1!V74)-1),Sheet1!$A$1:$B$40,2,FALSE)&amp;","&amp;VLOOKUP(MID(Sheet1!V74,FIND("#",SUBSTITUTE(Sheet1!V74,", ","#",1))+2,FIND("#",SUBSTITUTE(Sheet1!V74,", ","#",2))-(FIND("#",SUBSTITUTE(Sheet1!V74,", ","#",1))+2)),Sheet1!$A$1:$B$40,2,FALSE)&amp;","&amp;VLOOKUP(RIGHT(Sheet1!V74,LEN(Sheet1!V74)-FIND("#",SUBSTITUTE(Sheet1!V74,", ","#",2))-1),Sheet1!$A$1:$B$40,2,FALSE),"")</f>
        <v/>
      </c>
      <c r="I28" s="6" t="str">
        <f>IF((LEN(Sheet1!V74)-LEN(SUBSTITUTE(Sheet1!V74,", ","")))/2=3,VLOOKUP(LEFT(Sheet1!V74,FIND(", ",Sheet1!V74)-1),Sheet1!$A$1:$B$40,2,FALSE)&amp;","&amp;VLOOKUP(MID(Sheet1!V74,FIND("#",SUBSTITUTE(Sheet1!V74,", ","#",1))+2,FIND("#",SUBSTITUTE(Sheet1!V74,", ","#",2))-(FIND("#",SUBSTITUTE(Sheet1!V74,", ","#",1))+2)),Sheet1!$A$1:$B$40,2,FALSE)&amp;","&amp;VLOOKUP(MID(Sheet1!V74,FIND("#",SUBSTITUTE(Sheet1!V74,", ","#",2))+2,FIND("#",SUBSTITUTE(Sheet1!V74,", ","#",3))-(FIND("#",SUBSTITUTE(Sheet1!V74,", ","#",2))+2)),Sheet1!$A$1:$B$40,2,FALSE)&amp;","&amp;VLOOKUP(RIGHT(Sheet1!V74,LEN(Sheet1!V74)-FIND("#",SUBSTITUTE(Sheet1!V74,", ","#",3))-1),Sheet1!$A$1:$B$40,2,FALSE),"")</f>
        <v/>
      </c>
      <c r="J28" s="6" t="str">
        <f>IF((LEN(Sheet1!V74)-LEN(SUBSTITUTE(Sheet1!V74,", ","")))/2=4,VLOOKUP(LEFT(Sheet1!V74,FIND(", ",Sheet1!V74)-1),Sheet1!$A$1:$B$40,2,FALSE)&amp;","&amp;VLOOKUP(MID(Sheet1!V74,FIND("#",SUBSTITUTE(Sheet1!V74,", ","#",1))+2,FIND("#",SUBSTITUTE(Sheet1!V74,", ","#",2))-(FIND("#",SUBSTITUTE(Sheet1!V74,", ","#",1))+2)),Sheet1!$A$1:$B$40,2,FALSE)&amp;","&amp;VLOOKUP(MID(Sheet1!V74,FIND("#",SUBSTITUTE(Sheet1!V74,", ","#",2))+2,FIND("#",SUBSTITUTE(Sheet1!V74,", ","#",3))-(FIND("#",SUBSTITUTE(Sheet1!V74,", ","#",2))+2)),Sheet1!$A$1:$B$40,2,FALSE)&amp;","&amp;VLOOKUP(MID(Sheet1!V74,FIND("#",SUBSTITUTE(Sheet1!V74,", ","#",3))+2,FIND("#",SUBSTITUTE(Sheet1!V74,", ","#",4))-(FIND("#",SUBSTITUTE(Sheet1!V74,", ","#",3))+2)),Sheet1!$A$1:$B$40,2,FALSE)&amp;","&amp;VLOOKUP(RIGHT(Sheet1!V74,LEN(Sheet1!V74)-FIND("#",SUBSTITUTE(Sheet1!V74,", ","#",4))-1),Sheet1!$A$1:$B$40,2,FALSE),"")</f>
        <v/>
      </c>
      <c r="K28" s="6" t="str">
        <f t="shared" si="3"/>
        <v/>
      </c>
      <c r="L28" s="6" t="str">
        <f>IFERROR(IF((LEN(Sheet1!AA74)-LEN(SUBSTITUTE(Sheet1!AA74,", ","")))/2=0,VLOOKUP(Sheet1!AA74,Sheet1!$A$1:$B$40,2,FALSE),""),"")</f>
        <v/>
      </c>
      <c r="M28" s="6" t="str">
        <f>IFERROR(IF((LEN(Sheet1!AA74)-LEN(SUBSTITUTE(Sheet1!AA74,", ","")))/2=1,VLOOKUP(LEFT(Sheet1!AA74,FIND(", ",Sheet1!AA74)-1),Sheet1!$A$1:$B$40,2,FALSE)&amp;","&amp;VLOOKUP(RIGHT(Sheet1!AA74,LEN(Sheet1!AA74)-FIND(", ",Sheet1!AA74)-1),Sheet1!$A$1:$B$40,2,FALSE),""),"")</f>
        <v/>
      </c>
      <c r="N28" s="6" t="str">
        <f t="shared" si="4"/>
        <v/>
      </c>
    </row>
    <row r="29" spans="1:14">
      <c r="A29" s="5" t="str">
        <f>IFERROR(IF((LEN(Sheet1!N75)-LEN(SUBSTITUTE(Sheet1!N75,", ","")))/2=0,VLOOKUP(Sheet1!N75,Sheet1!$A$1:$B$40,2,FALSE),""),"")</f>
        <v/>
      </c>
      <c r="B29" s="6" t="str">
        <f>IFERROR(IF((LEN(Sheet1!N75)-LEN(SUBSTITUTE(Sheet1!N75,", ","")))/2=1,VLOOKUP(LEFT(Sheet1!N75,FIND(", ",Sheet1!N75)-1),Sheet1!$A$1:$B$40,2,FALSE)&amp;","&amp;VLOOKUP(RIGHT(Sheet1!N75,LEN(Sheet1!N75)-FIND(", ",Sheet1!N75)-1),Sheet1!$A$1:$B$40,2,FALSE),""),"")</f>
        <v/>
      </c>
      <c r="C29" s="6" t="str">
        <f>IF((LEN(Sheet1!N75)-LEN(SUBSTITUTE(Sheet1!N75,", ","")))/2=2,VLOOKUP(LEFT(Sheet1!N75,FIND(", ",Sheet1!N75)-1),Sheet1!$A$1:$B$40,2,FALSE)&amp;","&amp;VLOOKUP(MID(Sheet1!N75,FIND("#",SUBSTITUTE(Sheet1!N75,", ","#",1))+2,FIND("#",SUBSTITUTE(Sheet1!N75,", ","#",2))-(FIND("#",SUBSTITUTE(Sheet1!N75,", ","#",1))+2)),Sheet1!$A$1:$B$40,2,FALSE)&amp;","&amp;VLOOKUP(RIGHT(Sheet1!N75,LEN(Sheet1!N75)-FIND("#",SUBSTITUTE(Sheet1!N75,", ","#",2))-1),Sheet1!$A$1:$B$40,2,FALSE),"")</f>
        <v/>
      </c>
      <c r="D29" s="6" t="str">
        <f>IF((LEN(Sheet1!N75)-LEN(SUBSTITUTE(Sheet1!N75,", ","")))/2=3,VLOOKUP(LEFT(Sheet1!N75,FIND(", ",Sheet1!N75)-1),Sheet1!$A$1:$B$40,2,FALSE)&amp;","&amp;VLOOKUP(MID(Sheet1!N75,FIND("#",SUBSTITUTE(Sheet1!N75,", ","#",1))+2,FIND("#",SUBSTITUTE(Sheet1!N75,", ","#",2))-(FIND("#",SUBSTITUTE(Sheet1!N75,", ","#",1))+2)),Sheet1!$A$1:$B$40,2,FALSE)&amp;","&amp;VLOOKUP(MID(Sheet1!N75,FIND("#",SUBSTITUTE(Sheet1!N75,", ","#",2))+2,FIND("#",SUBSTITUTE(Sheet1!N75,", ","#",3))-(FIND("#",SUBSTITUTE(Sheet1!N75,", ","#",2))+2)),Sheet1!$A$1:$B$40,2,FALSE)&amp;","&amp;VLOOKUP(RIGHT(Sheet1!N75,LEN(Sheet1!N75)-FIND("#",SUBSTITUTE(Sheet1!N75,", ","#",3))-1),Sheet1!$A$1:$B$40,2,FALSE),"")</f>
        <v/>
      </c>
      <c r="E29" s="6" t="str">
        <f t="shared" ref="E29:E50" si="5">A29&amp;B29&amp;C29&amp;D29</f>
        <v/>
      </c>
      <c r="F29" s="6" t="str">
        <f>IFERROR(IF((LEN(Sheet1!V75)-LEN(SUBSTITUTE(Sheet1!V75,", ","")))/2=0,VLOOKUP(Sheet1!V75,Sheet1!$A$1:$B$40,2,FALSE),""),"")</f>
        <v/>
      </c>
      <c r="G29" s="6" t="str">
        <f>IFERROR(IF((LEN(Sheet1!V75)-LEN(SUBSTITUTE(Sheet1!V75,", ","")))/2=1,VLOOKUP(LEFT(Sheet1!V75,FIND(", ",Sheet1!V75)-1),Sheet1!$A$1:$B$40,2,FALSE)&amp;","&amp;VLOOKUP(RIGHT(Sheet1!V75,LEN(Sheet1!V75)-FIND(", ",Sheet1!V75)-1),Sheet1!$A$1:$B$40,2,FALSE),""),"")</f>
        <v/>
      </c>
      <c r="H29" s="6" t="str">
        <f>IF((LEN(Sheet1!V75)-LEN(SUBSTITUTE(Sheet1!V75,", ","")))/2=2,VLOOKUP(LEFT(Sheet1!V75,FIND(", ",Sheet1!V75)-1),Sheet1!$A$1:$B$40,2,FALSE)&amp;","&amp;VLOOKUP(MID(Sheet1!V75,FIND("#",SUBSTITUTE(Sheet1!V75,", ","#",1))+2,FIND("#",SUBSTITUTE(Sheet1!V75,", ","#",2))-(FIND("#",SUBSTITUTE(Sheet1!V75,", ","#",1))+2)),Sheet1!$A$1:$B$40,2,FALSE)&amp;","&amp;VLOOKUP(RIGHT(Sheet1!V75,LEN(Sheet1!V75)-FIND("#",SUBSTITUTE(Sheet1!V75,", ","#",2))-1),Sheet1!$A$1:$B$40,2,FALSE),"")</f>
        <v/>
      </c>
      <c r="I29" s="6" t="str">
        <f>IF((LEN(Sheet1!V75)-LEN(SUBSTITUTE(Sheet1!V75,", ","")))/2=3,VLOOKUP(LEFT(Sheet1!V75,FIND(", ",Sheet1!V75)-1),Sheet1!$A$1:$B$40,2,FALSE)&amp;","&amp;VLOOKUP(MID(Sheet1!V75,FIND("#",SUBSTITUTE(Sheet1!V75,", ","#",1))+2,FIND("#",SUBSTITUTE(Sheet1!V75,", ","#",2))-(FIND("#",SUBSTITUTE(Sheet1!V75,", ","#",1))+2)),Sheet1!$A$1:$B$40,2,FALSE)&amp;","&amp;VLOOKUP(MID(Sheet1!V75,FIND("#",SUBSTITUTE(Sheet1!V75,", ","#",2))+2,FIND("#",SUBSTITUTE(Sheet1!V75,", ","#",3))-(FIND("#",SUBSTITUTE(Sheet1!V75,", ","#",2))+2)),Sheet1!$A$1:$B$40,2,FALSE)&amp;","&amp;VLOOKUP(RIGHT(Sheet1!V75,LEN(Sheet1!V75)-FIND("#",SUBSTITUTE(Sheet1!V75,", ","#",3))-1),Sheet1!$A$1:$B$40,2,FALSE),"")</f>
        <v/>
      </c>
      <c r="J29" s="6" t="str">
        <f>IF((LEN(Sheet1!V75)-LEN(SUBSTITUTE(Sheet1!V75,", ","")))/2=4,VLOOKUP(LEFT(Sheet1!V75,FIND(", ",Sheet1!V75)-1),Sheet1!$A$1:$B$40,2,FALSE)&amp;","&amp;VLOOKUP(MID(Sheet1!V75,FIND("#",SUBSTITUTE(Sheet1!V75,", ","#",1))+2,FIND("#",SUBSTITUTE(Sheet1!V75,", ","#",2))-(FIND("#",SUBSTITUTE(Sheet1!V75,", ","#",1))+2)),Sheet1!$A$1:$B$40,2,FALSE)&amp;","&amp;VLOOKUP(MID(Sheet1!V75,FIND("#",SUBSTITUTE(Sheet1!V75,", ","#",2))+2,FIND("#",SUBSTITUTE(Sheet1!V75,", ","#",3))-(FIND("#",SUBSTITUTE(Sheet1!V75,", ","#",2))+2)),Sheet1!$A$1:$B$40,2,FALSE)&amp;","&amp;VLOOKUP(MID(Sheet1!V75,FIND("#",SUBSTITUTE(Sheet1!V75,", ","#",3))+2,FIND("#",SUBSTITUTE(Sheet1!V75,", ","#",4))-(FIND("#",SUBSTITUTE(Sheet1!V75,", ","#",3))+2)),Sheet1!$A$1:$B$40,2,FALSE)&amp;","&amp;VLOOKUP(RIGHT(Sheet1!V75,LEN(Sheet1!V75)-FIND("#",SUBSTITUTE(Sheet1!V75,", ","#",4))-1),Sheet1!$A$1:$B$40,2,FALSE),"")</f>
        <v/>
      </c>
      <c r="K29" s="6" t="str">
        <f t="shared" si="3"/>
        <v/>
      </c>
      <c r="L29" s="6" t="str">
        <f>IFERROR(IF((LEN(Sheet1!AA75)-LEN(SUBSTITUTE(Sheet1!AA75,", ","")))/2=0,VLOOKUP(Sheet1!AA75,Sheet1!$A$1:$B$40,2,FALSE),""),"")</f>
        <v/>
      </c>
      <c r="M29" s="6" t="str">
        <f>IFERROR(IF((LEN(Sheet1!AA75)-LEN(SUBSTITUTE(Sheet1!AA75,", ","")))/2=1,VLOOKUP(LEFT(Sheet1!AA75,FIND(", ",Sheet1!AA75)-1),Sheet1!$A$1:$B$40,2,FALSE)&amp;","&amp;VLOOKUP(RIGHT(Sheet1!AA75,LEN(Sheet1!AA75)-FIND(", ",Sheet1!AA75)-1),Sheet1!$A$1:$B$40,2,FALSE),""),"")</f>
        <v/>
      </c>
      <c r="N29" s="6" t="str">
        <f t="shared" si="4"/>
        <v/>
      </c>
    </row>
    <row r="30" spans="1:14">
      <c r="A30" s="5" t="str">
        <f>IFERROR(IF((LEN(Sheet1!N76)-LEN(SUBSTITUTE(Sheet1!N76,", ","")))/2=0,VLOOKUP(Sheet1!N76,Sheet1!$A$1:$B$40,2,FALSE),""),"")</f>
        <v/>
      </c>
      <c r="B30" s="6" t="str">
        <f>IFERROR(IF((LEN(Sheet1!N76)-LEN(SUBSTITUTE(Sheet1!N76,", ","")))/2=1,VLOOKUP(LEFT(Sheet1!N76,FIND(", ",Sheet1!N76)-1),Sheet1!$A$1:$B$40,2,FALSE)&amp;","&amp;VLOOKUP(RIGHT(Sheet1!N76,LEN(Sheet1!N76)-FIND(", ",Sheet1!N76)-1),Sheet1!$A$1:$B$40,2,FALSE),""),"")</f>
        <v/>
      </c>
      <c r="C30" s="6" t="str">
        <f>IF((LEN(Sheet1!N76)-LEN(SUBSTITUTE(Sheet1!N76,", ","")))/2=2,VLOOKUP(LEFT(Sheet1!N76,FIND(", ",Sheet1!N76)-1),Sheet1!$A$1:$B$40,2,FALSE)&amp;","&amp;VLOOKUP(MID(Sheet1!N76,FIND("#",SUBSTITUTE(Sheet1!N76,", ","#",1))+2,FIND("#",SUBSTITUTE(Sheet1!N76,", ","#",2))-(FIND("#",SUBSTITUTE(Sheet1!N76,", ","#",1))+2)),Sheet1!$A$1:$B$40,2,FALSE)&amp;","&amp;VLOOKUP(RIGHT(Sheet1!N76,LEN(Sheet1!N76)-FIND("#",SUBSTITUTE(Sheet1!N76,", ","#",2))-1),Sheet1!$A$1:$B$40,2,FALSE),"")</f>
        <v/>
      </c>
      <c r="D30" s="6" t="str">
        <f>IF((LEN(Sheet1!N76)-LEN(SUBSTITUTE(Sheet1!N76,", ","")))/2=3,VLOOKUP(LEFT(Sheet1!N76,FIND(", ",Sheet1!N76)-1),Sheet1!$A$1:$B$40,2,FALSE)&amp;","&amp;VLOOKUP(MID(Sheet1!N76,FIND("#",SUBSTITUTE(Sheet1!N76,", ","#",1))+2,FIND("#",SUBSTITUTE(Sheet1!N76,", ","#",2))-(FIND("#",SUBSTITUTE(Sheet1!N76,", ","#",1))+2)),Sheet1!$A$1:$B$40,2,FALSE)&amp;","&amp;VLOOKUP(MID(Sheet1!N76,FIND("#",SUBSTITUTE(Sheet1!N76,", ","#",2))+2,FIND("#",SUBSTITUTE(Sheet1!N76,", ","#",3))-(FIND("#",SUBSTITUTE(Sheet1!N76,", ","#",2))+2)),Sheet1!$A$1:$B$40,2,FALSE)&amp;","&amp;VLOOKUP(RIGHT(Sheet1!N76,LEN(Sheet1!N76)-FIND("#",SUBSTITUTE(Sheet1!N76,", ","#",3))-1),Sheet1!$A$1:$B$40,2,FALSE),"")</f>
        <v/>
      </c>
      <c r="E30" s="6" t="str">
        <f t="shared" si="5"/>
        <v/>
      </c>
      <c r="F30" s="6" t="str">
        <f>IFERROR(IF((LEN(Sheet1!V76)-LEN(SUBSTITUTE(Sheet1!V76,", ","")))/2=0,VLOOKUP(Sheet1!V76,Sheet1!$A$1:$B$40,2,FALSE),""),"")</f>
        <v/>
      </c>
      <c r="G30" s="6" t="str">
        <f>IFERROR(IF((LEN(Sheet1!V76)-LEN(SUBSTITUTE(Sheet1!V76,", ","")))/2=1,VLOOKUP(LEFT(Sheet1!V76,FIND(", ",Sheet1!V76)-1),Sheet1!$A$1:$B$40,2,FALSE)&amp;","&amp;VLOOKUP(RIGHT(Sheet1!V76,LEN(Sheet1!V76)-FIND(", ",Sheet1!V76)-1),Sheet1!$A$1:$B$40,2,FALSE),""),"")</f>
        <v/>
      </c>
      <c r="H30" s="6" t="str">
        <f>IF((LEN(Sheet1!V76)-LEN(SUBSTITUTE(Sheet1!V76,", ","")))/2=2,VLOOKUP(LEFT(Sheet1!V76,FIND(", ",Sheet1!V76)-1),Sheet1!$A$1:$B$40,2,FALSE)&amp;","&amp;VLOOKUP(MID(Sheet1!V76,FIND("#",SUBSTITUTE(Sheet1!V76,", ","#",1))+2,FIND("#",SUBSTITUTE(Sheet1!V76,", ","#",2))-(FIND("#",SUBSTITUTE(Sheet1!V76,", ","#",1))+2)),Sheet1!$A$1:$B$40,2,FALSE)&amp;","&amp;VLOOKUP(RIGHT(Sheet1!V76,LEN(Sheet1!V76)-FIND("#",SUBSTITUTE(Sheet1!V76,", ","#",2))-1),Sheet1!$A$1:$B$40,2,FALSE),"")</f>
        <v/>
      </c>
      <c r="I30" s="6" t="str">
        <f>IF((LEN(Sheet1!V76)-LEN(SUBSTITUTE(Sheet1!V76,", ","")))/2=3,VLOOKUP(LEFT(Sheet1!V76,FIND(", ",Sheet1!V76)-1),Sheet1!$A$1:$B$40,2,FALSE)&amp;","&amp;VLOOKUP(MID(Sheet1!V76,FIND("#",SUBSTITUTE(Sheet1!V76,", ","#",1))+2,FIND("#",SUBSTITUTE(Sheet1!V76,", ","#",2))-(FIND("#",SUBSTITUTE(Sheet1!V76,", ","#",1))+2)),Sheet1!$A$1:$B$40,2,FALSE)&amp;","&amp;VLOOKUP(MID(Sheet1!V76,FIND("#",SUBSTITUTE(Sheet1!V76,", ","#",2))+2,FIND("#",SUBSTITUTE(Sheet1!V76,", ","#",3))-(FIND("#",SUBSTITUTE(Sheet1!V76,", ","#",2))+2)),Sheet1!$A$1:$B$40,2,FALSE)&amp;","&amp;VLOOKUP(RIGHT(Sheet1!V76,LEN(Sheet1!V76)-FIND("#",SUBSTITUTE(Sheet1!V76,", ","#",3))-1),Sheet1!$A$1:$B$40,2,FALSE),"")</f>
        <v/>
      </c>
      <c r="J30" s="6" t="str">
        <f>IF((LEN(Sheet1!V76)-LEN(SUBSTITUTE(Sheet1!V76,", ","")))/2=4,VLOOKUP(LEFT(Sheet1!V76,FIND(", ",Sheet1!V76)-1),Sheet1!$A$1:$B$40,2,FALSE)&amp;","&amp;VLOOKUP(MID(Sheet1!V76,FIND("#",SUBSTITUTE(Sheet1!V76,", ","#",1))+2,FIND("#",SUBSTITUTE(Sheet1!V76,", ","#",2))-(FIND("#",SUBSTITUTE(Sheet1!V76,", ","#",1))+2)),Sheet1!$A$1:$B$40,2,FALSE)&amp;","&amp;VLOOKUP(MID(Sheet1!V76,FIND("#",SUBSTITUTE(Sheet1!V76,", ","#",2))+2,FIND("#",SUBSTITUTE(Sheet1!V76,", ","#",3))-(FIND("#",SUBSTITUTE(Sheet1!V76,", ","#",2))+2)),Sheet1!$A$1:$B$40,2,FALSE)&amp;","&amp;VLOOKUP(MID(Sheet1!V76,FIND("#",SUBSTITUTE(Sheet1!V76,", ","#",3))+2,FIND("#",SUBSTITUTE(Sheet1!V76,", ","#",4))-(FIND("#",SUBSTITUTE(Sheet1!V76,", ","#",3))+2)),Sheet1!$A$1:$B$40,2,FALSE)&amp;","&amp;VLOOKUP(RIGHT(Sheet1!V76,LEN(Sheet1!V76)-FIND("#",SUBSTITUTE(Sheet1!V76,", ","#",4))-1),Sheet1!$A$1:$B$40,2,FALSE),"")</f>
        <v/>
      </c>
      <c r="K30" s="6" t="str">
        <f t="shared" si="3"/>
        <v/>
      </c>
      <c r="L30" s="6" t="str">
        <f>IFERROR(IF((LEN(Sheet1!AA76)-LEN(SUBSTITUTE(Sheet1!AA76,", ","")))/2=0,VLOOKUP(Sheet1!AA76,Sheet1!$A$1:$B$40,2,FALSE),""),"")</f>
        <v/>
      </c>
      <c r="M30" s="6" t="str">
        <f>IFERROR(IF((LEN(Sheet1!AA76)-LEN(SUBSTITUTE(Sheet1!AA76,", ","")))/2=1,VLOOKUP(LEFT(Sheet1!AA76,FIND(", ",Sheet1!AA76)-1),Sheet1!$A$1:$B$40,2,FALSE)&amp;","&amp;VLOOKUP(RIGHT(Sheet1!AA76,LEN(Sheet1!AA76)-FIND(", ",Sheet1!AA76)-1),Sheet1!$A$1:$B$40,2,FALSE),""),"")</f>
        <v/>
      </c>
      <c r="N30" s="6" t="str">
        <f t="shared" si="4"/>
        <v/>
      </c>
    </row>
    <row r="31" spans="1:14">
      <c r="A31" s="5" t="str">
        <f>IFERROR(IF((LEN(Sheet1!N77)-LEN(SUBSTITUTE(Sheet1!N77,", ","")))/2=0,VLOOKUP(Sheet1!N77,Sheet1!$A$1:$B$40,2,FALSE),""),"")</f>
        <v/>
      </c>
      <c r="B31" s="6" t="str">
        <f>IFERROR(IF((LEN(Sheet1!N77)-LEN(SUBSTITUTE(Sheet1!N77,", ","")))/2=1,VLOOKUP(LEFT(Sheet1!N77,FIND(", ",Sheet1!N77)-1),Sheet1!$A$1:$B$40,2,FALSE)&amp;","&amp;VLOOKUP(RIGHT(Sheet1!N77,LEN(Sheet1!N77)-FIND(", ",Sheet1!N77)-1),Sheet1!$A$1:$B$40,2,FALSE),""),"")</f>
        <v/>
      </c>
      <c r="C31" s="6" t="str">
        <f>IF((LEN(Sheet1!N77)-LEN(SUBSTITUTE(Sheet1!N77,", ","")))/2=2,VLOOKUP(LEFT(Sheet1!N77,FIND(", ",Sheet1!N77)-1),Sheet1!$A$1:$B$40,2,FALSE)&amp;","&amp;VLOOKUP(MID(Sheet1!N77,FIND("#",SUBSTITUTE(Sheet1!N77,", ","#",1))+2,FIND("#",SUBSTITUTE(Sheet1!N77,", ","#",2))-(FIND("#",SUBSTITUTE(Sheet1!N77,", ","#",1))+2)),Sheet1!$A$1:$B$40,2,FALSE)&amp;","&amp;VLOOKUP(RIGHT(Sheet1!N77,LEN(Sheet1!N77)-FIND("#",SUBSTITUTE(Sheet1!N77,", ","#",2))-1),Sheet1!$A$1:$B$40,2,FALSE),"")</f>
        <v/>
      </c>
      <c r="D31" s="6" t="str">
        <f>IF((LEN(Sheet1!N77)-LEN(SUBSTITUTE(Sheet1!N77,", ","")))/2=3,VLOOKUP(LEFT(Sheet1!N77,FIND(", ",Sheet1!N77)-1),Sheet1!$A$1:$B$40,2,FALSE)&amp;","&amp;VLOOKUP(MID(Sheet1!N77,FIND("#",SUBSTITUTE(Sheet1!N77,", ","#",1))+2,FIND("#",SUBSTITUTE(Sheet1!N77,", ","#",2))-(FIND("#",SUBSTITUTE(Sheet1!N77,", ","#",1))+2)),Sheet1!$A$1:$B$40,2,FALSE)&amp;","&amp;VLOOKUP(MID(Sheet1!N77,FIND("#",SUBSTITUTE(Sheet1!N77,", ","#",2))+2,FIND("#",SUBSTITUTE(Sheet1!N77,", ","#",3))-(FIND("#",SUBSTITUTE(Sheet1!N77,", ","#",2))+2)),Sheet1!$A$1:$B$40,2,FALSE)&amp;","&amp;VLOOKUP(RIGHT(Sheet1!N77,LEN(Sheet1!N77)-FIND("#",SUBSTITUTE(Sheet1!N77,", ","#",3))-1),Sheet1!$A$1:$B$40,2,FALSE),"")</f>
        <v/>
      </c>
      <c r="E31" s="6" t="str">
        <f t="shared" si="5"/>
        <v/>
      </c>
      <c r="F31" s="6" t="str">
        <f>IFERROR(IF((LEN(Sheet1!V77)-LEN(SUBSTITUTE(Sheet1!V77,", ","")))/2=0,VLOOKUP(Sheet1!V77,Sheet1!$A$1:$B$40,2,FALSE),""),"")</f>
        <v/>
      </c>
      <c r="G31" s="6" t="str">
        <f>IFERROR(IF((LEN(Sheet1!V77)-LEN(SUBSTITUTE(Sheet1!V77,", ","")))/2=1,VLOOKUP(LEFT(Sheet1!V77,FIND(", ",Sheet1!V77)-1),Sheet1!$A$1:$B$40,2,FALSE)&amp;","&amp;VLOOKUP(RIGHT(Sheet1!V77,LEN(Sheet1!V77)-FIND(", ",Sheet1!V77)-1),Sheet1!$A$1:$B$40,2,FALSE),""),"")</f>
        <v/>
      </c>
      <c r="H31" s="6" t="str">
        <f>IF((LEN(Sheet1!V77)-LEN(SUBSTITUTE(Sheet1!V77,", ","")))/2=2,VLOOKUP(LEFT(Sheet1!V77,FIND(", ",Sheet1!V77)-1),Sheet1!$A$1:$B$40,2,FALSE)&amp;","&amp;VLOOKUP(MID(Sheet1!V77,FIND("#",SUBSTITUTE(Sheet1!V77,", ","#",1))+2,FIND("#",SUBSTITUTE(Sheet1!V77,", ","#",2))-(FIND("#",SUBSTITUTE(Sheet1!V77,", ","#",1))+2)),Sheet1!$A$1:$B$40,2,FALSE)&amp;","&amp;VLOOKUP(RIGHT(Sheet1!V77,LEN(Sheet1!V77)-FIND("#",SUBSTITUTE(Sheet1!V77,", ","#",2))-1),Sheet1!$A$1:$B$40,2,FALSE),"")</f>
        <v/>
      </c>
      <c r="I31" s="6" t="str">
        <f>IF((LEN(Sheet1!V77)-LEN(SUBSTITUTE(Sheet1!V77,", ","")))/2=3,VLOOKUP(LEFT(Sheet1!V77,FIND(", ",Sheet1!V77)-1),Sheet1!$A$1:$B$40,2,FALSE)&amp;","&amp;VLOOKUP(MID(Sheet1!V77,FIND("#",SUBSTITUTE(Sheet1!V77,", ","#",1))+2,FIND("#",SUBSTITUTE(Sheet1!V77,", ","#",2))-(FIND("#",SUBSTITUTE(Sheet1!V77,", ","#",1))+2)),Sheet1!$A$1:$B$40,2,FALSE)&amp;","&amp;VLOOKUP(MID(Sheet1!V77,FIND("#",SUBSTITUTE(Sheet1!V77,", ","#",2))+2,FIND("#",SUBSTITUTE(Sheet1!V77,", ","#",3))-(FIND("#",SUBSTITUTE(Sheet1!V77,", ","#",2))+2)),Sheet1!$A$1:$B$40,2,FALSE)&amp;","&amp;VLOOKUP(RIGHT(Sheet1!V77,LEN(Sheet1!V77)-FIND("#",SUBSTITUTE(Sheet1!V77,", ","#",3))-1),Sheet1!$A$1:$B$40,2,FALSE),"")</f>
        <v/>
      </c>
      <c r="J31" s="6" t="str">
        <f>IF((LEN(Sheet1!V77)-LEN(SUBSTITUTE(Sheet1!V77,", ","")))/2=4,VLOOKUP(LEFT(Sheet1!V77,FIND(", ",Sheet1!V77)-1),Sheet1!$A$1:$B$40,2,FALSE)&amp;","&amp;VLOOKUP(MID(Sheet1!V77,FIND("#",SUBSTITUTE(Sheet1!V77,", ","#",1))+2,FIND("#",SUBSTITUTE(Sheet1!V77,", ","#",2))-(FIND("#",SUBSTITUTE(Sheet1!V77,", ","#",1))+2)),Sheet1!$A$1:$B$40,2,FALSE)&amp;","&amp;VLOOKUP(MID(Sheet1!V77,FIND("#",SUBSTITUTE(Sheet1!V77,", ","#",2))+2,FIND("#",SUBSTITUTE(Sheet1!V77,", ","#",3))-(FIND("#",SUBSTITUTE(Sheet1!V77,", ","#",2))+2)),Sheet1!$A$1:$B$40,2,FALSE)&amp;","&amp;VLOOKUP(MID(Sheet1!V77,FIND("#",SUBSTITUTE(Sheet1!V77,", ","#",3))+2,FIND("#",SUBSTITUTE(Sheet1!V77,", ","#",4))-(FIND("#",SUBSTITUTE(Sheet1!V77,", ","#",3))+2)),Sheet1!$A$1:$B$40,2,FALSE)&amp;","&amp;VLOOKUP(RIGHT(Sheet1!V77,LEN(Sheet1!V77)-FIND("#",SUBSTITUTE(Sheet1!V77,", ","#",4))-1),Sheet1!$A$1:$B$40,2,FALSE),"")</f>
        <v/>
      </c>
      <c r="K31" s="6" t="str">
        <f t="shared" si="3"/>
        <v/>
      </c>
      <c r="L31" s="6" t="str">
        <f>IFERROR(IF((LEN(Sheet1!AA77)-LEN(SUBSTITUTE(Sheet1!AA77,", ","")))/2=0,VLOOKUP(Sheet1!AA77,Sheet1!$A$1:$B$40,2,FALSE),""),"")</f>
        <v/>
      </c>
      <c r="M31" s="6" t="str">
        <f>IFERROR(IF((LEN(Sheet1!AA77)-LEN(SUBSTITUTE(Sheet1!AA77,", ","")))/2=1,VLOOKUP(LEFT(Sheet1!AA77,FIND(", ",Sheet1!AA77)-1),Sheet1!$A$1:$B$40,2,FALSE)&amp;","&amp;VLOOKUP(RIGHT(Sheet1!AA77,LEN(Sheet1!AA77)-FIND(", ",Sheet1!AA77)-1),Sheet1!$A$1:$B$40,2,FALSE),""),"")</f>
        <v/>
      </c>
      <c r="N31" s="6" t="str">
        <f t="shared" si="4"/>
        <v/>
      </c>
    </row>
    <row r="32" spans="1:14">
      <c r="A32" s="5" t="str">
        <f>IFERROR(IF((LEN(Sheet1!N78)-LEN(SUBSTITUTE(Sheet1!N78,", ","")))/2=0,VLOOKUP(Sheet1!N78,Sheet1!$A$1:$B$40,2,FALSE),""),"")</f>
        <v/>
      </c>
      <c r="B32" s="6" t="str">
        <f>IFERROR(IF((LEN(Sheet1!N78)-LEN(SUBSTITUTE(Sheet1!N78,", ","")))/2=1,VLOOKUP(LEFT(Sheet1!N78,FIND(", ",Sheet1!N78)-1),Sheet1!$A$1:$B$40,2,FALSE)&amp;","&amp;VLOOKUP(RIGHT(Sheet1!N78,LEN(Sheet1!N78)-FIND(", ",Sheet1!N78)-1),Sheet1!$A$1:$B$40,2,FALSE),""),"")</f>
        <v/>
      </c>
      <c r="C32" s="6" t="str">
        <f>IF((LEN(Sheet1!N78)-LEN(SUBSTITUTE(Sheet1!N78,", ","")))/2=2,VLOOKUP(LEFT(Sheet1!N78,FIND(", ",Sheet1!N78)-1),Sheet1!$A$1:$B$40,2,FALSE)&amp;","&amp;VLOOKUP(MID(Sheet1!N78,FIND("#",SUBSTITUTE(Sheet1!N78,", ","#",1))+2,FIND("#",SUBSTITUTE(Sheet1!N78,", ","#",2))-(FIND("#",SUBSTITUTE(Sheet1!N78,", ","#",1))+2)),Sheet1!$A$1:$B$40,2,FALSE)&amp;","&amp;VLOOKUP(RIGHT(Sheet1!N78,LEN(Sheet1!N78)-FIND("#",SUBSTITUTE(Sheet1!N78,", ","#",2))-1),Sheet1!$A$1:$B$40,2,FALSE),"")</f>
        <v/>
      </c>
      <c r="D32" s="6" t="str">
        <f>IF((LEN(Sheet1!N78)-LEN(SUBSTITUTE(Sheet1!N78,", ","")))/2=3,VLOOKUP(LEFT(Sheet1!N78,FIND(", ",Sheet1!N78)-1),Sheet1!$A$1:$B$40,2,FALSE)&amp;","&amp;VLOOKUP(MID(Sheet1!N78,FIND("#",SUBSTITUTE(Sheet1!N78,", ","#",1))+2,FIND("#",SUBSTITUTE(Sheet1!N78,", ","#",2))-(FIND("#",SUBSTITUTE(Sheet1!N78,", ","#",1))+2)),Sheet1!$A$1:$B$40,2,FALSE)&amp;","&amp;VLOOKUP(MID(Sheet1!N78,FIND("#",SUBSTITUTE(Sheet1!N78,", ","#",2))+2,FIND("#",SUBSTITUTE(Sheet1!N78,", ","#",3))-(FIND("#",SUBSTITUTE(Sheet1!N78,", ","#",2))+2)),Sheet1!$A$1:$B$40,2,FALSE)&amp;","&amp;VLOOKUP(RIGHT(Sheet1!N78,LEN(Sheet1!N78)-FIND("#",SUBSTITUTE(Sheet1!N78,", ","#",3))-1),Sheet1!$A$1:$B$40,2,FALSE),"")</f>
        <v/>
      </c>
      <c r="E32" s="6" t="str">
        <f t="shared" si="5"/>
        <v/>
      </c>
      <c r="F32" s="6" t="str">
        <f>IFERROR(IF((LEN(Sheet1!V78)-LEN(SUBSTITUTE(Sheet1!V78,", ","")))/2=0,VLOOKUP(Sheet1!V78,Sheet1!$A$1:$B$40,2,FALSE),""),"")</f>
        <v/>
      </c>
      <c r="G32" s="6" t="str">
        <f>IFERROR(IF((LEN(Sheet1!V78)-LEN(SUBSTITUTE(Sheet1!V78,", ","")))/2=1,VLOOKUP(LEFT(Sheet1!V78,FIND(", ",Sheet1!V78)-1),Sheet1!$A$1:$B$40,2,FALSE)&amp;","&amp;VLOOKUP(RIGHT(Sheet1!V78,LEN(Sheet1!V78)-FIND(", ",Sheet1!V78)-1),Sheet1!$A$1:$B$40,2,FALSE),""),"")</f>
        <v/>
      </c>
      <c r="H32" s="6" t="str">
        <f>IF((LEN(Sheet1!V78)-LEN(SUBSTITUTE(Sheet1!V78,", ","")))/2=2,VLOOKUP(LEFT(Sheet1!V78,FIND(", ",Sheet1!V78)-1),Sheet1!$A$1:$B$40,2,FALSE)&amp;","&amp;VLOOKUP(MID(Sheet1!V78,FIND("#",SUBSTITUTE(Sheet1!V78,", ","#",1))+2,FIND("#",SUBSTITUTE(Sheet1!V78,", ","#",2))-(FIND("#",SUBSTITUTE(Sheet1!V78,", ","#",1))+2)),Sheet1!$A$1:$B$40,2,FALSE)&amp;","&amp;VLOOKUP(RIGHT(Sheet1!V78,LEN(Sheet1!V78)-FIND("#",SUBSTITUTE(Sheet1!V78,", ","#",2))-1),Sheet1!$A$1:$B$40,2,FALSE),"")</f>
        <v/>
      </c>
      <c r="I32" s="6" t="str">
        <f>IF((LEN(Sheet1!V78)-LEN(SUBSTITUTE(Sheet1!V78,", ","")))/2=3,VLOOKUP(LEFT(Sheet1!V78,FIND(", ",Sheet1!V78)-1),Sheet1!$A$1:$B$40,2,FALSE)&amp;","&amp;VLOOKUP(MID(Sheet1!V78,FIND("#",SUBSTITUTE(Sheet1!V78,", ","#",1))+2,FIND("#",SUBSTITUTE(Sheet1!V78,", ","#",2))-(FIND("#",SUBSTITUTE(Sheet1!V78,", ","#",1))+2)),Sheet1!$A$1:$B$40,2,FALSE)&amp;","&amp;VLOOKUP(MID(Sheet1!V78,FIND("#",SUBSTITUTE(Sheet1!V78,", ","#",2))+2,FIND("#",SUBSTITUTE(Sheet1!V78,", ","#",3))-(FIND("#",SUBSTITUTE(Sheet1!V78,", ","#",2))+2)),Sheet1!$A$1:$B$40,2,FALSE)&amp;","&amp;VLOOKUP(RIGHT(Sheet1!V78,LEN(Sheet1!V78)-FIND("#",SUBSTITUTE(Sheet1!V78,", ","#",3))-1),Sheet1!$A$1:$B$40,2,FALSE),"")</f>
        <v/>
      </c>
      <c r="J32" s="6" t="str">
        <f>IF((LEN(Sheet1!V78)-LEN(SUBSTITUTE(Sheet1!V78,", ","")))/2=4,VLOOKUP(LEFT(Sheet1!V78,FIND(", ",Sheet1!V78)-1),Sheet1!$A$1:$B$40,2,FALSE)&amp;","&amp;VLOOKUP(MID(Sheet1!V78,FIND("#",SUBSTITUTE(Sheet1!V78,", ","#",1))+2,FIND("#",SUBSTITUTE(Sheet1!V78,", ","#",2))-(FIND("#",SUBSTITUTE(Sheet1!V78,", ","#",1))+2)),Sheet1!$A$1:$B$40,2,FALSE)&amp;","&amp;VLOOKUP(MID(Sheet1!V78,FIND("#",SUBSTITUTE(Sheet1!V78,", ","#",2))+2,FIND("#",SUBSTITUTE(Sheet1!V78,", ","#",3))-(FIND("#",SUBSTITUTE(Sheet1!V78,", ","#",2))+2)),Sheet1!$A$1:$B$40,2,FALSE)&amp;","&amp;VLOOKUP(MID(Sheet1!V78,FIND("#",SUBSTITUTE(Sheet1!V78,", ","#",3))+2,FIND("#",SUBSTITUTE(Sheet1!V78,", ","#",4))-(FIND("#",SUBSTITUTE(Sheet1!V78,", ","#",3))+2)),Sheet1!$A$1:$B$40,2,FALSE)&amp;","&amp;VLOOKUP(RIGHT(Sheet1!V78,LEN(Sheet1!V78)-FIND("#",SUBSTITUTE(Sheet1!V78,", ","#",4))-1),Sheet1!$A$1:$B$40,2,FALSE),"")</f>
        <v/>
      </c>
      <c r="K32" s="6" t="str">
        <f t="shared" si="3"/>
        <v/>
      </c>
      <c r="L32" s="6" t="str">
        <f>IFERROR(IF((LEN(Sheet1!AA78)-LEN(SUBSTITUTE(Sheet1!AA78,", ","")))/2=0,VLOOKUP(Sheet1!AA78,Sheet1!$A$1:$B$40,2,FALSE),""),"")</f>
        <v/>
      </c>
      <c r="M32" s="6" t="str">
        <f>IFERROR(IF((LEN(Sheet1!AA78)-LEN(SUBSTITUTE(Sheet1!AA78,", ","")))/2=1,VLOOKUP(LEFT(Sheet1!AA78,FIND(", ",Sheet1!AA78)-1),Sheet1!$A$1:$B$40,2,FALSE)&amp;","&amp;VLOOKUP(RIGHT(Sheet1!AA78,LEN(Sheet1!AA78)-FIND(", ",Sheet1!AA78)-1),Sheet1!$A$1:$B$40,2,FALSE),""),"")</f>
        <v/>
      </c>
      <c r="N32" s="6" t="str">
        <f t="shared" si="4"/>
        <v/>
      </c>
    </row>
    <row r="33" spans="1:14">
      <c r="A33" s="5" t="str">
        <f>IFERROR(IF((LEN(Sheet1!N79)-LEN(SUBSTITUTE(Sheet1!N79,", ","")))/2=0,VLOOKUP(Sheet1!N79,Sheet1!$A$1:$B$40,2,FALSE),""),"")</f>
        <v/>
      </c>
      <c r="B33" s="6" t="str">
        <f>IFERROR(IF((LEN(Sheet1!N79)-LEN(SUBSTITUTE(Sheet1!N79,", ","")))/2=1,VLOOKUP(LEFT(Sheet1!N79,FIND(", ",Sheet1!N79)-1),Sheet1!$A$1:$B$40,2,FALSE)&amp;","&amp;VLOOKUP(RIGHT(Sheet1!N79,LEN(Sheet1!N79)-FIND(", ",Sheet1!N79)-1),Sheet1!$A$1:$B$40,2,FALSE),""),"")</f>
        <v/>
      </c>
      <c r="C33" s="6" t="str">
        <f>IF((LEN(Sheet1!N79)-LEN(SUBSTITUTE(Sheet1!N79,", ","")))/2=2,VLOOKUP(LEFT(Sheet1!N79,FIND(", ",Sheet1!N79)-1),Sheet1!$A$1:$B$40,2,FALSE)&amp;","&amp;VLOOKUP(MID(Sheet1!N79,FIND("#",SUBSTITUTE(Sheet1!N79,", ","#",1))+2,FIND("#",SUBSTITUTE(Sheet1!N79,", ","#",2))-(FIND("#",SUBSTITUTE(Sheet1!N79,", ","#",1))+2)),Sheet1!$A$1:$B$40,2,FALSE)&amp;","&amp;VLOOKUP(RIGHT(Sheet1!N79,LEN(Sheet1!N79)-FIND("#",SUBSTITUTE(Sheet1!N79,", ","#",2))-1),Sheet1!$A$1:$B$40,2,FALSE),"")</f>
        <v/>
      </c>
      <c r="D33" s="6" t="str">
        <f>IF((LEN(Sheet1!N79)-LEN(SUBSTITUTE(Sheet1!N79,", ","")))/2=3,VLOOKUP(LEFT(Sheet1!N79,FIND(", ",Sheet1!N79)-1),Sheet1!$A$1:$B$40,2,FALSE)&amp;","&amp;VLOOKUP(MID(Sheet1!N79,FIND("#",SUBSTITUTE(Sheet1!N79,", ","#",1))+2,FIND("#",SUBSTITUTE(Sheet1!N79,", ","#",2))-(FIND("#",SUBSTITUTE(Sheet1!N79,", ","#",1))+2)),Sheet1!$A$1:$B$40,2,FALSE)&amp;","&amp;VLOOKUP(MID(Sheet1!N79,FIND("#",SUBSTITUTE(Sheet1!N79,", ","#",2))+2,FIND("#",SUBSTITUTE(Sheet1!N79,", ","#",3))-(FIND("#",SUBSTITUTE(Sheet1!N79,", ","#",2))+2)),Sheet1!$A$1:$B$40,2,FALSE)&amp;","&amp;VLOOKUP(RIGHT(Sheet1!N79,LEN(Sheet1!N79)-FIND("#",SUBSTITUTE(Sheet1!N79,", ","#",3))-1),Sheet1!$A$1:$B$40,2,FALSE),"")</f>
        <v/>
      </c>
      <c r="E33" s="6" t="str">
        <f t="shared" si="5"/>
        <v/>
      </c>
      <c r="F33" s="6" t="str">
        <f>IFERROR(IF((LEN(Sheet1!V79)-LEN(SUBSTITUTE(Sheet1!V79,", ","")))/2=0,VLOOKUP(Sheet1!V79,Sheet1!$A$1:$B$40,2,FALSE),""),"")</f>
        <v/>
      </c>
      <c r="G33" s="6" t="str">
        <f>IFERROR(IF((LEN(Sheet1!V79)-LEN(SUBSTITUTE(Sheet1!V79,", ","")))/2=1,VLOOKUP(LEFT(Sheet1!V79,FIND(", ",Sheet1!V79)-1),Sheet1!$A$1:$B$40,2,FALSE)&amp;","&amp;VLOOKUP(RIGHT(Sheet1!V79,LEN(Sheet1!V79)-FIND(", ",Sheet1!V79)-1),Sheet1!$A$1:$B$40,2,FALSE),""),"")</f>
        <v/>
      </c>
      <c r="H33" s="6" t="str">
        <f>IF((LEN(Sheet1!V79)-LEN(SUBSTITUTE(Sheet1!V79,", ","")))/2=2,VLOOKUP(LEFT(Sheet1!V79,FIND(", ",Sheet1!V79)-1),Sheet1!$A$1:$B$40,2,FALSE)&amp;","&amp;VLOOKUP(MID(Sheet1!V79,FIND("#",SUBSTITUTE(Sheet1!V79,", ","#",1))+2,FIND("#",SUBSTITUTE(Sheet1!V79,", ","#",2))-(FIND("#",SUBSTITUTE(Sheet1!V79,", ","#",1))+2)),Sheet1!$A$1:$B$40,2,FALSE)&amp;","&amp;VLOOKUP(RIGHT(Sheet1!V79,LEN(Sheet1!V79)-FIND("#",SUBSTITUTE(Sheet1!V79,", ","#",2))-1),Sheet1!$A$1:$B$40,2,FALSE),"")</f>
        <v/>
      </c>
      <c r="I33" s="6" t="str">
        <f>IF((LEN(Sheet1!V79)-LEN(SUBSTITUTE(Sheet1!V79,", ","")))/2=3,VLOOKUP(LEFT(Sheet1!V79,FIND(", ",Sheet1!V79)-1),Sheet1!$A$1:$B$40,2,FALSE)&amp;","&amp;VLOOKUP(MID(Sheet1!V79,FIND("#",SUBSTITUTE(Sheet1!V79,", ","#",1))+2,FIND("#",SUBSTITUTE(Sheet1!V79,", ","#",2))-(FIND("#",SUBSTITUTE(Sheet1!V79,", ","#",1))+2)),Sheet1!$A$1:$B$40,2,FALSE)&amp;","&amp;VLOOKUP(MID(Sheet1!V79,FIND("#",SUBSTITUTE(Sheet1!V79,", ","#",2))+2,FIND("#",SUBSTITUTE(Sheet1!V79,", ","#",3))-(FIND("#",SUBSTITUTE(Sheet1!V79,", ","#",2))+2)),Sheet1!$A$1:$B$40,2,FALSE)&amp;","&amp;VLOOKUP(RIGHT(Sheet1!V79,LEN(Sheet1!V79)-FIND("#",SUBSTITUTE(Sheet1!V79,", ","#",3))-1),Sheet1!$A$1:$B$40,2,FALSE),"")</f>
        <v/>
      </c>
      <c r="J33" s="6" t="str">
        <f>IF((LEN(Sheet1!V79)-LEN(SUBSTITUTE(Sheet1!V79,", ","")))/2=4,VLOOKUP(LEFT(Sheet1!V79,FIND(", ",Sheet1!V79)-1),Sheet1!$A$1:$B$40,2,FALSE)&amp;","&amp;VLOOKUP(MID(Sheet1!V79,FIND("#",SUBSTITUTE(Sheet1!V79,", ","#",1))+2,FIND("#",SUBSTITUTE(Sheet1!V79,", ","#",2))-(FIND("#",SUBSTITUTE(Sheet1!V79,", ","#",1))+2)),Sheet1!$A$1:$B$40,2,FALSE)&amp;","&amp;VLOOKUP(MID(Sheet1!V79,FIND("#",SUBSTITUTE(Sheet1!V79,", ","#",2))+2,FIND("#",SUBSTITUTE(Sheet1!V79,", ","#",3))-(FIND("#",SUBSTITUTE(Sheet1!V79,", ","#",2))+2)),Sheet1!$A$1:$B$40,2,FALSE)&amp;","&amp;VLOOKUP(MID(Sheet1!V79,FIND("#",SUBSTITUTE(Sheet1!V79,", ","#",3))+2,FIND("#",SUBSTITUTE(Sheet1!V79,", ","#",4))-(FIND("#",SUBSTITUTE(Sheet1!V79,", ","#",3))+2)),Sheet1!$A$1:$B$40,2,FALSE)&amp;","&amp;VLOOKUP(RIGHT(Sheet1!V79,LEN(Sheet1!V79)-FIND("#",SUBSTITUTE(Sheet1!V79,", ","#",4))-1),Sheet1!$A$1:$B$40,2,FALSE),"")</f>
        <v/>
      </c>
      <c r="K33" s="6" t="str">
        <f t="shared" si="3"/>
        <v/>
      </c>
      <c r="L33" s="6" t="str">
        <f>IFERROR(IF((LEN(Sheet1!AA79)-LEN(SUBSTITUTE(Sheet1!AA79,", ","")))/2=0,VLOOKUP(Sheet1!AA79,Sheet1!$A$1:$B$40,2,FALSE),""),"")</f>
        <v/>
      </c>
      <c r="M33" s="6" t="str">
        <f>IFERROR(IF((LEN(Sheet1!AA79)-LEN(SUBSTITUTE(Sheet1!AA79,", ","")))/2=1,VLOOKUP(LEFT(Sheet1!AA79,FIND(", ",Sheet1!AA79)-1),Sheet1!$A$1:$B$40,2,FALSE)&amp;","&amp;VLOOKUP(RIGHT(Sheet1!AA79,LEN(Sheet1!AA79)-FIND(", ",Sheet1!AA79)-1),Sheet1!$A$1:$B$40,2,FALSE),""),"")</f>
        <v/>
      </c>
      <c r="N33" s="6" t="str">
        <f t="shared" si="4"/>
        <v/>
      </c>
    </row>
    <row r="34" spans="1:14">
      <c r="A34" s="5" t="str">
        <f>IFERROR(IF((LEN(Sheet1!N80)-LEN(SUBSTITUTE(Sheet1!N80,", ","")))/2=0,VLOOKUP(Sheet1!N80,Sheet1!$A$1:$B$40,2,FALSE),""),"")</f>
        <v/>
      </c>
      <c r="B34" s="6" t="str">
        <f>IFERROR(IF((LEN(Sheet1!N80)-LEN(SUBSTITUTE(Sheet1!N80,", ","")))/2=1,VLOOKUP(LEFT(Sheet1!N80,FIND(", ",Sheet1!N80)-1),Sheet1!$A$1:$B$40,2,FALSE)&amp;","&amp;VLOOKUP(RIGHT(Sheet1!N80,LEN(Sheet1!N80)-FIND(", ",Sheet1!N80)-1),Sheet1!$A$1:$B$40,2,FALSE),""),"")</f>
        <v/>
      </c>
      <c r="C34" s="6" t="str">
        <f>IF((LEN(Sheet1!N80)-LEN(SUBSTITUTE(Sheet1!N80,", ","")))/2=2,VLOOKUP(LEFT(Sheet1!N80,FIND(", ",Sheet1!N80)-1),Sheet1!$A$1:$B$40,2,FALSE)&amp;","&amp;VLOOKUP(MID(Sheet1!N80,FIND("#",SUBSTITUTE(Sheet1!N80,", ","#",1))+2,FIND("#",SUBSTITUTE(Sheet1!N80,", ","#",2))-(FIND("#",SUBSTITUTE(Sheet1!N80,", ","#",1))+2)),Sheet1!$A$1:$B$40,2,FALSE)&amp;","&amp;VLOOKUP(RIGHT(Sheet1!N80,LEN(Sheet1!N80)-FIND("#",SUBSTITUTE(Sheet1!N80,", ","#",2))-1),Sheet1!$A$1:$B$40,2,FALSE),"")</f>
        <v/>
      </c>
      <c r="D34" s="6" t="str">
        <f>IF((LEN(Sheet1!N80)-LEN(SUBSTITUTE(Sheet1!N80,", ","")))/2=3,VLOOKUP(LEFT(Sheet1!N80,FIND(", ",Sheet1!N80)-1),Sheet1!$A$1:$B$40,2,FALSE)&amp;","&amp;VLOOKUP(MID(Sheet1!N80,FIND("#",SUBSTITUTE(Sheet1!N80,", ","#",1))+2,FIND("#",SUBSTITUTE(Sheet1!N80,", ","#",2))-(FIND("#",SUBSTITUTE(Sheet1!N80,", ","#",1))+2)),Sheet1!$A$1:$B$40,2,FALSE)&amp;","&amp;VLOOKUP(MID(Sheet1!N80,FIND("#",SUBSTITUTE(Sheet1!N80,", ","#",2))+2,FIND("#",SUBSTITUTE(Sheet1!N80,", ","#",3))-(FIND("#",SUBSTITUTE(Sheet1!N80,", ","#",2))+2)),Sheet1!$A$1:$B$40,2,FALSE)&amp;","&amp;VLOOKUP(RIGHT(Sheet1!N80,LEN(Sheet1!N80)-FIND("#",SUBSTITUTE(Sheet1!N80,", ","#",3))-1),Sheet1!$A$1:$B$40,2,FALSE),"")</f>
        <v/>
      </c>
      <c r="E34" s="6" t="str">
        <f t="shared" si="5"/>
        <v/>
      </c>
      <c r="F34" s="6" t="str">
        <f>IFERROR(IF((LEN(Sheet1!V80)-LEN(SUBSTITUTE(Sheet1!V80,", ","")))/2=0,VLOOKUP(Sheet1!V80,Sheet1!$A$1:$B$40,2,FALSE),""),"")</f>
        <v/>
      </c>
      <c r="G34" s="6" t="str">
        <f>IFERROR(IF((LEN(Sheet1!V80)-LEN(SUBSTITUTE(Sheet1!V80,", ","")))/2=1,VLOOKUP(LEFT(Sheet1!V80,FIND(", ",Sheet1!V80)-1),Sheet1!$A$1:$B$40,2,FALSE)&amp;","&amp;VLOOKUP(RIGHT(Sheet1!V80,LEN(Sheet1!V80)-FIND(", ",Sheet1!V80)-1),Sheet1!$A$1:$B$40,2,FALSE),""),"")</f>
        <v/>
      </c>
      <c r="H34" s="6" t="str">
        <f>IF((LEN(Sheet1!V80)-LEN(SUBSTITUTE(Sheet1!V80,", ","")))/2=2,VLOOKUP(LEFT(Sheet1!V80,FIND(", ",Sheet1!V80)-1),Sheet1!$A$1:$B$40,2,FALSE)&amp;","&amp;VLOOKUP(MID(Sheet1!V80,FIND("#",SUBSTITUTE(Sheet1!V80,", ","#",1))+2,FIND("#",SUBSTITUTE(Sheet1!V80,", ","#",2))-(FIND("#",SUBSTITUTE(Sheet1!V80,", ","#",1))+2)),Sheet1!$A$1:$B$40,2,FALSE)&amp;","&amp;VLOOKUP(RIGHT(Sheet1!V80,LEN(Sheet1!V80)-FIND("#",SUBSTITUTE(Sheet1!V80,", ","#",2))-1),Sheet1!$A$1:$B$40,2,FALSE),"")</f>
        <v/>
      </c>
      <c r="I34" s="6" t="str">
        <f>IF((LEN(Sheet1!V80)-LEN(SUBSTITUTE(Sheet1!V80,", ","")))/2=3,VLOOKUP(LEFT(Sheet1!V80,FIND(", ",Sheet1!V80)-1),Sheet1!$A$1:$B$40,2,FALSE)&amp;","&amp;VLOOKUP(MID(Sheet1!V80,FIND("#",SUBSTITUTE(Sheet1!V80,", ","#",1))+2,FIND("#",SUBSTITUTE(Sheet1!V80,", ","#",2))-(FIND("#",SUBSTITUTE(Sheet1!V80,", ","#",1))+2)),Sheet1!$A$1:$B$40,2,FALSE)&amp;","&amp;VLOOKUP(MID(Sheet1!V80,FIND("#",SUBSTITUTE(Sheet1!V80,", ","#",2))+2,FIND("#",SUBSTITUTE(Sheet1!V80,", ","#",3))-(FIND("#",SUBSTITUTE(Sheet1!V80,", ","#",2))+2)),Sheet1!$A$1:$B$40,2,FALSE)&amp;","&amp;VLOOKUP(RIGHT(Sheet1!V80,LEN(Sheet1!V80)-FIND("#",SUBSTITUTE(Sheet1!V80,", ","#",3))-1),Sheet1!$A$1:$B$40,2,FALSE),"")</f>
        <v/>
      </c>
      <c r="J34" s="6" t="str">
        <f>IF((LEN(Sheet1!V80)-LEN(SUBSTITUTE(Sheet1!V80,", ","")))/2=4,VLOOKUP(LEFT(Sheet1!V80,FIND(", ",Sheet1!V80)-1),Sheet1!$A$1:$B$40,2,FALSE)&amp;","&amp;VLOOKUP(MID(Sheet1!V80,FIND("#",SUBSTITUTE(Sheet1!V80,", ","#",1))+2,FIND("#",SUBSTITUTE(Sheet1!V80,", ","#",2))-(FIND("#",SUBSTITUTE(Sheet1!V80,", ","#",1))+2)),Sheet1!$A$1:$B$40,2,FALSE)&amp;","&amp;VLOOKUP(MID(Sheet1!V80,FIND("#",SUBSTITUTE(Sheet1!V80,", ","#",2))+2,FIND("#",SUBSTITUTE(Sheet1!V80,", ","#",3))-(FIND("#",SUBSTITUTE(Sheet1!V80,", ","#",2))+2)),Sheet1!$A$1:$B$40,2,FALSE)&amp;","&amp;VLOOKUP(MID(Sheet1!V80,FIND("#",SUBSTITUTE(Sheet1!V80,", ","#",3))+2,FIND("#",SUBSTITUTE(Sheet1!V80,", ","#",4))-(FIND("#",SUBSTITUTE(Sheet1!V80,", ","#",3))+2)),Sheet1!$A$1:$B$40,2,FALSE)&amp;","&amp;VLOOKUP(RIGHT(Sheet1!V80,LEN(Sheet1!V80)-FIND("#",SUBSTITUTE(Sheet1!V80,", ","#",4))-1),Sheet1!$A$1:$B$40,2,FALSE),"")</f>
        <v/>
      </c>
      <c r="K34" s="6" t="str">
        <f t="shared" si="3"/>
        <v/>
      </c>
      <c r="L34" s="6" t="str">
        <f>IFERROR(IF((LEN(Sheet1!AA80)-LEN(SUBSTITUTE(Sheet1!AA80,", ","")))/2=0,VLOOKUP(Sheet1!AA80,Sheet1!$A$1:$B$40,2,FALSE),""),"")</f>
        <v/>
      </c>
      <c r="M34" s="6" t="str">
        <f>IFERROR(IF((LEN(Sheet1!AA80)-LEN(SUBSTITUTE(Sheet1!AA80,", ","")))/2=1,VLOOKUP(LEFT(Sheet1!AA80,FIND(", ",Sheet1!AA80)-1),Sheet1!$A$1:$B$40,2,FALSE)&amp;","&amp;VLOOKUP(RIGHT(Sheet1!AA80,LEN(Sheet1!AA80)-FIND(", ",Sheet1!AA80)-1),Sheet1!$A$1:$B$40,2,FALSE),""),"")</f>
        <v/>
      </c>
      <c r="N34" s="6" t="str">
        <f t="shared" si="4"/>
        <v/>
      </c>
    </row>
    <row r="35" spans="1:14">
      <c r="A35" s="5" t="str">
        <f>IFERROR(IF((LEN(Sheet1!N81)-LEN(SUBSTITUTE(Sheet1!N81,", ","")))/2=0,VLOOKUP(Sheet1!N81,Sheet1!$A$1:$B$40,2,FALSE),""),"")</f>
        <v/>
      </c>
      <c r="B35" s="6" t="str">
        <f>IFERROR(IF((LEN(Sheet1!N81)-LEN(SUBSTITUTE(Sheet1!N81,", ","")))/2=1,VLOOKUP(LEFT(Sheet1!N81,FIND(", ",Sheet1!N81)-1),Sheet1!$A$1:$B$40,2,FALSE)&amp;","&amp;VLOOKUP(RIGHT(Sheet1!N81,LEN(Sheet1!N81)-FIND(", ",Sheet1!N81)-1),Sheet1!$A$1:$B$40,2,FALSE),""),"")</f>
        <v/>
      </c>
      <c r="C35" s="6" t="str">
        <f>IF((LEN(Sheet1!N81)-LEN(SUBSTITUTE(Sheet1!N81,", ","")))/2=2,VLOOKUP(LEFT(Sheet1!N81,FIND(", ",Sheet1!N81)-1),Sheet1!$A$1:$B$40,2,FALSE)&amp;","&amp;VLOOKUP(MID(Sheet1!N81,FIND("#",SUBSTITUTE(Sheet1!N81,", ","#",1))+2,FIND("#",SUBSTITUTE(Sheet1!N81,", ","#",2))-(FIND("#",SUBSTITUTE(Sheet1!N81,", ","#",1))+2)),Sheet1!$A$1:$B$40,2,FALSE)&amp;","&amp;VLOOKUP(RIGHT(Sheet1!N81,LEN(Sheet1!N81)-FIND("#",SUBSTITUTE(Sheet1!N81,", ","#",2))-1),Sheet1!$A$1:$B$40,2,FALSE),"")</f>
        <v/>
      </c>
      <c r="D35" s="6" t="str">
        <f>IF((LEN(Sheet1!N81)-LEN(SUBSTITUTE(Sheet1!N81,", ","")))/2=3,VLOOKUP(LEFT(Sheet1!N81,FIND(", ",Sheet1!N81)-1),Sheet1!$A$1:$B$40,2,FALSE)&amp;","&amp;VLOOKUP(MID(Sheet1!N81,FIND("#",SUBSTITUTE(Sheet1!N81,", ","#",1))+2,FIND("#",SUBSTITUTE(Sheet1!N81,", ","#",2))-(FIND("#",SUBSTITUTE(Sheet1!N81,", ","#",1))+2)),Sheet1!$A$1:$B$40,2,FALSE)&amp;","&amp;VLOOKUP(MID(Sheet1!N81,FIND("#",SUBSTITUTE(Sheet1!N81,", ","#",2))+2,FIND("#",SUBSTITUTE(Sheet1!N81,", ","#",3))-(FIND("#",SUBSTITUTE(Sheet1!N81,", ","#",2))+2)),Sheet1!$A$1:$B$40,2,FALSE)&amp;","&amp;VLOOKUP(RIGHT(Sheet1!N81,LEN(Sheet1!N81)-FIND("#",SUBSTITUTE(Sheet1!N81,", ","#",3))-1),Sheet1!$A$1:$B$40,2,FALSE),"")</f>
        <v/>
      </c>
      <c r="E35" s="6" t="str">
        <f t="shared" si="5"/>
        <v/>
      </c>
      <c r="F35" s="6" t="str">
        <f>IFERROR(IF((LEN(Sheet1!V81)-LEN(SUBSTITUTE(Sheet1!V81,", ","")))/2=0,VLOOKUP(Sheet1!V81,Sheet1!$A$1:$B$40,2,FALSE),""),"")</f>
        <v/>
      </c>
      <c r="G35" s="6" t="str">
        <f>IFERROR(IF((LEN(Sheet1!V81)-LEN(SUBSTITUTE(Sheet1!V81,", ","")))/2=1,VLOOKUP(LEFT(Sheet1!V81,FIND(", ",Sheet1!V81)-1),Sheet1!$A$1:$B$40,2,FALSE)&amp;","&amp;VLOOKUP(RIGHT(Sheet1!V81,LEN(Sheet1!V81)-FIND(", ",Sheet1!V81)-1),Sheet1!$A$1:$B$40,2,FALSE),""),"")</f>
        <v/>
      </c>
      <c r="H35" s="6" t="str">
        <f>IF((LEN(Sheet1!V81)-LEN(SUBSTITUTE(Sheet1!V81,", ","")))/2=2,VLOOKUP(LEFT(Sheet1!V81,FIND(", ",Sheet1!V81)-1),Sheet1!$A$1:$B$40,2,FALSE)&amp;","&amp;VLOOKUP(MID(Sheet1!V81,FIND("#",SUBSTITUTE(Sheet1!V81,", ","#",1))+2,FIND("#",SUBSTITUTE(Sheet1!V81,", ","#",2))-(FIND("#",SUBSTITUTE(Sheet1!V81,", ","#",1))+2)),Sheet1!$A$1:$B$40,2,FALSE)&amp;","&amp;VLOOKUP(RIGHT(Sheet1!V81,LEN(Sheet1!V81)-FIND("#",SUBSTITUTE(Sheet1!V81,", ","#",2))-1),Sheet1!$A$1:$B$40,2,FALSE),"")</f>
        <v/>
      </c>
      <c r="I35" s="6" t="str">
        <f>IF((LEN(Sheet1!V81)-LEN(SUBSTITUTE(Sheet1!V81,", ","")))/2=3,VLOOKUP(LEFT(Sheet1!V81,FIND(", ",Sheet1!V81)-1),Sheet1!$A$1:$B$40,2,FALSE)&amp;","&amp;VLOOKUP(MID(Sheet1!V81,FIND("#",SUBSTITUTE(Sheet1!V81,", ","#",1))+2,FIND("#",SUBSTITUTE(Sheet1!V81,", ","#",2))-(FIND("#",SUBSTITUTE(Sheet1!V81,", ","#",1))+2)),Sheet1!$A$1:$B$40,2,FALSE)&amp;","&amp;VLOOKUP(MID(Sheet1!V81,FIND("#",SUBSTITUTE(Sheet1!V81,", ","#",2))+2,FIND("#",SUBSTITUTE(Sheet1!V81,", ","#",3))-(FIND("#",SUBSTITUTE(Sheet1!V81,", ","#",2))+2)),Sheet1!$A$1:$B$40,2,FALSE)&amp;","&amp;VLOOKUP(RIGHT(Sheet1!V81,LEN(Sheet1!V81)-FIND("#",SUBSTITUTE(Sheet1!V81,", ","#",3))-1),Sheet1!$A$1:$B$40,2,FALSE),"")</f>
        <v/>
      </c>
      <c r="J35" s="6" t="str">
        <f>IF((LEN(Sheet1!V81)-LEN(SUBSTITUTE(Sheet1!V81,", ","")))/2=4,VLOOKUP(LEFT(Sheet1!V81,FIND(", ",Sheet1!V81)-1),Sheet1!$A$1:$B$40,2,FALSE)&amp;","&amp;VLOOKUP(MID(Sheet1!V81,FIND("#",SUBSTITUTE(Sheet1!V81,", ","#",1))+2,FIND("#",SUBSTITUTE(Sheet1!V81,", ","#",2))-(FIND("#",SUBSTITUTE(Sheet1!V81,", ","#",1))+2)),Sheet1!$A$1:$B$40,2,FALSE)&amp;","&amp;VLOOKUP(MID(Sheet1!V81,FIND("#",SUBSTITUTE(Sheet1!V81,", ","#",2))+2,FIND("#",SUBSTITUTE(Sheet1!V81,", ","#",3))-(FIND("#",SUBSTITUTE(Sheet1!V81,", ","#",2))+2)),Sheet1!$A$1:$B$40,2,FALSE)&amp;","&amp;VLOOKUP(MID(Sheet1!V81,FIND("#",SUBSTITUTE(Sheet1!V81,", ","#",3))+2,FIND("#",SUBSTITUTE(Sheet1!V81,", ","#",4))-(FIND("#",SUBSTITUTE(Sheet1!V81,", ","#",3))+2)),Sheet1!$A$1:$B$40,2,FALSE)&amp;","&amp;VLOOKUP(RIGHT(Sheet1!V81,LEN(Sheet1!V81)-FIND("#",SUBSTITUTE(Sheet1!V81,", ","#",4))-1),Sheet1!$A$1:$B$40,2,FALSE),"")</f>
        <v/>
      </c>
      <c r="K35" s="6" t="str">
        <f t="shared" si="3"/>
        <v/>
      </c>
      <c r="L35" s="6" t="str">
        <f>IFERROR(IF((LEN(Sheet1!AA81)-LEN(SUBSTITUTE(Sheet1!AA81,", ","")))/2=0,VLOOKUP(Sheet1!AA81,Sheet1!$A$1:$B$40,2,FALSE),""),"")</f>
        <v/>
      </c>
      <c r="M35" s="6" t="str">
        <f>IFERROR(IF((LEN(Sheet1!AA81)-LEN(SUBSTITUTE(Sheet1!AA81,", ","")))/2=1,VLOOKUP(LEFT(Sheet1!AA81,FIND(", ",Sheet1!AA81)-1),Sheet1!$A$1:$B$40,2,FALSE)&amp;","&amp;VLOOKUP(RIGHT(Sheet1!AA81,LEN(Sheet1!AA81)-FIND(", ",Sheet1!AA81)-1),Sheet1!$A$1:$B$40,2,FALSE),""),"")</f>
        <v/>
      </c>
      <c r="N35" s="6" t="str">
        <f t="shared" si="4"/>
        <v/>
      </c>
    </row>
    <row r="36" spans="1:14">
      <c r="A36" s="5" t="str">
        <f>IFERROR(IF((LEN(Sheet1!N82)-LEN(SUBSTITUTE(Sheet1!N82,", ","")))/2=0,VLOOKUP(Sheet1!N82,Sheet1!$A$1:$B$40,2,FALSE),""),"")</f>
        <v/>
      </c>
      <c r="B36" s="6" t="str">
        <f>IFERROR(IF((LEN(Sheet1!N82)-LEN(SUBSTITUTE(Sheet1!N82,", ","")))/2=1,VLOOKUP(LEFT(Sheet1!N82,FIND(", ",Sheet1!N82)-1),Sheet1!$A$1:$B$40,2,FALSE)&amp;","&amp;VLOOKUP(RIGHT(Sheet1!N82,LEN(Sheet1!N82)-FIND(", ",Sheet1!N82)-1),Sheet1!$A$1:$B$40,2,FALSE),""),"")</f>
        <v/>
      </c>
      <c r="C36" s="6" t="str">
        <f>IF((LEN(Sheet1!N82)-LEN(SUBSTITUTE(Sheet1!N82,", ","")))/2=2,VLOOKUP(LEFT(Sheet1!N82,FIND(", ",Sheet1!N82)-1),Sheet1!$A$1:$B$40,2,FALSE)&amp;","&amp;VLOOKUP(MID(Sheet1!N82,FIND("#",SUBSTITUTE(Sheet1!N82,", ","#",1))+2,FIND("#",SUBSTITUTE(Sheet1!N82,", ","#",2))-(FIND("#",SUBSTITUTE(Sheet1!N82,", ","#",1))+2)),Sheet1!$A$1:$B$40,2,FALSE)&amp;","&amp;VLOOKUP(RIGHT(Sheet1!N82,LEN(Sheet1!N82)-FIND("#",SUBSTITUTE(Sheet1!N82,", ","#",2))-1),Sheet1!$A$1:$B$40,2,FALSE),"")</f>
        <v/>
      </c>
      <c r="D36" s="6" t="str">
        <f>IF((LEN(Sheet1!N82)-LEN(SUBSTITUTE(Sheet1!N82,", ","")))/2=3,VLOOKUP(LEFT(Sheet1!N82,FIND(", ",Sheet1!N82)-1),Sheet1!$A$1:$B$40,2,FALSE)&amp;","&amp;VLOOKUP(MID(Sheet1!N82,FIND("#",SUBSTITUTE(Sheet1!N82,", ","#",1))+2,FIND("#",SUBSTITUTE(Sheet1!N82,", ","#",2))-(FIND("#",SUBSTITUTE(Sheet1!N82,", ","#",1))+2)),Sheet1!$A$1:$B$40,2,FALSE)&amp;","&amp;VLOOKUP(MID(Sheet1!N82,FIND("#",SUBSTITUTE(Sheet1!N82,", ","#",2))+2,FIND("#",SUBSTITUTE(Sheet1!N82,", ","#",3))-(FIND("#",SUBSTITUTE(Sheet1!N82,", ","#",2))+2)),Sheet1!$A$1:$B$40,2,FALSE)&amp;","&amp;VLOOKUP(RIGHT(Sheet1!N82,LEN(Sheet1!N82)-FIND("#",SUBSTITUTE(Sheet1!N82,", ","#",3))-1),Sheet1!$A$1:$B$40,2,FALSE),"")</f>
        <v/>
      </c>
      <c r="E36" s="6" t="str">
        <f t="shared" si="5"/>
        <v/>
      </c>
      <c r="F36" s="6" t="str">
        <f>IFERROR(IF((LEN(Sheet1!V82)-LEN(SUBSTITUTE(Sheet1!V82,", ","")))/2=0,VLOOKUP(Sheet1!V82,Sheet1!$A$1:$B$40,2,FALSE),""),"")</f>
        <v/>
      </c>
      <c r="G36" s="6" t="str">
        <f>IFERROR(IF((LEN(Sheet1!V82)-LEN(SUBSTITUTE(Sheet1!V82,", ","")))/2=1,VLOOKUP(LEFT(Sheet1!V82,FIND(", ",Sheet1!V82)-1),Sheet1!$A$1:$B$40,2,FALSE)&amp;","&amp;VLOOKUP(RIGHT(Sheet1!V82,LEN(Sheet1!V82)-FIND(", ",Sheet1!V82)-1),Sheet1!$A$1:$B$40,2,FALSE),""),"")</f>
        <v/>
      </c>
      <c r="H36" s="6" t="str">
        <f>IF((LEN(Sheet1!V82)-LEN(SUBSTITUTE(Sheet1!V82,", ","")))/2=2,VLOOKUP(LEFT(Sheet1!V82,FIND(", ",Sheet1!V82)-1),Sheet1!$A$1:$B$40,2,FALSE)&amp;","&amp;VLOOKUP(MID(Sheet1!V82,FIND("#",SUBSTITUTE(Sheet1!V82,", ","#",1))+2,FIND("#",SUBSTITUTE(Sheet1!V82,", ","#",2))-(FIND("#",SUBSTITUTE(Sheet1!V82,", ","#",1))+2)),Sheet1!$A$1:$B$40,2,FALSE)&amp;","&amp;VLOOKUP(RIGHT(Sheet1!V82,LEN(Sheet1!V82)-FIND("#",SUBSTITUTE(Sheet1!V82,", ","#",2))-1),Sheet1!$A$1:$B$40,2,FALSE),"")</f>
        <v/>
      </c>
      <c r="I36" s="6" t="str">
        <f>IF((LEN(Sheet1!V82)-LEN(SUBSTITUTE(Sheet1!V82,", ","")))/2=3,VLOOKUP(LEFT(Sheet1!V82,FIND(", ",Sheet1!V82)-1),Sheet1!$A$1:$B$40,2,FALSE)&amp;","&amp;VLOOKUP(MID(Sheet1!V82,FIND("#",SUBSTITUTE(Sheet1!V82,", ","#",1))+2,FIND("#",SUBSTITUTE(Sheet1!V82,", ","#",2))-(FIND("#",SUBSTITUTE(Sheet1!V82,", ","#",1))+2)),Sheet1!$A$1:$B$40,2,FALSE)&amp;","&amp;VLOOKUP(MID(Sheet1!V82,FIND("#",SUBSTITUTE(Sheet1!V82,", ","#",2))+2,FIND("#",SUBSTITUTE(Sheet1!V82,", ","#",3))-(FIND("#",SUBSTITUTE(Sheet1!V82,", ","#",2))+2)),Sheet1!$A$1:$B$40,2,FALSE)&amp;","&amp;VLOOKUP(RIGHT(Sheet1!V82,LEN(Sheet1!V82)-FIND("#",SUBSTITUTE(Sheet1!V82,", ","#",3))-1),Sheet1!$A$1:$B$40,2,FALSE),"")</f>
        <v/>
      </c>
      <c r="J36" s="6" t="str">
        <f>IF((LEN(Sheet1!V82)-LEN(SUBSTITUTE(Sheet1!V82,", ","")))/2=4,VLOOKUP(LEFT(Sheet1!V82,FIND(", ",Sheet1!V82)-1),Sheet1!$A$1:$B$40,2,FALSE)&amp;","&amp;VLOOKUP(MID(Sheet1!V82,FIND("#",SUBSTITUTE(Sheet1!V82,", ","#",1))+2,FIND("#",SUBSTITUTE(Sheet1!V82,", ","#",2))-(FIND("#",SUBSTITUTE(Sheet1!V82,", ","#",1))+2)),Sheet1!$A$1:$B$40,2,FALSE)&amp;","&amp;VLOOKUP(MID(Sheet1!V82,FIND("#",SUBSTITUTE(Sheet1!V82,", ","#",2))+2,FIND("#",SUBSTITUTE(Sheet1!V82,", ","#",3))-(FIND("#",SUBSTITUTE(Sheet1!V82,", ","#",2))+2)),Sheet1!$A$1:$B$40,2,FALSE)&amp;","&amp;VLOOKUP(MID(Sheet1!V82,FIND("#",SUBSTITUTE(Sheet1!V82,", ","#",3))+2,FIND("#",SUBSTITUTE(Sheet1!V82,", ","#",4))-(FIND("#",SUBSTITUTE(Sheet1!V82,", ","#",3))+2)),Sheet1!$A$1:$B$40,2,FALSE)&amp;","&amp;VLOOKUP(RIGHT(Sheet1!V82,LEN(Sheet1!V82)-FIND("#",SUBSTITUTE(Sheet1!V82,", ","#",4))-1),Sheet1!$A$1:$B$40,2,FALSE),"")</f>
        <v/>
      </c>
      <c r="K36" s="6" t="str">
        <f t="shared" si="3"/>
        <v/>
      </c>
      <c r="L36" s="6" t="str">
        <f>IFERROR(IF((LEN(Sheet1!AA82)-LEN(SUBSTITUTE(Sheet1!AA82,", ","")))/2=0,VLOOKUP(Sheet1!AA82,Sheet1!$A$1:$B$40,2,FALSE),""),"")</f>
        <v/>
      </c>
      <c r="M36" s="6" t="str">
        <f>IFERROR(IF((LEN(Sheet1!AA82)-LEN(SUBSTITUTE(Sheet1!AA82,", ","")))/2=1,VLOOKUP(LEFT(Sheet1!AA82,FIND(", ",Sheet1!AA82)-1),Sheet1!$A$1:$B$40,2,FALSE)&amp;","&amp;VLOOKUP(RIGHT(Sheet1!AA82,LEN(Sheet1!AA82)-FIND(", ",Sheet1!AA82)-1),Sheet1!$A$1:$B$40,2,FALSE),""),"")</f>
        <v/>
      </c>
      <c r="N36" s="6" t="str">
        <f t="shared" si="4"/>
        <v/>
      </c>
    </row>
    <row r="37" spans="1:14">
      <c r="A37" s="5" t="str">
        <f>IFERROR(IF((LEN(Sheet1!N83)-LEN(SUBSTITUTE(Sheet1!N83,", ","")))/2=0,VLOOKUP(Sheet1!N83,Sheet1!$A$1:$B$40,2,FALSE),""),"")</f>
        <v/>
      </c>
      <c r="B37" s="6" t="str">
        <f>IFERROR(IF((LEN(Sheet1!N83)-LEN(SUBSTITUTE(Sheet1!N83,", ","")))/2=1,VLOOKUP(LEFT(Sheet1!N83,FIND(", ",Sheet1!N83)-1),Sheet1!$A$1:$B$40,2,FALSE)&amp;","&amp;VLOOKUP(RIGHT(Sheet1!N83,LEN(Sheet1!N83)-FIND(", ",Sheet1!N83)-1),Sheet1!$A$1:$B$40,2,FALSE),""),"")</f>
        <v/>
      </c>
      <c r="C37" s="6" t="str">
        <f>IF((LEN(Sheet1!N83)-LEN(SUBSTITUTE(Sheet1!N83,", ","")))/2=2,VLOOKUP(LEFT(Sheet1!N83,FIND(", ",Sheet1!N83)-1),Sheet1!$A$1:$B$40,2,FALSE)&amp;","&amp;VLOOKUP(MID(Sheet1!N83,FIND("#",SUBSTITUTE(Sheet1!N83,", ","#",1))+2,FIND("#",SUBSTITUTE(Sheet1!N83,", ","#",2))-(FIND("#",SUBSTITUTE(Sheet1!N83,", ","#",1))+2)),Sheet1!$A$1:$B$40,2,FALSE)&amp;","&amp;VLOOKUP(RIGHT(Sheet1!N83,LEN(Sheet1!N83)-FIND("#",SUBSTITUTE(Sheet1!N83,", ","#",2))-1),Sheet1!$A$1:$B$40,2,FALSE),"")</f>
        <v/>
      </c>
      <c r="D37" s="6" t="str">
        <f>IF((LEN(Sheet1!N83)-LEN(SUBSTITUTE(Sheet1!N83,", ","")))/2=3,VLOOKUP(LEFT(Sheet1!N83,FIND(", ",Sheet1!N83)-1),Sheet1!$A$1:$B$40,2,FALSE)&amp;","&amp;VLOOKUP(MID(Sheet1!N83,FIND("#",SUBSTITUTE(Sheet1!N83,", ","#",1))+2,FIND("#",SUBSTITUTE(Sheet1!N83,", ","#",2))-(FIND("#",SUBSTITUTE(Sheet1!N83,", ","#",1))+2)),Sheet1!$A$1:$B$40,2,FALSE)&amp;","&amp;VLOOKUP(MID(Sheet1!N83,FIND("#",SUBSTITUTE(Sheet1!N83,", ","#",2))+2,FIND("#",SUBSTITUTE(Sheet1!N83,", ","#",3))-(FIND("#",SUBSTITUTE(Sheet1!N83,", ","#",2))+2)),Sheet1!$A$1:$B$40,2,FALSE)&amp;","&amp;VLOOKUP(RIGHT(Sheet1!N83,LEN(Sheet1!N83)-FIND("#",SUBSTITUTE(Sheet1!N83,", ","#",3))-1),Sheet1!$A$1:$B$40,2,FALSE),"")</f>
        <v/>
      </c>
      <c r="E37" s="6" t="str">
        <f t="shared" si="5"/>
        <v/>
      </c>
      <c r="F37" s="6" t="str">
        <f>IFERROR(IF((LEN(Sheet1!V83)-LEN(SUBSTITUTE(Sheet1!V83,", ","")))/2=0,VLOOKUP(Sheet1!V83,Sheet1!$A$1:$B$40,2,FALSE),""),"")</f>
        <v/>
      </c>
      <c r="G37" s="6" t="str">
        <f>IFERROR(IF((LEN(Sheet1!V83)-LEN(SUBSTITUTE(Sheet1!V83,", ","")))/2=1,VLOOKUP(LEFT(Sheet1!V83,FIND(", ",Sheet1!V83)-1),Sheet1!$A$1:$B$40,2,FALSE)&amp;","&amp;VLOOKUP(RIGHT(Sheet1!V83,LEN(Sheet1!V83)-FIND(", ",Sheet1!V83)-1),Sheet1!$A$1:$B$40,2,FALSE),""),"")</f>
        <v/>
      </c>
      <c r="H37" s="6" t="str">
        <f>IF((LEN(Sheet1!V83)-LEN(SUBSTITUTE(Sheet1!V83,", ","")))/2=2,VLOOKUP(LEFT(Sheet1!V83,FIND(", ",Sheet1!V83)-1),Sheet1!$A$1:$B$40,2,FALSE)&amp;","&amp;VLOOKUP(MID(Sheet1!V83,FIND("#",SUBSTITUTE(Sheet1!V83,", ","#",1))+2,FIND("#",SUBSTITUTE(Sheet1!V83,", ","#",2))-(FIND("#",SUBSTITUTE(Sheet1!V83,", ","#",1))+2)),Sheet1!$A$1:$B$40,2,FALSE)&amp;","&amp;VLOOKUP(RIGHT(Sheet1!V83,LEN(Sheet1!V83)-FIND("#",SUBSTITUTE(Sheet1!V83,", ","#",2))-1),Sheet1!$A$1:$B$40,2,FALSE),"")</f>
        <v/>
      </c>
      <c r="I37" s="6" t="str">
        <f>IF((LEN(Sheet1!V83)-LEN(SUBSTITUTE(Sheet1!V83,", ","")))/2=3,VLOOKUP(LEFT(Sheet1!V83,FIND(", ",Sheet1!V83)-1),Sheet1!$A$1:$B$40,2,FALSE)&amp;","&amp;VLOOKUP(MID(Sheet1!V83,FIND("#",SUBSTITUTE(Sheet1!V83,", ","#",1))+2,FIND("#",SUBSTITUTE(Sheet1!V83,", ","#",2))-(FIND("#",SUBSTITUTE(Sheet1!V83,", ","#",1))+2)),Sheet1!$A$1:$B$40,2,FALSE)&amp;","&amp;VLOOKUP(MID(Sheet1!V83,FIND("#",SUBSTITUTE(Sheet1!V83,", ","#",2))+2,FIND("#",SUBSTITUTE(Sheet1!V83,", ","#",3))-(FIND("#",SUBSTITUTE(Sheet1!V83,", ","#",2))+2)),Sheet1!$A$1:$B$40,2,FALSE)&amp;","&amp;VLOOKUP(RIGHT(Sheet1!V83,LEN(Sheet1!V83)-FIND("#",SUBSTITUTE(Sheet1!V83,", ","#",3))-1),Sheet1!$A$1:$B$40,2,FALSE),"")</f>
        <v/>
      </c>
      <c r="J37" s="6" t="str">
        <f>IF((LEN(Sheet1!V83)-LEN(SUBSTITUTE(Sheet1!V83,", ","")))/2=4,VLOOKUP(LEFT(Sheet1!V83,FIND(", ",Sheet1!V83)-1),Sheet1!$A$1:$B$40,2,FALSE)&amp;","&amp;VLOOKUP(MID(Sheet1!V83,FIND("#",SUBSTITUTE(Sheet1!V83,", ","#",1))+2,FIND("#",SUBSTITUTE(Sheet1!V83,", ","#",2))-(FIND("#",SUBSTITUTE(Sheet1!V83,", ","#",1))+2)),Sheet1!$A$1:$B$40,2,FALSE)&amp;","&amp;VLOOKUP(MID(Sheet1!V83,FIND("#",SUBSTITUTE(Sheet1!V83,", ","#",2))+2,FIND("#",SUBSTITUTE(Sheet1!V83,", ","#",3))-(FIND("#",SUBSTITUTE(Sheet1!V83,", ","#",2))+2)),Sheet1!$A$1:$B$40,2,FALSE)&amp;","&amp;VLOOKUP(MID(Sheet1!V83,FIND("#",SUBSTITUTE(Sheet1!V83,", ","#",3))+2,FIND("#",SUBSTITUTE(Sheet1!V83,", ","#",4))-(FIND("#",SUBSTITUTE(Sheet1!V83,", ","#",3))+2)),Sheet1!$A$1:$B$40,2,FALSE)&amp;","&amp;VLOOKUP(RIGHT(Sheet1!V83,LEN(Sheet1!V83)-FIND("#",SUBSTITUTE(Sheet1!V83,", ","#",4))-1),Sheet1!$A$1:$B$40,2,FALSE),"")</f>
        <v/>
      </c>
      <c r="K37" s="6" t="str">
        <f t="shared" si="3"/>
        <v/>
      </c>
      <c r="L37" s="6" t="str">
        <f>IFERROR(IF((LEN(Sheet1!AA83)-LEN(SUBSTITUTE(Sheet1!AA83,", ","")))/2=0,VLOOKUP(Sheet1!AA83,Sheet1!$A$1:$B$40,2,FALSE),""),"")</f>
        <v/>
      </c>
      <c r="M37" s="6" t="str">
        <f>IFERROR(IF((LEN(Sheet1!AA83)-LEN(SUBSTITUTE(Sheet1!AA83,", ","")))/2=1,VLOOKUP(LEFT(Sheet1!AA83,FIND(", ",Sheet1!AA83)-1),Sheet1!$A$1:$B$40,2,FALSE)&amp;","&amp;VLOOKUP(RIGHT(Sheet1!AA83,LEN(Sheet1!AA83)-FIND(", ",Sheet1!AA83)-1),Sheet1!$A$1:$B$40,2,FALSE),""),"")</f>
        <v/>
      </c>
      <c r="N37" s="6" t="str">
        <f t="shared" si="4"/>
        <v/>
      </c>
    </row>
    <row r="38" spans="1:14">
      <c r="A38" s="5" t="str">
        <f>IFERROR(IF((LEN(Sheet1!N84)-LEN(SUBSTITUTE(Sheet1!N84,", ","")))/2=0,VLOOKUP(Sheet1!N84,Sheet1!$A$1:$B$40,2,FALSE),""),"")</f>
        <v/>
      </c>
      <c r="B38" s="6" t="str">
        <f>IFERROR(IF((LEN(Sheet1!N84)-LEN(SUBSTITUTE(Sheet1!N84,", ","")))/2=1,VLOOKUP(LEFT(Sheet1!N84,FIND(", ",Sheet1!N84)-1),Sheet1!$A$1:$B$40,2,FALSE)&amp;","&amp;VLOOKUP(RIGHT(Sheet1!N84,LEN(Sheet1!N84)-FIND(", ",Sheet1!N84)-1),Sheet1!$A$1:$B$40,2,FALSE),""),"")</f>
        <v/>
      </c>
      <c r="C38" s="6" t="str">
        <f>IF((LEN(Sheet1!N84)-LEN(SUBSTITUTE(Sheet1!N84,", ","")))/2=2,VLOOKUP(LEFT(Sheet1!N84,FIND(", ",Sheet1!N84)-1),Sheet1!$A$1:$B$40,2,FALSE)&amp;","&amp;VLOOKUP(MID(Sheet1!N84,FIND("#",SUBSTITUTE(Sheet1!N84,", ","#",1))+2,FIND("#",SUBSTITUTE(Sheet1!N84,", ","#",2))-(FIND("#",SUBSTITUTE(Sheet1!N84,", ","#",1))+2)),Sheet1!$A$1:$B$40,2,FALSE)&amp;","&amp;VLOOKUP(RIGHT(Sheet1!N84,LEN(Sheet1!N84)-FIND("#",SUBSTITUTE(Sheet1!N84,", ","#",2))-1),Sheet1!$A$1:$B$40,2,FALSE),"")</f>
        <v/>
      </c>
      <c r="D38" s="6" t="str">
        <f>IF((LEN(Sheet1!N84)-LEN(SUBSTITUTE(Sheet1!N84,", ","")))/2=3,VLOOKUP(LEFT(Sheet1!N84,FIND(", ",Sheet1!N84)-1),Sheet1!$A$1:$B$40,2,FALSE)&amp;","&amp;VLOOKUP(MID(Sheet1!N84,FIND("#",SUBSTITUTE(Sheet1!N84,", ","#",1))+2,FIND("#",SUBSTITUTE(Sheet1!N84,", ","#",2))-(FIND("#",SUBSTITUTE(Sheet1!N84,", ","#",1))+2)),Sheet1!$A$1:$B$40,2,FALSE)&amp;","&amp;VLOOKUP(MID(Sheet1!N84,FIND("#",SUBSTITUTE(Sheet1!N84,", ","#",2))+2,FIND("#",SUBSTITUTE(Sheet1!N84,", ","#",3))-(FIND("#",SUBSTITUTE(Sheet1!N84,", ","#",2))+2)),Sheet1!$A$1:$B$40,2,FALSE)&amp;","&amp;VLOOKUP(RIGHT(Sheet1!N84,LEN(Sheet1!N84)-FIND("#",SUBSTITUTE(Sheet1!N84,", ","#",3))-1),Sheet1!$A$1:$B$40,2,FALSE),"")</f>
        <v/>
      </c>
      <c r="E38" s="6" t="str">
        <f t="shared" si="5"/>
        <v/>
      </c>
      <c r="F38" s="6" t="str">
        <f>IFERROR(IF((LEN(Sheet1!V84)-LEN(SUBSTITUTE(Sheet1!V84,", ","")))/2=0,VLOOKUP(Sheet1!V84,Sheet1!$A$1:$B$40,2,FALSE),""),"")</f>
        <v/>
      </c>
      <c r="G38" s="6" t="str">
        <f>IFERROR(IF((LEN(Sheet1!V84)-LEN(SUBSTITUTE(Sheet1!V84,", ","")))/2=1,VLOOKUP(LEFT(Sheet1!V84,FIND(", ",Sheet1!V84)-1),Sheet1!$A$1:$B$40,2,FALSE)&amp;","&amp;VLOOKUP(RIGHT(Sheet1!V84,LEN(Sheet1!V84)-FIND(", ",Sheet1!V84)-1),Sheet1!$A$1:$B$40,2,FALSE),""),"")</f>
        <v/>
      </c>
      <c r="H38" s="6" t="str">
        <f>IF((LEN(Sheet1!V84)-LEN(SUBSTITUTE(Sheet1!V84,", ","")))/2=2,VLOOKUP(LEFT(Sheet1!V84,FIND(", ",Sheet1!V84)-1),Sheet1!$A$1:$B$40,2,FALSE)&amp;","&amp;VLOOKUP(MID(Sheet1!V84,FIND("#",SUBSTITUTE(Sheet1!V84,", ","#",1))+2,FIND("#",SUBSTITUTE(Sheet1!V84,", ","#",2))-(FIND("#",SUBSTITUTE(Sheet1!V84,", ","#",1))+2)),Sheet1!$A$1:$B$40,2,FALSE)&amp;","&amp;VLOOKUP(RIGHT(Sheet1!V84,LEN(Sheet1!V84)-FIND("#",SUBSTITUTE(Sheet1!V84,", ","#",2))-1),Sheet1!$A$1:$B$40,2,FALSE),"")</f>
        <v/>
      </c>
      <c r="I38" s="6" t="str">
        <f>IF((LEN(Sheet1!V84)-LEN(SUBSTITUTE(Sheet1!V84,", ","")))/2=3,VLOOKUP(LEFT(Sheet1!V84,FIND(", ",Sheet1!V84)-1),Sheet1!$A$1:$B$40,2,FALSE)&amp;","&amp;VLOOKUP(MID(Sheet1!V84,FIND("#",SUBSTITUTE(Sheet1!V84,", ","#",1))+2,FIND("#",SUBSTITUTE(Sheet1!V84,", ","#",2))-(FIND("#",SUBSTITUTE(Sheet1!V84,", ","#",1))+2)),Sheet1!$A$1:$B$40,2,FALSE)&amp;","&amp;VLOOKUP(MID(Sheet1!V84,FIND("#",SUBSTITUTE(Sheet1!V84,", ","#",2))+2,FIND("#",SUBSTITUTE(Sheet1!V84,", ","#",3))-(FIND("#",SUBSTITUTE(Sheet1!V84,", ","#",2))+2)),Sheet1!$A$1:$B$40,2,FALSE)&amp;","&amp;VLOOKUP(RIGHT(Sheet1!V84,LEN(Sheet1!V84)-FIND("#",SUBSTITUTE(Sheet1!V84,", ","#",3))-1),Sheet1!$A$1:$B$40,2,FALSE),"")</f>
        <v/>
      </c>
      <c r="J38" s="6" t="str">
        <f>IF((LEN(Sheet1!V84)-LEN(SUBSTITUTE(Sheet1!V84,", ","")))/2=4,VLOOKUP(LEFT(Sheet1!V84,FIND(", ",Sheet1!V84)-1),Sheet1!$A$1:$B$40,2,FALSE)&amp;","&amp;VLOOKUP(MID(Sheet1!V84,FIND("#",SUBSTITUTE(Sheet1!V84,", ","#",1))+2,FIND("#",SUBSTITUTE(Sheet1!V84,", ","#",2))-(FIND("#",SUBSTITUTE(Sheet1!V84,", ","#",1))+2)),Sheet1!$A$1:$B$40,2,FALSE)&amp;","&amp;VLOOKUP(MID(Sheet1!V84,FIND("#",SUBSTITUTE(Sheet1!V84,", ","#",2))+2,FIND("#",SUBSTITUTE(Sheet1!V84,", ","#",3))-(FIND("#",SUBSTITUTE(Sheet1!V84,", ","#",2))+2)),Sheet1!$A$1:$B$40,2,FALSE)&amp;","&amp;VLOOKUP(MID(Sheet1!V84,FIND("#",SUBSTITUTE(Sheet1!V84,", ","#",3))+2,FIND("#",SUBSTITUTE(Sheet1!V84,", ","#",4))-(FIND("#",SUBSTITUTE(Sheet1!V84,", ","#",3))+2)),Sheet1!$A$1:$B$40,2,FALSE)&amp;","&amp;VLOOKUP(RIGHT(Sheet1!V84,LEN(Sheet1!V84)-FIND("#",SUBSTITUTE(Sheet1!V84,", ","#",4))-1),Sheet1!$A$1:$B$40,2,FALSE),"")</f>
        <v/>
      </c>
      <c r="K38" s="6" t="str">
        <f t="shared" si="3"/>
        <v/>
      </c>
      <c r="L38" s="6" t="str">
        <f>IFERROR(IF((LEN(Sheet1!AA84)-LEN(SUBSTITUTE(Sheet1!AA84,", ","")))/2=0,VLOOKUP(Sheet1!AA84,Sheet1!$A$1:$B$40,2,FALSE),""),"")</f>
        <v/>
      </c>
      <c r="M38" s="6" t="str">
        <f>IFERROR(IF((LEN(Sheet1!AA84)-LEN(SUBSTITUTE(Sheet1!AA84,", ","")))/2=1,VLOOKUP(LEFT(Sheet1!AA84,FIND(", ",Sheet1!AA84)-1),Sheet1!$A$1:$B$40,2,FALSE)&amp;","&amp;VLOOKUP(RIGHT(Sheet1!AA84,LEN(Sheet1!AA84)-FIND(", ",Sheet1!AA84)-1),Sheet1!$A$1:$B$40,2,FALSE),""),"")</f>
        <v/>
      </c>
      <c r="N38" s="6" t="str">
        <f t="shared" si="4"/>
        <v/>
      </c>
    </row>
    <row r="39" spans="1:14">
      <c r="A39" s="5" t="str">
        <f>IFERROR(IF((LEN(Sheet1!N85)-LEN(SUBSTITUTE(Sheet1!N85,", ","")))/2=0,VLOOKUP(Sheet1!N85,Sheet1!$A$1:$B$40,2,FALSE),""),"")</f>
        <v/>
      </c>
      <c r="B39" s="6" t="str">
        <f>IFERROR(IF((LEN(Sheet1!N85)-LEN(SUBSTITUTE(Sheet1!N85,", ","")))/2=1,VLOOKUP(LEFT(Sheet1!N85,FIND(", ",Sheet1!N85)-1),Sheet1!$A$1:$B$40,2,FALSE)&amp;","&amp;VLOOKUP(RIGHT(Sheet1!N85,LEN(Sheet1!N85)-FIND(", ",Sheet1!N85)-1),Sheet1!$A$1:$B$40,2,FALSE),""),"")</f>
        <v/>
      </c>
      <c r="C39" s="6" t="str">
        <f>IF((LEN(Sheet1!N85)-LEN(SUBSTITUTE(Sheet1!N85,", ","")))/2=2,VLOOKUP(LEFT(Sheet1!N85,FIND(", ",Sheet1!N85)-1),Sheet1!$A$1:$B$40,2,FALSE)&amp;","&amp;VLOOKUP(MID(Sheet1!N85,FIND("#",SUBSTITUTE(Sheet1!N85,", ","#",1))+2,FIND("#",SUBSTITUTE(Sheet1!N85,", ","#",2))-(FIND("#",SUBSTITUTE(Sheet1!N85,", ","#",1))+2)),Sheet1!$A$1:$B$40,2,FALSE)&amp;","&amp;VLOOKUP(RIGHT(Sheet1!N85,LEN(Sheet1!N85)-FIND("#",SUBSTITUTE(Sheet1!N85,", ","#",2))-1),Sheet1!$A$1:$B$40,2,FALSE),"")</f>
        <v/>
      </c>
      <c r="D39" s="6" t="str">
        <f>IF((LEN(Sheet1!N85)-LEN(SUBSTITUTE(Sheet1!N85,", ","")))/2=3,VLOOKUP(LEFT(Sheet1!N85,FIND(", ",Sheet1!N85)-1),Sheet1!$A$1:$B$40,2,FALSE)&amp;","&amp;VLOOKUP(MID(Sheet1!N85,FIND("#",SUBSTITUTE(Sheet1!N85,", ","#",1))+2,FIND("#",SUBSTITUTE(Sheet1!N85,", ","#",2))-(FIND("#",SUBSTITUTE(Sheet1!N85,", ","#",1))+2)),Sheet1!$A$1:$B$40,2,FALSE)&amp;","&amp;VLOOKUP(MID(Sheet1!N85,FIND("#",SUBSTITUTE(Sheet1!N85,", ","#",2))+2,FIND("#",SUBSTITUTE(Sheet1!N85,", ","#",3))-(FIND("#",SUBSTITUTE(Sheet1!N85,", ","#",2))+2)),Sheet1!$A$1:$B$40,2,FALSE)&amp;","&amp;VLOOKUP(RIGHT(Sheet1!N85,LEN(Sheet1!N85)-FIND("#",SUBSTITUTE(Sheet1!N85,", ","#",3))-1),Sheet1!$A$1:$B$40,2,FALSE),"")</f>
        <v/>
      </c>
      <c r="E39" s="6" t="str">
        <f t="shared" si="5"/>
        <v/>
      </c>
      <c r="F39" s="6" t="str">
        <f>IFERROR(IF((LEN(Sheet1!V85)-LEN(SUBSTITUTE(Sheet1!V85,", ","")))/2=0,VLOOKUP(Sheet1!V85,Sheet1!$A$1:$B$40,2,FALSE),""),"")</f>
        <v/>
      </c>
      <c r="G39" s="6" t="str">
        <f>IFERROR(IF((LEN(Sheet1!V85)-LEN(SUBSTITUTE(Sheet1!V85,", ","")))/2=1,VLOOKUP(LEFT(Sheet1!V85,FIND(", ",Sheet1!V85)-1),Sheet1!$A$1:$B$40,2,FALSE)&amp;","&amp;VLOOKUP(RIGHT(Sheet1!V85,LEN(Sheet1!V85)-FIND(", ",Sheet1!V85)-1),Sheet1!$A$1:$B$40,2,FALSE),""),"")</f>
        <v/>
      </c>
      <c r="H39" s="6" t="str">
        <f>IF((LEN(Sheet1!V85)-LEN(SUBSTITUTE(Sheet1!V85,", ","")))/2=2,VLOOKUP(LEFT(Sheet1!V85,FIND(", ",Sheet1!V85)-1),Sheet1!$A$1:$B$40,2,FALSE)&amp;","&amp;VLOOKUP(MID(Sheet1!V85,FIND("#",SUBSTITUTE(Sheet1!V85,", ","#",1))+2,FIND("#",SUBSTITUTE(Sheet1!V85,", ","#",2))-(FIND("#",SUBSTITUTE(Sheet1!V85,", ","#",1))+2)),Sheet1!$A$1:$B$40,2,FALSE)&amp;","&amp;VLOOKUP(RIGHT(Sheet1!V85,LEN(Sheet1!V85)-FIND("#",SUBSTITUTE(Sheet1!V85,", ","#",2))-1),Sheet1!$A$1:$B$40,2,FALSE),"")</f>
        <v/>
      </c>
      <c r="I39" s="6" t="str">
        <f>IF((LEN(Sheet1!V85)-LEN(SUBSTITUTE(Sheet1!V85,", ","")))/2=3,VLOOKUP(LEFT(Sheet1!V85,FIND(", ",Sheet1!V85)-1),Sheet1!$A$1:$B$40,2,FALSE)&amp;","&amp;VLOOKUP(MID(Sheet1!V85,FIND("#",SUBSTITUTE(Sheet1!V85,", ","#",1))+2,FIND("#",SUBSTITUTE(Sheet1!V85,", ","#",2))-(FIND("#",SUBSTITUTE(Sheet1!V85,", ","#",1))+2)),Sheet1!$A$1:$B$40,2,FALSE)&amp;","&amp;VLOOKUP(MID(Sheet1!V85,FIND("#",SUBSTITUTE(Sheet1!V85,", ","#",2))+2,FIND("#",SUBSTITUTE(Sheet1!V85,", ","#",3))-(FIND("#",SUBSTITUTE(Sheet1!V85,", ","#",2))+2)),Sheet1!$A$1:$B$40,2,FALSE)&amp;","&amp;VLOOKUP(RIGHT(Sheet1!V85,LEN(Sheet1!V85)-FIND("#",SUBSTITUTE(Sheet1!V85,", ","#",3))-1),Sheet1!$A$1:$B$40,2,FALSE),"")</f>
        <v/>
      </c>
      <c r="J39" s="6" t="str">
        <f>IF((LEN(Sheet1!V85)-LEN(SUBSTITUTE(Sheet1!V85,", ","")))/2=4,VLOOKUP(LEFT(Sheet1!V85,FIND(", ",Sheet1!V85)-1),Sheet1!$A$1:$B$40,2,FALSE)&amp;","&amp;VLOOKUP(MID(Sheet1!V85,FIND("#",SUBSTITUTE(Sheet1!V85,", ","#",1))+2,FIND("#",SUBSTITUTE(Sheet1!V85,", ","#",2))-(FIND("#",SUBSTITUTE(Sheet1!V85,", ","#",1))+2)),Sheet1!$A$1:$B$40,2,FALSE)&amp;","&amp;VLOOKUP(MID(Sheet1!V85,FIND("#",SUBSTITUTE(Sheet1!V85,", ","#",2))+2,FIND("#",SUBSTITUTE(Sheet1!V85,", ","#",3))-(FIND("#",SUBSTITUTE(Sheet1!V85,", ","#",2))+2)),Sheet1!$A$1:$B$40,2,FALSE)&amp;","&amp;VLOOKUP(MID(Sheet1!V85,FIND("#",SUBSTITUTE(Sheet1!V85,", ","#",3))+2,FIND("#",SUBSTITUTE(Sheet1!V85,", ","#",4))-(FIND("#",SUBSTITUTE(Sheet1!V85,", ","#",3))+2)),Sheet1!$A$1:$B$40,2,FALSE)&amp;","&amp;VLOOKUP(RIGHT(Sheet1!V85,LEN(Sheet1!V85)-FIND("#",SUBSTITUTE(Sheet1!V85,", ","#",4))-1),Sheet1!$A$1:$B$40,2,FALSE),"")</f>
        <v/>
      </c>
      <c r="K39" s="6" t="str">
        <f t="shared" si="3"/>
        <v/>
      </c>
      <c r="L39" s="6" t="str">
        <f>IFERROR(IF((LEN(Sheet1!AA85)-LEN(SUBSTITUTE(Sheet1!AA85,", ","")))/2=0,VLOOKUP(Sheet1!AA85,Sheet1!$A$1:$B$40,2,FALSE),""),"")</f>
        <v/>
      </c>
      <c r="M39" s="6" t="str">
        <f>IFERROR(IF((LEN(Sheet1!AA85)-LEN(SUBSTITUTE(Sheet1!AA85,", ","")))/2=1,VLOOKUP(LEFT(Sheet1!AA85,FIND(", ",Sheet1!AA85)-1),Sheet1!$A$1:$B$40,2,FALSE)&amp;","&amp;VLOOKUP(RIGHT(Sheet1!AA85,LEN(Sheet1!AA85)-FIND(", ",Sheet1!AA85)-1),Sheet1!$A$1:$B$40,2,FALSE),""),"")</f>
        <v/>
      </c>
      <c r="N39" s="6" t="str">
        <f t="shared" si="4"/>
        <v/>
      </c>
    </row>
    <row r="40" spans="1:14">
      <c r="A40" s="5" t="str">
        <f>IFERROR(IF((LEN(Sheet1!N86)-LEN(SUBSTITUTE(Sheet1!N86,", ","")))/2=0,VLOOKUP(Sheet1!N86,Sheet1!$A$1:$B$40,2,FALSE),""),"")</f>
        <v/>
      </c>
      <c r="B40" s="6" t="str">
        <f>IFERROR(IF((LEN(Sheet1!N86)-LEN(SUBSTITUTE(Sheet1!N86,", ","")))/2=1,VLOOKUP(LEFT(Sheet1!N86,FIND(", ",Sheet1!N86)-1),Sheet1!$A$1:$B$40,2,FALSE)&amp;","&amp;VLOOKUP(RIGHT(Sheet1!N86,LEN(Sheet1!N86)-FIND(", ",Sheet1!N86)-1),Sheet1!$A$1:$B$40,2,FALSE),""),"")</f>
        <v/>
      </c>
      <c r="C40" s="6" t="str">
        <f>IF((LEN(Sheet1!N86)-LEN(SUBSTITUTE(Sheet1!N86,", ","")))/2=2,VLOOKUP(LEFT(Sheet1!N86,FIND(", ",Sheet1!N86)-1),Sheet1!$A$1:$B$40,2,FALSE)&amp;","&amp;VLOOKUP(MID(Sheet1!N86,FIND("#",SUBSTITUTE(Sheet1!N86,", ","#",1))+2,FIND("#",SUBSTITUTE(Sheet1!N86,", ","#",2))-(FIND("#",SUBSTITUTE(Sheet1!N86,", ","#",1))+2)),Sheet1!$A$1:$B$40,2,FALSE)&amp;","&amp;VLOOKUP(RIGHT(Sheet1!N86,LEN(Sheet1!N86)-FIND("#",SUBSTITUTE(Sheet1!N86,", ","#",2))-1),Sheet1!$A$1:$B$40,2,FALSE),"")</f>
        <v/>
      </c>
      <c r="D40" s="6" t="str">
        <f>IF((LEN(Sheet1!N86)-LEN(SUBSTITUTE(Sheet1!N86,", ","")))/2=3,VLOOKUP(LEFT(Sheet1!N86,FIND(", ",Sheet1!N86)-1),Sheet1!$A$1:$B$40,2,FALSE)&amp;","&amp;VLOOKUP(MID(Sheet1!N86,FIND("#",SUBSTITUTE(Sheet1!N86,", ","#",1))+2,FIND("#",SUBSTITUTE(Sheet1!N86,", ","#",2))-(FIND("#",SUBSTITUTE(Sheet1!N86,", ","#",1))+2)),Sheet1!$A$1:$B$40,2,FALSE)&amp;","&amp;VLOOKUP(MID(Sheet1!N86,FIND("#",SUBSTITUTE(Sheet1!N86,", ","#",2))+2,FIND("#",SUBSTITUTE(Sheet1!N86,", ","#",3))-(FIND("#",SUBSTITUTE(Sheet1!N86,", ","#",2))+2)),Sheet1!$A$1:$B$40,2,FALSE)&amp;","&amp;VLOOKUP(RIGHT(Sheet1!N86,LEN(Sheet1!N86)-FIND("#",SUBSTITUTE(Sheet1!N86,", ","#",3))-1),Sheet1!$A$1:$B$40,2,FALSE),"")</f>
        <v/>
      </c>
      <c r="E40" s="6" t="str">
        <f t="shared" si="5"/>
        <v/>
      </c>
      <c r="F40" s="6" t="str">
        <f>IFERROR(IF((LEN(Sheet1!V86)-LEN(SUBSTITUTE(Sheet1!V86,", ","")))/2=0,VLOOKUP(Sheet1!V86,Sheet1!$A$1:$B$40,2,FALSE),""),"")</f>
        <v/>
      </c>
      <c r="G40" s="6" t="str">
        <f>IFERROR(IF((LEN(Sheet1!V86)-LEN(SUBSTITUTE(Sheet1!V86,", ","")))/2=1,VLOOKUP(LEFT(Sheet1!V86,FIND(", ",Sheet1!V86)-1),Sheet1!$A$1:$B$40,2,FALSE)&amp;","&amp;VLOOKUP(RIGHT(Sheet1!V86,LEN(Sheet1!V86)-FIND(", ",Sheet1!V86)-1),Sheet1!$A$1:$B$40,2,FALSE),""),"")</f>
        <v/>
      </c>
      <c r="H40" s="6" t="str">
        <f>IF((LEN(Sheet1!V86)-LEN(SUBSTITUTE(Sheet1!V86,", ","")))/2=2,VLOOKUP(LEFT(Sheet1!V86,FIND(", ",Sheet1!V86)-1),Sheet1!$A$1:$B$40,2,FALSE)&amp;","&amp;VLOOKUP(MID(Sheet1!V86,FIND("#",SUBSTITUTE(Sheet1!V86,", ","#",1))+2,FIND("#",SUBSTITUTE(Sheet1!V86,", ","#",2))-(FIND("#",SUBSTITUTE(Sheet1!V86,", ","#",1))+2)),Sheet1!$A$1:$B$40,2,FALSE)&amp;","&amp;VLOOKUP(RIGHT(Sheet1!V86,LEN(Sheet1!V86)-FIND("#",SUBSTITUTE(Sheet1!V86,", ","#",2))-1),Sheet1!$A$1:$B$40,2,FALSE),"")</f>
        <v/>
      </c>
      <c r="I40" s="6" t="str">
        <f>IF((LEN(Sheet1!V86)-LEN(SUBSTITUTE(Sheet1!V86,", ","")))/2=3,VLOOKUP(LEFT(Sheet1!V86,FIND(", ",Sheet1!V86)-1),Sheet1!$A$1:$B$40,2,FALSE)&amp;","&amp;VLOOKUP(MID(Sheet1!V86,FIND("#",SUBSTITUTE(Sheet1!V86,", ","#",1))+2,FIND("#",SUBSTITUTE(Sheet1!V86,", ","#",2))-(FIND("#",SUBSTITUTE(Sheet1!V86,", ","#",1))+2)),Sheet1!$A$1:$B$40,2,FALSE)&amp;","&amp;VLOOKUP(MID(Sheet1!V86,FIND("#",SUBSTITUTE(Sheet1!V86,", ","#",2))+2,FIND("#",SUBSTITUTE(Sheet1!V86,", ","#",3))-(FIND("#",SUBSTITUTE(Sheet1!V86,", ","#",2))+2)),Sheet1!$A$1:$B$40,2,FALSE)&amp;","&amp;VLOOKUP(RIGHT(Sheet1!V86,LEN(Sheet1!V86)-FIND("#",SUBSTITUTE(Sheet1!V86,", ","#",3))-1),Sheet1!$A$1:$B$40,2,FALSE),"")</f>
        <v/>
      </c>
      <c r="J40" s="6" t="str">
        <f>IF((LEN(Sheet1!V86)-LEN(SUBSTITUTE(Sheet1!V86,", ","")))/2=4,VLOOKUP(LEFT(Sheet1!V86,FIND(", ",Sheet1!V86)-1),Sheet1!$A$1:$B$40,2,FALSE)&amp;","&amp;VLOOKUP(MID(Sheet1!V86,FIND("#",SUBSTITUTE(Sheet1!V86,", ","#",1))+2,FIND("#",SUBSTITUTE(Sheet1!V86,", ","#",2))-(FIND("#",SUBSTITUTE(Sheet1!V86,", ","#",1))+2)),Sheet1!$A$1:$B$40,2,FALSE)&amp;","&amp;VLOOKUP(MID(Sheet1!V86,FIND("#",SUBSTITUTE(Sheet1!V86,", ","#",2))+2,FIND("#",SUBSTITUTE(Sheet1!V86,", ","#",3))-(FIND("#",SUBSTITUTE(Sheet1!V86,", ","#",2))+2)),Sheet1!$A$1:$B$40,2,FALSE)&amp;","&amp;VLOOKUP(MID(Sheet1!V86,FIND("#",SUBSTITUTE(Sheet1!V86,", ","#",3))+2,FIND("#",SUBSTITUTE(Sheet1!V86,", ","#",4))-(FIND("#",SUBSTITUTE(Sheet1!V86,", ","#",3))+2)),Sheet1!$A$1:$B$40,2,FALSE)&amp;","&amp;VLOOKUP(RIGHT(Sheet1!V86,LEN(Sheet1!V86)-FIND("#",SUBSTITUTE(Sheet1!V86,", ","#",4))-1),Sheet1!$A$1:$B$40,2,FALSE),"")</f>
        <v/>
      </c>
      <c r="K40" s="6" t="str">
        <f t="shared" si="3"/>
        <v/>
      </c>
      <c r="L40" s="6" t="str">
        <f>IFERROR(IF((LEN(Sheet1!AA86)-LEN(SUBSTITUTE(Sheet1!AA86,", ","")))/2=0,VLOOKUP(Sheet1!AA86,Sheet1!$A$1:$B$40,2,FALSE),""),"")</f>
        <v/>
      </c>
      <c r="M40" s="6" t="str">
        <f>IFERROR(IF((LEN(Sheet1!AA86)-LEN(SUBSTITUTE(Sheet1!AA86,", ","")))/2=1,VLOOKUP(LEFT(Sheet1!AA86,FIND(", ",Sheet1!AA86)-1),Sheet1!$A$1:$B$40,2,FALSE)&amp;","&amp;VLOOKUP(RIGHT(Sheet1!AA86,LEN(Sheet1!AA86)-FIND(", ",Sheet1!AA86)-1),Sheet1!$A$1:$B$40,2,FALSE),""),"")</f>
        <v/>
      </c>
      <c r="N40" s="6" t="str">
        <f t="shared" si="4"/>
        <v/>
      </c>
    </row>
    <row r="41" spans="1:14">
      <c r="A41" s="5" t="str">
        <f>IFERROR(IF((LEN(Sheet1!N87)-LEN(SUBSTITUTE(Sheet1!N87,", ","")))/2=0,VLOOKUP(Sheet1!N87,Sheet1!$A$1:$B$40,2,FALSE),""),"")</f>
        <v/>
      </c>
      <c r="B41" s="6" t="str">
        <f>IFERROR(IF((LEN(Sheet1!N87)-LEN(SUBSTITUTE(Sheet1!N87,", ","")))/2=1,VLOOKUP(LEFT(Sheet1!N87,FIND(", ",Sheet1!N87)-1),Sheet1!$A$1:$B$40,2,FALSE)&amp;","&amp;VLOOKUP(RIGHT(Sheet1!N87,LEN(Sheet1!N87)-FIND(", ",Sheet1!N87)-1),Sheet1!$A$1:$B$40,2,FALSE),""),"")</f>
        <v/>
      </c>
      <c r="C41" s="6" t="str">
        <f>IF((LEN(Sheet1!N87)-LEN(SUBSTITUTE(Sheet1!N87,", ","")))/2=2,VLOOKUP(LEFT(Sheet1!N87,FIND(", ",Sheet1!N87)-1),Sheet1!$A$1:$B$40,2,FALSE)&amp;","&amp;VLOOKUP(MID(Sheet1!N87,FIND("#",SUBSTITUTE(Sheet1!N87,", ","#",1))+2,FIND("#",SUBSTITUTE(Sheet1!N87,", ","#",2))-(FIND("#",SUBSTITUTE(Sheet1!N87,", ","#",1))+2)),Sheet1!$A$1:$B$40,2,FALSE)&amp;","&amp;VLOOKUP(RIGHT(Sheet1!N87,LEN(Sheet1!N87)-FIND("#",SUBSTITUTE(Sheet1!N87,", ","#",2))-1),Sheet1!$A$1:$B$40,2,FALSE),"")</f>
        <v/>
      </c>
      <c r="D41" s="6" t="str">
        <f>IF((LEN(Sheet1!N87)-LEN(SUBSTITUTE(Sheet1!N87,", ","")))/2=3,VLOOKUP(LEFT(Sheet1!N87,FIND(", ",Sheet1!N87)-1),Sheet1!$A$1:$B$40,2,FALSE)&amp;","&amp;VLOOKUP(MID(Sheet1!N87,FIND("#",SUBSTITUTE(Sheet1!N87,", ","#",1))+2,FIND("#",SUBSTITUTE(Sheet1!N87,", ","#",2))-(FIND("#",SUBSTITUTE(Sheet1!N87,", ","#",1))+2)),Sheet1!$A$1:$B$40,2,FALSE)&amp;","&amp;VLOOKUP(MID(Sheet1!N87,FIND("#",SUBSTITUTE(Sheet1!N87,", ","#",2))+2,FIND("#",SUBSTITUTE(Sheet1!N87,", ","#",3))-(FIND("#",SUBSTITUTE(Sheet1!N87,", ","#",2))+2)),Sheet1!$A$1:$B$40,2,FALSE)&amp;","&amp;VLOOKUP(RIGHT(Sheet1!N87,LEN(Sheet1!N87)-FIND("#",SUBSTITUTE(Sheet1!N87,", ","#",3))-1),Sheet1!$A$1:$B$40,2,FALSE),"")</f>
        <v/>
      </c>
      <c r="E41" s="6" t="str">
        <f t="shared" si="5"/>
        <v/>
      </c>
      <c r="F41" s="6" t="str">
        <f>IFERROR(IF((LEN(Sheet1!V87)-LEN(SUBSTITUTE(Sheet1!V87,", ","")))/2=0,VLOOKUP(Sheet1!V87,Sheet1!$A$1:$B$40,2,FALSE),""),"")</f>
        <v/>
      </c>
      <c r="G41" s="6" t="str">
        <f>IFERROR(IF((LEN(Sheet1!V87)-LEN(SUBSTITUTE(Sheet1!V87,", ","")))/2=1,VLOOKUP(LEFT(Sheet1!V87,FIND(", ",Sheet1!V87)-1),Sheet1!$A$1:$B$40,2,FALSE)&amp;","&amp;VLOOKUP(RIGHT(Sheet1!V87,LEN(Sheet1!V87)-FIND(", ",Sheet1!V87)-1),Sheet1!$A$1:$B$40,2,FALSE),""),"")</f>
        <v/>
      </c>
      <c r="H41" s="6" t="str">
        <f>IF((LEN(Sheet1!V87)-LEN(SUBSTITUTE(Sheet1!V87,", ","")))/2=2,VLOOKUP(LEFT(Sheet1!V87,FIND(", ",Sheet1!V87)-1),Sheet1!$A$1:$B$40,2,FALSE)&amp;","&amp;VLOOKUP(MID(Sheet1!V87,FIND("#",SUBSTITUTE(Sheet1!V87,", ","#",1))+2,FIND("#",SUBSTITUTE(Sheet1!V87,", ","#",2))-(FIND("#",SUBSTITUTE(Sheet1!V87,", ","#",1))+2)),Sheet1!$A$1:$B$40,2,FALSE)&amp;","&amp;VLOOKUP(RIGHT(Sheet1!V87,LEN(Sheet1!V87)-FIND("#",SUBSTITUTE(Sheet1!V87,", ","#",2))-1),Sheet1!$A$1:$B$40,2,FALSE),"")</f>
        <v/>
      </c>
      <c r="I41" s="6" t="str">
        <f>IF((LEN(Sheet1!V87)-LEN(SUBSTITUTE(Sheet1!V87,", ","")))/2=3,VLOOKUP(LEFT(Sheet1!V87,FIND(", ",Sheet1!V87)-1),Sheet1!$A$1:$B$40,2,FALSE)&amp;","&amp;VLOOKUP(MID(Sheet1!V87,FIND("#",SUBSTITUTE(Sheet1!V87,", ","#",1))+2,FIND("#",SUBSTITUTE(Sheet1!V87,", ","#",2))-(FIND("#",SUBSTITUTE(Sheet1!V87,", ","#",1))+2)),Sheet1!$A$1:$B$40,2,FALSE)&amp;","&amp;VLOOKUP(MID(Sheet1!V87,FIND("#",SUBSTITUTE(Sheet1!V87,", ","#",2))+2,FIND("#",SUBSTITUTE(Sheet1!V87,", ","#",3))-(FIND("#",SUBSTITUTE(Sheet1!V87,", ","#",2))+2)),Sheet1!$A$1:$B$40,2,FALSE)&amp;","&amp;VLOOKUP(RIGHT(Sheet1!V87,LEN(Sheet1!V87)-FIND("#",SUBSTITUTE(Sheet1!V87,", ","#",3))-1),Sheet1!$A$1:$B$40,2,FALSE),"")</f>
        <v/>
      </c>
      <c r="J41" s="6" t="str">
        <f>IF((LEN(Sheet1!V87)-LEN(SUBSTITUTE(Sheet1!V87,", ","")))/2=4,VLOOKUP(LEFT(Sheet1!V87,FIND(", ",Sheet1!V87)-1),Sheet1!$A$1:$B$40,2,FALSE)&amp;","&amp;VLOOKUP(MID(Sheet1!V87,FIND("#",SUBSTITUTE(Sheet1!V87,", ","#",1))+2,FIND("#",SUBSTITUTE(Sheet1!V87,", ","#",2))-(FIND("#",SUBSTITUTE(Sheet1!V87,", ","#",1))+2)),Sheet1!$A$1:$B$40,2,FALSE)&amp;","&amp;VLOOKUP(MID(Sheet1!V87,FIND("#",SUBSTITUTE(Sheet1!V87,", ","#",2))+2,FIND("#",SUBSTITUTE(Sheet1!V87,", ","#",3))-(FIND("#",SUBSTITUTE(Sheet1!V87,", ","#",2))+2)),Sheet1!$A$1:$B$40,2,FALSE)&amp;","&amp;VLOOKUP(MID(Sheet1!V87,FIND("#",SUBSTITUTE(Sheet1!V87,", ","#",3))+2,FIND("#",SUBSTITUTE(Sheet1!V87,", ","#",4))-(FIND("#",SUBSTITUTE(Sheet1!V87,", ","#",3))+2)),Sheet1!$A$1:$B$40,2,FALSE)&amp;","&amp;VLOOKUP(RIGHT(Sheet1!V87,LEN(Sheet1!V87)-FIND("#",SUBSTITUTE(Sheet1!V87,", ","#",4))-1),Sheet1!$A$1:$B$40,2,FALSE),"")</f>
        <v/>
      </c>
      <c r="K41" s="6" t="str">
        <f t="shared" si="3"/>
        <v/>
      </c>
      <c r="L41" s="6" t="str">
        <f>IFERROR(IF((LEN(Sheet1!AA87)-LEN(SUBSTITUTE(Sheet1!AA87,", ","")))/2=0,VLOOKUP(Sheet1!AA87,Sheet1!$A$1:$B$40,2,FALSE),""),"")</f>
        <v/>
      </c>
      <c r="M41" s="6" t="str">
        <f>IFERROR(IF((LEN(Sheet1!AA87)-LEN(SUBSTITUTE(Sheet1!AA87,", ","")))/2=1,VLOOKUP(LEFT(Sheet1!AA87,FIND(", ",Sheet1!AA87)-1),Sheet1!$A$1:$B$40,2,FALSE)&amp;","&amp;VLOOKUP(RIGHT(Sheet1!AA87,LEN(Sheet1!AA87)-FIND(", ",Sheet1!AA87)-1),Sheet1!$A$1:$B$40,2,FALSE),""),"")</f>
        <v/>
      </c>
      <c r="N41" s="6" t="str">
        <f t="shared" si="4"/>
        <v/>
      </c>
    </row>
    <row r="42" spans="1:14">
      <c r="A42" s="5" t="str">
        <f>IFERROR(IF((LEN(Sheet1!N88)-LEN(SUBSTITUTE(Sheet1!N88,", ","")))/2=0,VLOOKUP(Sheet1!N88,Sheet1!$A$1:$B$40,2,FALSE),""),"")</f>
        <v/>
      </c>
      <c r="B42" s="6" t="str">
        <f>IFERROR(IF((LEN(Sheet1!N88)-LEN(SUBSTITUTE(Sheet1!N88,", ","")))/2=1,VLOOKUP(LEFT(Sheet1!N88,FIND(", ",Sheet1!N88)-1),Sheet1!$A$1:$B$40,2,FALSE)&amp;","&amp;VLOOKUP(RIGHT(Sheet1!N88,LEN(Sheet1!N88)-FIND(", ",Sheet1!N88)-1),Sheet1!$A$1:$B$40,2,FALSE),""),"")</f>
        <v/>
      </c>
      <c r="C42" s="6" t="str">
        <f>IF((LEN(Sheet1!N88)-LEN(SUBSTITUTE(Sheet1!N88,", ","")))/2=2,VLOOKUP(LEFT(Sheet1!N88,FIND(", ",Sheet1!N88)-1),Sheet1!$A$1:$B$40,2,FALSE)&amp;","&amp;VLOOKUP(MID(Sheet1!N88,FIND("#",SUBSTITUTE(Sheet1!N88,", ","#",1))+2,FIND("#",SUBSTITUTE(Sheet1!N88,", ","#",2))-(FIND("#",SUBSTITUTE(Sheet1!N88,", ","#",1))+2)),Sheet1!$A$1:$B$40,2,FALSE)&amp;","&amp;VLOOKUP(RIGHT(Sheet1!N88,LEN(Sheet1!N88)-FIND("#",SUBSTITUTE(Sheet1!N88,", ","#",2))-1),Sheet1!$A$1:$B$40,2,FALSE),"")</f>
        <v/>
      </c>
      <c r="D42" s="6" t="str">
        <f>IF((LEN(Sheet1!N88)-LEN(SUBSTITUTE(Sheet1!N88,", ","")))/2=3,VLOOKUP(LEFT(Sheet1!N88,FIND(", ",Sheet1!N88)-1),Sheet1!$A$1:$B$40,2,FALSE)&amp;","&amp;VLOOKUP(MID(Sheet1!N88,FIND("#",SUBSTITUTE(Sheet1!N88,", ","#",1))+2,FIND("#",SUBSTITUTE(Sheet1!N88,", ","#",2))-(FIND("#",SUBSTITUTE(Sheet1!N88,", ","#",1))+2)),Sheet1!$A$1:$B$40,2,FALSE)&amp;","&amp;VLOOKUP(MID(Sheet1!N88,FIND("#",SUBSTITUTE(Sheet1!N88,", ","#",2))+2,FIND("#",SUBSTITUTE(Sheet1!N88,", ","#",3))-(FIND("#",SUBSTITUTE(Sheet1!N88,", ","#",2))+2)),Sheet1!$A$1:$B$40,2,FALSE)&amp;","&amp;VLOOKUP(RIGHT(Sheet1!N88,LEN(Sheet1!N88)-FIND("#",SUBSTITUTE(Sheet1!N88,", ","#",3))-1),Sheet1!$A$1:$B$40,2,FALSE),"")</f>
        <v/>
      </c>
      <c r="E42" s="6" t="str">
        <f t="shared" si="5"/>
        <v/>
      </c>
      <c r="F42" s="6" t="str">
        <f>IFERROR(IF((LEN(Sheet1!V88)-LEN(SUBSTITUTE(Sheet1!V88,", ","")))/2=0,VLOOKUP(Sheet1!V88,Sheet1!$A$1:$B$40,2,FALSE),""),"")</f>
        <v/>
      </c>
      <c r="G42" s="6" t="str">
        <f>IFERROR(IF((LEN(Sheet1!V88)-LEN(SUBSTITUTE(Sheet1!V88,", ","")))/2=1,VLOOKUP(LEFT(Sheet1!V88,FIND(", ",Sheet1!V88)-1),Sheet1!$A$1:$B$40,2,FALSE)&amp;","&amp;VLOOKUP(RIGHT(Sheet1!V88,LEN(Sheet1!V88)-FIND(", ",Sheet1!V88)-1),Sheet1!$A$1:$B$40,2,FALSE),""),"")</f>
        <v/>
      </c>
      <c r="H42" s="6" t="str">
        <f>IF((LEN(Sheet1!V88)-LEN(SUBSTITUTE(Sheet1!V88,", ","")))/2=2,VLOOKUP(LEFT(Sheet1!V88,FIND(", ",Sheet1!V88)-1),Sheet1!$A$1:$B$40,2,FALSE)&amp;","&amp;VLOOKUP(MID(Sheet1!V88,FIND("#",SUBSTITUTE(Sheet1!V88,", ","#",1))+2,FIND("#",SUBSTITUTE(Sheet1!V88,", ","#",2))-(FIND("#",SUBSTITUTE(Sheet1!V88,", ","#",1))+2)),Sheet1!$A$1:$B$40,2,FALSE)&amp;","&amp;VLOOKUP(RIGHT(Sheet1!V88,LEN(Sheet1!V88)-FIND("#",SUBSTITUTE(Sheet1!V88,", ","#",2))-1),Sheet1!$A$1:$B$40,2,FALSE),"")</f>
        <v/>
      </c>
      <c r="I42" s="6" t="str">
        <f>IF((LEN(Sheet1!V88)-LEN(SUBSTITUTE(Sheet1!V88,", ","")))/2=3,VLOOKUP(LEFT(Sheet1!V88,FIND(", ",Sheet1!V88)-1),Sheet1!$A$1:$B$40,2,FALSE)&amp;","&amp;VLOOKUP(MID(Sheet1!V88,FIND("#",SUBSTITUTE(Sheet1!V88,", ","#",1))+2,FIND("#",SUBSTITUTE(Sheet1!V88,", ","#",2))-(FIND("#",SUBSTITUTE(Sheet1!V88,", ","#",1))+2)),Sheet1!$A$1:$B$40,2,FALSE)&amp;","&amp;VLOOKUP(MID(Sheet1!V88,FIND("#",SUBSTITUTE(Sheet1!V88,", ","#",2))+2,FIND("#",SUBSTITUTE(Sheet1!V88,", ","#",3))-(FIND("#",SUBSTITUTE(Sheet1!V88,", ","#",2))+2)),Sheet1!$A$1:$B$40,2,FALSE)&amp;","&amp;VLOOKUP(RIGHT(Sheet1!V88,LEN(Sheet1!V88)-FIND("#",SUBSTITUTE(Sheet1!V88,", ","#",3))-1),Sheet1!$A$1:$B$40,2,FALSE),"")</f>
        <v/>
      </c>
      <c r="J42" s="6" t="str">
        <f>IF((LEN(Sheet1!V88)-LEN(SUBSTITUTE(Sheet1!V88,", ","")))/2=4,VLOOKUP(LEFT(Sheet1!V88,FIND(", ",Sheet1!V88)-1),Sheet1!$A$1:$B$40,2,FALSE)&amp;","&amp;VLOOKUP(MID(Sheet1!V88,FIND("#",SUBSTITUTE(Sheet1!V88,", ","#",1))+2,FIND("#",SUBSTITUTE(Sheet1!V88,", ","#",2))-(FIND("#",SUBSTITUTE(Sheet1!V88,", ","#",1))+2)),Sheet1!$A$1:$B$40,2,FALSE)&amp;","&amp;VLOOKUP(MID(Sheet1!V88,FIND("#",SUBSTITUTE(Sheet1!V88,", ","#",2))+2,FIND("#",SUBSTITUTE(Sheet1!V88,", ","#",3))-(FIND("#",SUBSTITUTE(Sheet1!V88,", ","#",2))+2)),Sheet1!$A$1:$B$40,2,FALSE)&amp;","&amp;VLOOKUP(MID(Sheet1!V88,FIND("#",SUBSTITUTE(Sheet1!V88,", ","#",3))+2,FIND("#",SUBSTITUTE(Sheet1!V88,", ","#",4))-(FIND("#",SUBSTITUTE(Sheet1!V88,", ","#",3))+2)),Sheet1!$A$1:$B$40,2,FALSE)&amp;","&amp;VLOOKUP(RIGHT(Sheet1!V88,LEN(Sheet1!V88)-FIND("#",SUBSTITUTE(Sheet1!V88,", ","#",4))-1),Sheet1!$A$1:$B$40,2,FALSE),"")</f>
        <v/>
      </c>
      <c r="K42" s="6" t="str">
        <f t="shared" si="3"/>
        <v/>
      </c>
      <c r="L42" s="6" t="str">
        <f>IFERROR(IF((LEN(Sheet1!AA88)-LEN(SUBSTITUTE(Sheet1!AA88,", ","")))/2=0,VLOOKUP(Sheet1!AA88,Sheet1!$A$1:$B$40,2,FALSE),""),"")</f>
        <v/>
      </c>
      <c r="M42" s="6" t="str">
        <f>IFERROR(IF((LEN(Sheet1!AA88)-LEN(SUBSTITUTE(Sheet1!AA88,", ","")))/2=1,VLOOKUP(LEFT(Sheet1!AA88,FIND(", ",Sheet1!AA88)-1),Sheet1!$A$1:$B$40,2,FALSE)&amp;","&amp;VLOOKUP(RIGHT(Sheet1!AA88,LEN(Sheet1!AA88)-FIND(", ",Sheet1!AA88)-1),Sheet1!$A$1:$B$40,2,FALSE),""),"")</f>
        <v/>
      </c>
      <c r="N42" s="6" t="str">
        <f t="shared" si="4"/>
        <v/>
      </c>
    </row>
    <row r="43" spans="1:14">
      <c r="A43" s="5" t="str">
        <f>IFERROR(IF((LEN(Sheet1!N89)-LEN(SUBSTITUTE(Sheet1!N89,", ","")))/2=0,VLOOKUP(Sheet1!N89,Sheet1!$A$1:$B$40,2,FALSE),""),"")</f>
        <v/>
      </c>
      <c r="B43" s="6" t="str">
        <f>IFERROR(IF((LEN(Sheet1!N89)-LEN(SUBSTITUTE(Sheet1!N89,", ","")))/2=1,VLOOKUP(LEFT(Sheet1!N89,FIND(", ",Sheet1!N89)-1),Sheet1!$A$1:$B$40,2,FALSE)&amp;","&amp;VLOOKUP(RIGHT(Sheet1!N89,LEN(Sheet1!N89)-FIND(", ",Sheet1!N89)-1),Sheet1!$A$1:$B$40,2,FALSE),""),"")</f>
        <v/>
      </c>
      <c r="C43" s="6" t="str">
        <f>IF((LEN(Sheet1!N89)-LEN(SUBSTITUTE(Sheet1!N89,", ","")))/2=2,VLOOKUP(LEFT(Sheet1!N89,FIND(", ",Sheet1!N89)-1),Sheet1!$A$1:$B$40,2,FALSE)&amp;","&amp;VLOOKUP(MID(Sheet1!N89,FIND("#",SUBSTITUTE(Sheet1!N89,", ","#",1))+2,FIND("#",SUBSTITUTE(Sheet1!N89,", ","#",2))-(FIND("#",SUBSTITUTE(Sheet1!N89,", ","#",1))+2)),Sheet1!$A$1:$B$40,2,FALSE)&amp;","&amp;VLOOKUP(RIGHT(Sheet1!N89,LEN(Sheet1!N89)-FIND("#",SUBSTITUTE(Sheet1!N89,", ","#",2))-1),Sheet1!$A$1:$B$40,2,FALSE),"")</f>
        <v/>
      </c>
      <c r="D43" s="6" t="str">
        <f>IF((LEN(Sheet1!N89)-LEN(SUBSTITUTE(Sheet1!N89,", ","")))/2=3,VLOOKUP(LEFT(Sheet1!N89,FIND(", ",Sheet1!N89)-1),Sheet1!$A$1:$B$40,2,FALSE)&amp;","&amp;VLOOKUP(MID(Sheet1!N89,FIND("#",SUBSTITUTE(Sheet1!N89,", ","#",1))+2,FIND("#",SUBSTITUTE(Sheet1!N89,", ","#",2))-(FIND("#",SUBSTITUTE(Sheet1!N89,", ","#",1))+2)),Sheet1!$A$1:$B$40,2,FALSE)&amp;","&amp;VLOOKUP(MID(Sheet1!N89,FIND("#",SUBSTITUTE(Sheet1!N89,", ","#",2))+2,FIND("#",SUBSTITUTE(Sheet1!N89,", ","#",3))-(FIND("#",SUBSTITUTE(Sheet1!N89,", ","#",2))+2)),Sheet1!$A$1:$B$40,2,FALSE)&amp;","&amp;VLOOKUP(RIGHT(Sheet1!N89,LEN(Sheet1!N89)-FIND("#",SUBSTITUTE(Sheet1!N89,", ","#",3))-1),Sheet1!$A$1:$B$40,2,FALSE),"")</f>
        <v/>
      </c>
      <c r="E43" s="6" t="str">
        <f t="shared" si="5"/>
        <v/>
      </c>
      <c r="F43" s="6" t="str">
        <f>IFERROR(IF((LEN(Sheet1!V89)-LEN(SUBSTITUTE(Sheet1!V89,", ","")))/2=0,VLOOKUP(Sheet1!V89,Sheet1!$A$1:$B$40,2,FALSE),""),"")</f>
        <v/>
      </c>
      <c r="G43" s="6" t="str">
        <f>IFERROR(IF((LEN(Sheet1!V89)-LEN(SUBSTITUTE(Sheet1!V89,", ","")))/2=1,VLOOKUP(LEFT(Sheet1!V89,FIND(", ",Sheet1!V89)-1),Sheet1!$A$1:$B$40,2,FALSE)&amp;","&amp;VLOOKUP(RIGHT(Sheet1!V89,LEN(Sheet1!V89)-FIND(", ",Sheet1!V89)-1),Sheet1!$A$1:$B$40,2,FALSE),""),"")</f>
        <v/>
      </c>
      <c r="H43" s="6" t="str">
        <f>IF((LEN(Sheet1!V89)-LEN(SUBSTITUTE(Sheet1!V89,", ","")))/2=2,VLOOKUP(LEFT(Sheet1!V89,FIND(", ",Sheet1!V89)-1),Sheet1!$A$1:$B$40,2,FALSE)&amp;","&amp;VLOOKUP(MID(Sheet1!V89,FIND("#",SUBSTITUTE(Sheet1!V89,", ","#",1))+2,FIND("#",SUBSTITUTE(Sheet1!V89,", ","#",2))-(FIND("#",SUBSTITUTE(Sheet1!V89,", ","#",1))+2)),Sheet1!$A$1:$B$40,2,FALSE)&amp;","&amp;VLOOKUP(RIGHT(Sheet1!V89,LEN(Sheet1!V89)-FIND("#",SUBSTITUTE(Sheet1!V89,", ","#",2))-1),Sheet1!$A$1:$B$40,2,FALSE),"")</f>
        <v/>
      </c>
      <c r="I43" s="6" t="str">
        <f>IF((LEN(Sheet1!V89)-LEN(SUBSTITUTE(Sheet1!V89,", ","")))/2=3,VLOOKUP(LEFT(Sheet1!V89,FIND(", ",Sheet1!V89)-1),Sheet1!$A$1:$B$40,2,FALSE)&amp;","&amp;VLOOKUP(MID(Sheet1!V89,FIND("#",SUBSTITUTE(Sheet1!V89,", ","#",1))+2,FIND("#",SUBSTITUTE(Sheet1!V89,", ","#",2))-(FIND("#",SUBSTITUTE(Sheet1!V89,", ","#",1))+2)),Sheet1!$A$1:$B$40,2,FALSE)&amp;","&amp;VLOOKUP(MID(Sheet1!V89,FIND("#",SUBSTITUTE(Sheet1!V89,", ","#",2))+2,FIND("#",SUBSTITUTE(Sheet1!V89,", ","#",3))-(FIND("#",SUBSTITUTE(Sheet1!V89,", ","#",2))+2)),Sheet1!$A$1:$B$40,2,FALSE)&amp;","&amp;VLOOKUP(RIGHT(Sheet1!V89,LEN(Sheet1!V89)-FIND("#",SUBSTITUTE(Sheet1!V89,", ","#",3))-1),Sheet1!$A$1:$B$40,2,FALSE),"")</f>
        <v/>
      </c>
      <c r="J43" s="6" t="str">
        <f>IF((LEN(Sheet1!V89)-LEN(SUBSTITUTE(Sheet1!V89,", ","")))/2=4,VLOOKUP(LEFT(Sheet1!V89,FIND(", ",Sheet1!V89)-1),Sheet1!$A$1:$B$40,2,FALSE)&amp;","&amp;VLOOKUP(MID(Sheet1!V89,FIND("#",SUBSTITUTE(Sheet1!V89,", ","#",1))+2,FIND("#",SUBSTITUTE(Sheet1!V89,", ","#",2))-(FIND("#",SUBSTITUTE(Sheet1!V89,", ","#",1))+2)),Sheet1!$A$1:$B$40,2,FALSE)&amp;","&amp;VLOOKUP(MID(Sheet1!V89,FIND("#",SUBSTITUTE(Sheet1!V89,", ","#",2))+2,FIND("#",SUBSTITUTE(Sheet1!V89,", ","#",3))-(FIND("#",SUBSTITUTE(Sheet1!V89,", ","#",2))+2)),Sheet1!$A$1:$B$40,2,FALSE)&amp;","&amp;VLOOKUP(MID(Sheet1!V89,FIND("#",SUBSTITUTE(Sheet1!V89,", ","#",3))+2,FIND("#",SUBSTITUTE(Sheet1!V89,", ","#",4))-(FIND("#",SUBSTITUTE(Sheet1!V89,", ","#",3))+2)),Sheet1!$A$1:$B$40,2,FALSE)&amp;","&amp;VLOOKUP(RIGHT(Sheet1!V89,LEN(Sheet1!V89)-FIND("#",SUBSTITUTE(Sheet1!V89,", ","#",4))-1),Sheet1!$A$1:$B$40,2,FALSE),"")</f>
        <v/>
      </c>
      <c r="K43" s="6" t="str">
        <f t="shared" si="3"/>
        <v/>
      </c>
      <c r="L43" s="6" t="str">
        <f>IFERROR(IF((LEN(Sheet1!AA89)-LEN(SUBSTITUTE(Sheet1!AA89,", ","")))/2=0,VLOOKUP(Sheet1!AA89,Sheet1!$A$1:$B$40,2,FALSE),""),"")</f>
        <v/>
      </c>
      <c r="M43" s="6" t="str">
        <f>IFERROR(IF((LEN(Sheet1!AA89)-LEN(SUBSTITUTE(Sheet1!AA89,", ","")))/2=1,VLOOKUP(LEFT(Sheet1!AA89,FIND(", ",Sheet1!AA89)-1),Sheet1!$A$1:$B$40,2,FALSE)&amp;","&amp;VLOOKUP(RIGHT(Sheet1!AA89,LEN(Sheet1!AA89)-FIND(", ",Sheet1!AA89)-1),Sheet1!$A$1:$B$40,2,FALSE),""),"")</f>
        <v/>
      </c>
      <c r="N43" s="6" t="str">
        <f t="shared" si="4"/>
        <v/>
      </c>
    </row>
    <row r="44" spans="1:14">
      <c r="A44" s="5" t="str">
        <f>IFERROR(IF((LEN(Sheet1!N90)-LEN(SUBSTITUTE(Sheet1!N90,", ","")))/2=0,VLOOKUP(Sheet1!N90,Sheet1!$A$1:$B$40,2,FALSE),""),"")</f>
        <v/>
      </c>
      <c r="B44" s="6" t="str">
        <f>IFERROR(IF((LEN(Sheet1!N90)-LEN(SUBSTITUTE(Sheet1!N90,", ","")))/2=1,VLOOKUP(LEFT(Sheet1!N90,FIND(", ",Sheet1!N90)-1),Sheet1!$A$1:$B$40,2,FALSE)&amp;","&amp;VLOOKUP(RIGHT(Sheet1!N90,LEN(Sheet1!N90)-FIND(", ",Sheet1!N90)-1),Sheet1!$A$1:$B$40,2,FALSE),""),"")</f>
        <v/>
      </c>
      <c r="C44" s="6" t="str">
        <f>IF((LEN(Sheet1!N90)-LEN(SUBSTITUTE(Sheet1!N90,", ","")))/2=2,VLOOKUP(LEFT(Sheet1!N90,FIND(", ",Sheet1!N90)-1),Sheet1!$A$1:$B$40,2,FALSE)&amp;","&amp;VLOOKUP(MID(Sheet1!N90,FIND("#",SUBSTITUTE(Sheet1!N90,", ","#",1))+2,FIND("#",SUBSTITUTE(Sheet1!N90,", ","#",2))-(FIND("#",SUBSTITUTE(Sheet1!N90,", ","#",1))+2)),Sheet1!$A$1:$B$40,2,FALSE)&amp;","&amp;VLOOKUP(RIGHT(Sheet1!N90,LEN(Sheet1!N90)-FIND("#",SUBSTITUTE(Sheet1!N90,", ","#",2))-1),Sheet1!$A$1:$B$40,2,FALSE),"")</f>
        <v/>
      </c>
      <c r="D44" s="6" t="str">
        <f>IF((LEN(Sheet1!N90)-LEN(SUBSTITUTE(Sheet1!N90,", ","")))/2=3,VLOOKUP(LEFT(Sheet1!N90,FIND(", ",Sheet1!N90)-1),Sheet1!$A$1:$B$40,2,FALSE)&amp;","&amp;VLOOKUP(MID(Sheet1!N90,FIND("#",SUBSTITUTE(Sheet1!N90,", ","#",1))+2,FIND("#",SUBSTITUTE(Sheet1!N90,", ","#",2))-(FIND("#",SUBSTITUTE(Sheet1!N90,", ","#",1))+2)),Sheet1!$A$1:$B$40,2,FALSE)&amp;","&amp;VLOOKUP(MID(Sheet1!N90,FIND("#",SUBSTITUTE(Sheet1!N90,", ","#",2))+2,FIND("#",SUBSTITUTE(Sheet1!N90,", ","#",3))-(FIND("#",SUBSTITUTE(Sheet1!N90,", ","#",2))+2)),Sheet1!$A$1:$B$40,2,FALSE)&amp;","&amp;VLOOKUP(RIGHT(Sheet1!N90,LEN(Sheet1!N90)-FIND("#",SUBSTITUTE(Sheet1!N90,", ","#",3))-1),Sheet1!$A$1:$B$40,2,FALSE),"")</f>
        <v/>
      </c>
      <c r="E44" s="6" t="str">
        <f t="shared" si="5"/>
        <v/>
      </c>
      <c r="F44" s="6" t="str">
        <f>IFERROR(IF((LEN(Sheet1!V90)-LEN(SUBSTITUTE(Sheet1!V90,", ","")))/2=0,VLOOKUP(Sheet1!V90,Sheet1!$A$1:$B$40,2,FALSE),""),"")</f>
        <v/>
      </c>
      <c r="G44" s="6" t="str">
        <f>IFERROR(IF((LEN(Sheet1!V90)-LEN(SUBSTITUTE(Sheet1!V90,", ","")))/2=1,VLOOKUP(LEFT(Sheet1!V90,FIND(", ",Sheet1!V90)-1),Sheet1!$A$1:$B$40,2,FALSE)&amp;","&amp;VLOOKUP(RIGHT(Sheet1!V90,LEN(Sheet1!V90)-FIND(", ",Sheet1!V90)-1),Sheet1!$A$1:$B$40,2,FALSE),""),"")</f>
        <v/>
      </c>
      <c r="H44" s="6" t="str">
        <f>IF((LEN(Sheet1!V90)-LEN(SUBSTITUTE(Sheet1!V90,", ","")))/2=2,VLOOKUP(LEFT(Sheet1!V90,FIND(", ",Sheet1!V90)-1),Sheet1!$A$1:$B$40,2,FALSE)&amp;","&amp;VLOOKUP(MID(Sheet1!V90,FIND("#",SUBSTITUTE(Sheet1!V90,", ","#",1))+2,FIND("#",SUBSTITUTE(Sheet1!V90,", ","#",2))-(FIND("#",SUBSTITUTE(Sheet1!V90,", ","#",1))+2)),Sheet1!$A$1:$B$40,2,FALSE)&amp;","&amp;VLOOKUP(RIGHT(Sheet1!V90,LEN(Sheet1!V90)-FIND("#",SUBSTITUTE(Sheet1!V90,", ","#",2))-1),Sheet1!$A$1:$B$40,2,FALSE),"")</f>
        <v/>
      </c>
      <c r="I44" s="6" t="str">
        <f>IF((LEN(Sheet1!V90)-LEN(SUBSTITUTE(Sheet1!V90,", ","")))/2=3,VLOOKUP(LEFT(Sheet1!V90,FIND(", ",Sheet1!V90)-1),Sheet1!$A$1:$B$40,2,FALSE)&amp;","&amp;VLOOKUP(MID(Sheet1!V90,FIND("#",SUBSTITUTE(Sheet1!V90,", ","#",1))+2,FIND("#",SUBSTITUTE(Sheet1!V90,", ","#",2))-(FIND("#",SUBSTITUTE(Sheet1!V90,", ","#",1))+2)),Sheet1!$A$1:$B$40,2,FALSE)&amp;","&amp;VLOOKUP(MID(Sheet1!V90,FIND("#",SUBSTITUTE(Sheet1!V90,", ","#",2))+2,FIND("#",SUBSTITUTE(Sheet1!V90,", ","#",3))-(FIND("#",SUBSTITUTE(Sheet1!V90,", ","#",2))+2)),Sheet1!$A$1:$B$40,2,FALSE)&amp;","&amp;VLOOKUP(RIGHT(Sheet1!V90,LEN(Sheet1!V90)-FIND("#",SUBSTITUTE(Sheet1!V90,", ","#",3))-1),Sheet1!$A$1:$B$40,2,FALSE),"")</f>
        <v/>
      </c>
      <c r="J44" s="6" t="str">
        <f>IF((LEN(Sheet1!V90)-LEN(SUBSTITUTE(Sheet1!V90,", ","")))/2=4,VLOOKUP(LEFT(Sheet1!V90,FIND(", ",Sheet1!V90)-1),Sheet1!$A$1:$B$40,2,FALSE)&amp;","&amp;VLOOKUP(MID(Sheet1!V90,FIND("#",SUBSTITUTE(Sheet1!V90,", ","#",1))+2,FIND("#",SUBSTITUTE(Sheet1!V90,", ","#",2))-(FIND("#",SUBSTITUTE(Sheet1!V90,", ","#",1))+2)),Sheet1!$A$1:$B$40,2,FALSE)&amp;","&amp;VLOOKUP(MID(Sheet1!V90,FIND("#",SUBSTITUTE(Sheet1!V90,", ","#",2))+2,FIND("#",SUBSTITUTE(Sheet1!V90,", ","#",3))-(FIND("#",SUBSTITUTE(Sheet1!V90,", ","#",2))+2)),Sheet1!$A$1:$B$40,2,FALSE)&amp;","&amp;VLOOKUP(MID(Sheet1!V90,FIND("#",SUBSTITUTE(Sheet1!V90,", ","#",3))+2,FIND("#",SUBSTITUTE(Sheet1!V90,", ","#",4))-(FIND("#",SUBSTITUTE(Sheet1!V90,", ","#",3))+2)),Sheet1!$A$1:$B$40,2,FALSE)&amp;","&amp;VLOOKUP(RIGHT(Sheet1!V90,LEN(Sheet1!V90)-FIND("#",SUBSTITUTE(Sheet1!V90,", ","#",4))-1),Sheet1!$A$1:$B$40,2,FALSE),"")</f>
        <v/>
      </c>
      <c r="K44" s="6" t="str">
        <f t="shared" si="3"/>
        <v/>
      </c>
      <c r="L44" s="6" t="str">
        <f>IFERROR(IF((LEN(Sheet1!AA90)-LEN(SUBSTITUTE(Sheet1!AA90,", ","")))/2=0,VLOOKUP(Sheet1!AA90,Sheet1!$A$1:$B$40,2,FALSE),""),"")</f>
        <v/>
      </c>
      <c r="M44" s="6" t="str">
        <f>IFERROR(IF((LEN(Sheet1!AA90)-LEN(SUBSTITUTE(Sheet1!AA90,", ","")))/2=1,VLOOKUP(LEFT(Sheet1!AA90,FIND(", ",Sheet1!AA90)-1),Sheet1!$A$1:$B$40,2,FALSE)&amp;","&amp;VLOOKUP(RIGHT(Sheet1!AA90,LEN(Sheet1!AA90)-FIND(", ",Sheet1!AA90)-1),Sheet1!$A$1:$B$40,2,FALSE),""),"")</f>
        <v/>
      </c>
      <c r="N44" s="6" t="str">
        <f t="shared" si="4"/>
        <v/>
      </c>
    </row>
    <row r="45" spans="1:14">
      <c r="A45" s="5" t="str">
        <f>IFERROR(IF((LEN(Sheet1!N91)-LEN(SUBSTITUTE(Sheet1!N91,", ","")))/2=0,VLOOKUP(Sheet1!N91,Sheet1!$A$1:$B$40,2,FALSE),""),"")</f>
        <v/>
      </c>
      <c r="B45" s="6" t="str">
        <f>IFERROR(IF((LEN(Sheet1!N91)-LEN(SUBSTITUTE(Sheet1!N91,", ","")))/2=1,VLOOKUP(LEFT(Sheet1!N91,FIND(", ",Sheet1!N91)-1),Sheet1!$A$1:$B$40,2,FALSE)&amp;","&amp;VLOOKUP(RIGHT(Sheet1!N91,LEN(Sheet1!N91)-FIND(", ",Sheet1!N91)-1),Sheet1!$A$1:$B$40,2,FALSE),""),"")</f>
        <v/>
      </c>
      <c r="C45" s="6" t="str">
        <f>IF((LEN(Sheet1!N91)-LEN(SUBSTITUTE(Sheet1!N91,", ","")))/2=2,VLOOKUP(LEFT(Sheet1!N91,FIND(", ",Sheet1!N91)-1),Sheet1!$A$1:$B$40,2,FALSE)&amp;","&amp;VLOOKUP(MID(Sheet1!N91,FIND("#",SUBSTITUTE(Sheet1!N91,", ","#",1))+2,FIND("#",SUBSTITUTE(Sheet1!N91,", ","#",2))-(FIND("#",SUBSTITUTE(Sheet1!N91,", ","#",1))+2)),Sheet1!$A$1:$B$40,2,FALSE)&amp;","&amp;VLOOKUP(RIGHT(Sheet1!N91,LEN(Sheet1!N91)-FIND("#",SUBSTITUTE(Sheet1!N91,", ","#",2))-1),Sheet1!$A$1:$B$40,2,FALSE),"")</f>
        <v/>
      </c>
      <c r="D45" s="6" t="str">
        <f>IF((LEN(Sheet1!N91)-LEN(SUBSTITUTE(Sheet1!N91,", ","")))/2=3,VLOOKUP(LEFT(Sheet1!N91,FIND(", ",Sheet1!N91)-1),Sheet1!$A$1:$B$40,2,FALSE)&amp;","&amp;VLOOKUP(MID(Sheet1!N91,FIND("#",SUBSTITUTE(Sheet1!N91,", ","#",1))+2,FIND("#",SUBSTITUTE(Sheet1!N91,", ","#",2))-(FIND("#",SUBSTITUTE(Sheet1!N91,", ","#",1))+2)),Sheet1!$A$1:$B$40,2,FALSE)&amp;","&amp;VLOOKUP(MID(Sheet1!N91,FIND("#",SUBSTITUTE(Sheet1!N91,", ","#",2))+2,FIND("#",SUBSTITUTE(Sheet1!N91,", ","#",3))-(FIND("#",SUBSTITUTE(Sheet1!N91,", ","#",2))+2)),Sheet1!$A$1:$B$40,2,FALSE)&amp;","&amp;VLOOKUP(RIGHT(Sheet1!N91,LEN(Sheet1!N91)-FIND("#",SUBSTITUTE(Sheet1!N91,", ","#",3))-1),Sheet1!$A$1:$B$40,2,FALSE),"")</f>
        <v/>
      </c>
      <c r="E45" s="6" t="str">
        <f t="shared" si="5"/>
        <v/>
      </c>
      <c r="F45" s="6" t="str">
        <f>IFERROR(IF((LEN(Sheet1!V91)-LEN(SUBSTITUTE(Sheet1!V91,", ","")))/2=0,VLOOKUP(Sheet1!V91,Sheet1!$A$1:$B$40,2,FALSE),""),"")</f>
        <v/>
      </c>
      <c r="G45" s="6" t="str">
        <f>IFERROR(IF((LEN(Sheet1!V91)-LEN(SUBSTITUTE(Sheet1!V91,", ","")))/2=1,VLOOKUP(LEFT(Sheet1!V91,FIND(", ",Sheet1!V91)-1),Sheet1!$A$1:$B$40,2,FALSE)&amp;","&amp;VLOOKUP(RIGHT(Sheet1!V91,LEN(Sheet1!V91)-FIND(", ",Sheet1!V91)-1),Sheet1!$A$1:$B$40,2,FALSE),""),"")</f>
        <v/>
      </c>
      <c r="H45" s="6" t="str">
        <f>IF((LEN(Sheet1!V91)-LEN(SUBSTITUTE(Sheet1!V91,", ","")))/2=2,VLOOKUP(LEFT(Sheet1!V91,FIND(", ",Sheet1!V91)-1),Sheet1!$A$1:$B$40,2,FALSE)&amp;","&amp;VLOOKUP(MID(Sheet1!V91,FIND("#",SUBSTITUTE(Sheet1!V91,", ","#",1))+2,FIND("#",SUBSTITUTE(Sheet1!V91,", ","#",2))-(FIND("#",SUBSTITUTE(Sheet1!V91,", ","#",1))+2)),Sheet1!$A$1:$B$40,2,FALSE)&amp;","&amp;VLOOKUP(RIGHT(Sheet1!V91,LEN(Sheet1!V91)-FIND("#",SUBSTITUTE(Sheet1!V91,", ","#",2))-1),Sheet1!$A$1:$B$40,2,FALSE),"")</f>
        <v/>
      </c>
      <c r="I45" s="6" t="str">
        <f>IF((LEN(Sheet1!V91)-LEN(SUBSTITUTE(Sheet1!V91,", ","")))/2=3,VLOOKUP(LEFT(Sheet1!V91,FIND(", ",Sheet1!V91)-1),Sheet1!$A$1:$B$40,2,FALSE)&amp;","&amp;VLOOKUP(MID(Sheet1!V91,FIND("#",SUBSTITUTE(Sheet1!V91,", ","#",1))+2,FIND("#",SUBSTITUTE(Sheet1!V91,", ","#",2))-(FIND("#",SUBSTITUTE(Sheet1!V91,", ","#",1))+2)),Sheet1!$A$1:$B$40,2,FALSE)&amp;","&amp;VLOOKUP(MID(Sheet1!V91,FIND("#",SUBSTITUTE(Sheet1!V91,", ","#",2))+2,FIND("#",SUBSTITUTE(Sheet1!V91,", ","#",3))-(FIND("#",SUBSTITUTE(Sheet1!V91,", ","#",2))+2)),Sheet1!$A$1:$B$40,2,FALSE)&amp;","&amp;VLOOKUP(RIGHT(Sheet1!V91,LEN(Sheet1!V91)-FIND("#",SUBSTITUTE(Sheet1!V91,", ","#",3))-1),Sheet1!$A$1:$B$40,2,FALSE),"")</f>
        <v/>
      </c>
      <c r="J45" s="6" t="str">
        <f>IF((LEN(Sheet1!V91)-LEN(SUBSTITUTE(Sheet1!V91,", ","")))/2=4,VLOOKUP(LEFT(Sheet1!V91,FIND(", ",Sheet1!V91)-1),Sheet1!$A$1:$B$40,2,FALSE)&amp;","&amp;VLOOKUP(MID(Sheet1!V91,FIND("#",SUBSTITUTE(Sheet1!V91,", ","#",1))+2,FIND("#",SUBSTITUTE(Sheet1!V91,", ","#",2))-(FIND("#",SUBSTITUTE(Sheet1!V91,", ","#",1))+2)),Sheet1!$A$1:$B$40,2,FALSE)&amp;","&amp;VLOOKUP(MID(Sheet1!V91,FIND("#",SUBSTITUTE(Sheet1!V91,", ","#",2))+2,FIND("#",SUBSTITUTE(Sheet1!V91,", ","#",3))-(FIND("#",SUBSTITUTE(Sheet1!V91,", ","#",2))+2)),Sheet1!$A$1:$B$40,2,FALSE)&amp;","&amp;VLOOKUP(MID(Sheet1!V91,FIND("#",SUBSTITUTE(Sheet1!V91,", ","#",3))+2,FIND("#",SUBSTITUTE(Sheet1!V91,", ","#",4))-(FIND("#",SUBSTITUTE(Sheet1!V91,", ","#",3))+2)),Sheet1!$A$1:$B$40,2,FALSE)&amp;","&amp;VLOOKUP(RIGHT(Sheet1!V91,LEN(Sheet1!V91)-FIND("#",SUBSTITUTE(Sheet1!V91,", ","#",4))-1),Sheet1!$A$1:$B$40,2,FALSE),"")</f>
        <v/>
      </c>
      <c r="K45" s="6" t="str">
        <f t="shared" si="3"/>
        <v/>
      </c>
      <c r="L45" s="6" t="str">
        <f>IFERROR(IF((LEN(Sheet1!AA91)-LEN(SUBSTITUTE(Sheet1!AA91,", ","")))/2=0,VLOOKUP(Sheet1!AA91,Sheet1!$A$1:$B$40,2,FALSE),""),"")</f>
        <v/>
      </c>
      <c r="M45" s="6" t="str">
        <f>IFERROR(IF((LEN(Sheet1!AA91)-LEN(SUBSTITUTE(Sheet1!AA91,", ","")))/2=1,VLOOKUP(LEFT(Sheet1!AA91,FIND(", ",Sheet1!AA91)-1),Sheet1!$A$1:$B$40,2,FALSE)&amp;","&amp;VLOOKUP(RIGHT(Sheet1!AA91,LEN(Sheet1!AA91)-FIND(", ",Sheet1!AA91)-1),Sheet1!$A$1:$B$40,2,FALSE),""),"")</f>
        <v/>
      </c>
      <c r="N45" s="6" t="str">
        <f t="shared" si="4"/>
        <v/>
      </c>
    </row>
    <row r="46" spans="1:14">
      <c r="A46" s="5" t="str">
        <f>IFERROR(IF((LEN(Sheet1!N92)-LEN(SUBSTITUTE(Sheet1!N92,", ","")))/2=0,VLOOKUP(Sheet1!N92,Sheet1!$A$1:$B$40,2,FALSE),""),"")</f>
        <v/>
      </c>
      <c r="B46" s="6" t="str">
        <f>IFERROR(IF((LEN(Sheet1!N92)-LEN(SUBSTITUTE(Sheet1!N92,", ","")))/2=1,VLOOKUP(LEFT(Sheet1!N92,FIND(", ",Sheet1!N92)-1),Sheet1!$A$1:$B$40,2,FALSE)&amp;","&amp;VLOOKUP(RIGHT(Sheet1!N92,LEN(Sheet1!N92)-FIND(", ",Sheet1!N92)-1),Sheet1!$A$1:$B$40,2,FALSE),""),"")</f>
        <v/>
      </c>
      <c r="C46" s="6" t="str">
        <f>IF((LEN(Sheet1!N92)-LEN(SUBSTITUTE(Sheet1!N92,", ","")))/2=2,VLOOKUP(LEFT(Sheet1!N92,FIND(", ",Sheet1!N92)-1),Sheet1!$A$1:$B$40,2,FALSE)&amp;","&amp;VLOOKUP(MID(Sheet1!N92,FIND("#",SUBSTITUTE(Sheet1!N92,", ","#",1))+2,FIND("#",SUBSTITUTE(Sheet1!N92,", ","#",2))-(FIND("#",SUBSTITUTE(Sheet1!N92,", ","#",1))+2)),Sheet1!$A$1:$B$40,2,FALSE)&amp;","&amp;VLOOKUP(RIGHT(Sheet1!N92,LEN(Sheet1!N92)-FIND("#",SUBSTITUTE(Sheet1!N92,", ","#",2))-1),Sheet1!$A$1:$B$40,2,FALSE),"")</f>
        <v/>
      </c>
      <c r="D46" s="6" t="str">
        <f>IF((LEN(Sheet1!N92)-LEN(SUBSTITUTE(Sheet1!N92,", ","")))/2=3,VLOOKUP(LEFT(Sheet1!N92,FIND(", ",Sheet1!N92)-1),Sheet1!$A$1:$B$40,2,FALSE)&amp;","&amp;VLOOKUP(MID(Sheet1!N92,FIND("#",SUBSTITUTE(Sheet1!N92,", ","#",1))+2,FIND("#",SUBSTITUTE(Sheet1!N92,", ","#",2))-(FIND("#",SUBSTITUTE(Sheet1!N92,", ","#",1))+2)),Sheet1!$A$1:$B$40,2,FALSE)&amp;","&amp;VLOOKUP(MID(Sheet1!N92,FIND("#",SUBSTITUTE(Sheet1!N92,", ","#",2))+2,FIND("#",SUBSTITUTE(Sheet1!N92,", ","#",3))-(FIND("#",SUBSTITUTE(Sheet1!N92,", ","#",2))+2)),Sheet1!$A$1:$B$40,2,FALSE)&amp;","&amp;VLOOKUP(RIGHT(Sheet1!N92,LEN(Sheet1!N92)-FIND("#",SUBSTITUTE(Sheet1!N92,", ","#",3))-1),Sheet1!$A$1:$B$40,2,FALSE),"")</f>
        <v/>
      </c>
      <c r="E46" s="6" t="str">
        <f t="shared" si="5"/>
        <v/>
      </c>
      <c r="F46" s="6" t="str">
        <f>IFERROR(IF((LEN(Sheet1!V92)-LEN(SUBSTITUTE(Sheet1!V92,", ","")))/2=0,VLOOKUP(Sheet1!V92,Sheet1!$A$1:$B$40,2,FALSE),""),"")</f>
        <v/>
      </c>
      <c r="G46" s="6" t="str">
        <f>IFERROR(IF((LEN(Sheet1!V92)-LEN(SUBSTITUTE(Sheet1!V92,", ","")))/2=1,VLOOKUP(LEFT(Sheet1!V92,FIND(", ",Sheet1!V92)-1),Sheet1!$A$1:$B$40,2,FALSE)&amp;","&amp;VLOOKUP(RIGHT(Sheet1!V92,LEN(Sheet1!V92)-FIND(", ",Sheet1!V92)-1),Sheet1!$A$1:$B$40,2,FALSE),""),"")</f>
        <v/>
      </c>
      <c r="H46" s="6" t="str">
        <f>IF((LEN(Sheet1!V92)-LEN(SUBSTITUTE(Sheet1!V92,", ","")))/2=2,VLOOKUP(LEFT(Sheet1!V92,FIND(", ",Sheet1!V92)-1),Sheet1!$A$1:$B$40,2,FALSE)&amp;","&amp;VLOOKUP(MID(Sheet1!V92,FIND("#",SUBSTITUTE(Sheet1!V92,", ","#",1))+2,FIND("#",SUBSTITUTE(Sheet1!V92,", ","#",2))-(FIND("#",SUBSTITUTE(Sheet1!V92,", ","#",1))+2)),Sheet1!$A$1:$B$40,2,FALSE)&amp;","&amp;VLOOKUP(RIGHT(Sheet1!V92,LEN(Sheet1!V92)-FIND("#",SUBSTITUTE(Sheet1!V92,", ","#",2))-1),Sheet1!$A$1:$B$40,2,FALSE),"")</f>
        <v/>
      </c>
      <c r="I46" s="6" t="str">
        <f>IF((LEN(Sheet1!V92)-LEN(SUBSTITUTE(Sheet1!V92,", ","")))/2=3,VLOOKUP(LEFT(Sheet1!V92,FIND(", ",Sheet1!V92)-1),Sheet1!$A$1:$B$40,2,FALSE)&amp;","&amp;VLOOKUP(MID(Sheet1!V92,FIND("#",SUBSTITUTE(Sheet1!V92,", ","#",1))+2,FIND("#",SUBSTITUTE(Sheet1!V92,", ","#",2))-(FIND("#",SUBSTITUTE(Sheet1!V92,", ","#",1))+2)),Sheet1!$A$1:$B$40,2,FALSE)&amp;","&amp;VLOOKUP(MID(Sheet1!V92,FIND("#",SUBSTITUTE(Sheet1!V92,", ","#",2))+2,FIND("#",SUBSTITUTE(Sheet1!V92,", ","#",3))-(FIND("#",SUBSTITUTE(Sheet1!V92,", ","#",2))+2)),Sheet1!$A$1:$B$40,2,FALSE)&amp;","&amp;VLOOKUP(RIGHT(Sheet1!V92,LEN(Sheet1!V92)-FIND("#",SUBSTITUTE(Sheet1!V92,", ","#",3))-1),Sheet1!$A$1:$B$40,2,FALSE),"")</f>
        <v/>
      </c>
      <c r="J46" s="6" t="str">
        <f>IF((LEN(Sheet1!V92)-LEN(SUBSTITUTE(Sheet1!V92,", ","")))/2=4,VLOOKUP(LEFT(Sheet1!V92,FIND(", ",Sheet1!V92)-1),Sheet1!$A$1:$B$40,2,FALSE)&amp;","&amp;VLOOKUP(MID(Sheet1!V92,FIND("#",SUBSTITUTE(Sheet1!V92,", ","#",1))+2,FIND("#",SUBSTITUTE(Sheet1!V92,", ","#",2))-(FIND("#",SUBSTITUTE(Sheet1!V92,", ","#",1))+2)),Sheet1!$A$1:$B$40,2,FALSE)&amp;","&amp;VLOOKUP(MID(Sheet1!V92,FIND("#",SUBSTITUTE(Sheet1!V92,", ","#",2))+2,FIND("#",SUBSTITUTE(Sheet1!V92,", ","#",3))-(FIND("#",SUBSTITUTE(Sheet1!V92,", ","#",2))+2)),Sheet1!$A$1:$B$40,2,FALSE)&amp;","&amp;VLOOKUP(MID(Sheet1!V92,FIND("#",SUBSTITUTE(Sheet1!V92,", ","#",3))+2,FIND("#",SUBSTITUTE(Sheet1!V92,", ","#",4))-(FIND("#",SUBSTITUTE(Sheet1!V92,", ","#",3))+2)),Sheet1!$A$1:$B$40,2,FALSE)&amp;","&amp;VLOOKUP(RIGHT(Sheet1!V92,LEN(Sheet1!V92)-FIND("#",SUBSTITUTE(Sheet1!V92,", ","#",4))-1),Sheet1!$A$1:$B$40,2,FALSE),"")</f>
        <v/>
      </c>
      <c r="K46" s="6" t="str">
        <f t="shared" si="3"/>
        <v/>
      </c>
      <c r="L46" s="6" t="str">
        <f>IFERROR(IF((LEN(Sheet1!AA92)-LEN(SUBSTITUTE(Sheet1!AA92,", ","")))/2=0,VLOOKUP(Sheet1!AA92,Sheet1!$A$1:$B$40,2,FALSE),""),"")</f>
        <v/>
      </c>
      <c r="M46" s="6" t="str">
        <f>IFERROR(IF((LEN(Sheet1!AA92)-LEN(SUBSTITUTE(Sheet1!AA92,", ","")))/2=1,VLOOKUP(LEFT(Sheet1!AA92,FIND(", ",Sheet1!AA92)-1),Sheet1!$A$1:$B$40,2,FALSE)&amp;","&amp;VLOOKUP(RIGHT(Sheet1!AA92,LEN(Sheet1!AA92)-FIND(", ",Sheet1!AA92)-1),Sheet1!$A$1:$B$40,2,FALSE),""),"")</f>
        <v/>
      </c>
      <c r="N46" s="6" t="str">
        <f t="shared" si="4"/>
        <v/>
      </c>
    </row>
    <row r="47" spans="1:14">
      <c r="A47" s="5" t="str">
        <f>IFERROR(IF((LEN(Sheet1!N93)-LEN(SUBSTITUTE(Sheet1!N93,", ","")))/2=0,VLOOKUP(Sheet1!N93,Sheet1!$A$1:$B$40,2,FALSE),""),"")</f>
        <v/>
      </c>
      <c r="B47" s="6" t="str">
        <f>IFERROR(IF((LEN(Sheet1!N93)-LEN(SUBSTITUTE(Sheet1!N93,", ","")))/2=1,VLOOKUP(LEFT(Sheet1!N93,FIND(", ",Sheet1!N93)-1),Sheet1!$A$1:$B$40,2,FALSE)&amp;","&amp;VLOOKUP(RIGHT(Sheet1!N93,LEN(Sheet1!N93)-FIND(", ",Sheet1!N93)-1),Sheet1!$A$1:$B$40,2,FALSE),""),"")</f>
        <v/>
      </c>
      <c r="C47" s="6" t="str">
        <f>IF((LEN(Sheet1!N93)-LEN(SUBSTITUTE(Sheet1!N93,", ","")))/2=2,VLOOKUP(LEFT(Sheet1!N93,FIND(", ",Sheet1!N93)-1),Sheet1!$A$1:$B$40,2,FALSE)&amp;","&amp;VLOOKUP(MID(Sheet1!N93,FIND("#",SUBSTITUTE(Sheet1!N93,", ","#",1))+2,FIND("#",SUBSTITUTE(Sheet1!N93,", ","#",2))-(FIND("#",SUBSTITUTE(Sheet1!N93,", ","#",1))+2)),Sheet1!$A$1:$B$40,2,FALSE)&amp;","&amp;VLOOKUP(RIGHT(Sheet1!N93,LEN(Sheet1!N93)-FIND("#",SUBSTITUTE(Sheet1!N93,", ","#",2))-1),Sheet1!$A$1:$B$40,2,FALSE),"")</f>
        <v/>
      </c>
      <c r="D47" s="6" t="str">
        <f>IF((LEN(Sheet1!N93)-LEN(SUBSTITUTE(Sheet1!N93,", ","")))/2=3,VLOOKUP(LEFT(Sheet1!N93,FIND(", ",Sheet1!N93)-1),Sheet1!$A$1:$B$40,2,FALSE)&amp;","&amp;VLOOKUP(MID(Sheet1!N93,FIND("#",SUBSTITUTE(Sheet1!N93,", ","#",1))+2,FIND("#",SUBSTITUTE(Sheet1!N93,", ","#",2))-(FIND("#",SUBSTITUTE(Sheet1!N93,", ","#",1))+2)),Sheet1!$A$1:$B$40,2,FALSE)&amp;","&amp;VLOOKUP(MID(Sheet1!N93,FIND("#",SUBSTITUTE(Sheet1!N93,", ","#",2))+2,FIND("#",SUBSTITUTE(Sheet1!N93,", ","#",3))-(FIND("#",SUBSTITUTE(Sheet1!N93,", ","#",2))+2)),Sheet1!$A$1:$B$40,2,FALSE)&amp;","&amp;VLOOKUP(RIGHT(Sheet1!N93,LEN(Sheet1!N93)-FIND("#",SUBSTITUTE(Sheet1!N93,", ","#",3))-1),Sheet1!$A$1:$B$40,2,FALSE),"")</f>
        <v/>
      </c>
      <c r="E47" s="6" t="str">
        <f t="shared" si="5"/>
        <v/>
      </c>
      <c r="F47" s="6" t="str">
        <f>IFERROR(IF((LEN(Sheet1!V93)-LEN(SUBSTITUTE(Sheet1!V93,", ","")))/2=0,VLOOKUP(Sheet1!V93,Sheet1!$A$1:$B$40,2,FALSE),""),"")</f>
        <v/>
      </c>
      <c r="G47" s="6" t="str">
        <f>IFERROR(IF((LEN(Sheet1!V93)-LEN(SUBSTITUTE(Sheet1!V93,", ","")))/2=1,VLOOKUP(LEFT(Sheet1!V93,FIND(", ",Sheet1!V93)-1),Sheet1!$A$1:$B$40,2,FALSE)&amp;","&amp;VLOOKUP(RIGHT(Sheet1!V93,LEN(Sheet1!V93)-FIND(", ",Sheet1!V93)-1),Sheet1!$A$1:$B$40,2,FALSE),""),"")</f>
        <v/>
      </c>
      <c r="H47" s="6" t="str">
        <f>IF((LEN(Sheet1!V93)-LEN(SUBSTITUTE(Sheet1!V93,", ","")))/2=2,VLOOKUP(LEFT(Sheet1!V93,FIND(", ",Sheet1!V93)-1),Sheet1!$A$1:$B$40,2,FALSE)&amp;","&amp;VLOOKUP(MID(Sheet1!V93,FIND("#",SUBSTITUTE(Sheet1!V93,", ","#",1))+2,FIND("#",SUBSTITUTE(Sheet1!V93,", ","#",2))-(FIND("#",SUBSTITUTE(Sheet1!V93,", ","#",1))+2)),Sheet1!$A$1:$B$40,2,FALSE)&amp;","&amp;VLOOKUP(RIGHT(Sheet1!V93,LEN(Sheet1!V93)-FIND("#",SUBSTITUTE(Sheet1!V93,", ","#",2))-1),Sheet1!$A$1:$B$40,2,FALSE),"")</f>
        <v/>
      </c>
      <c r="I47" s="6" t="str">
        <f>IF((LEN(Sheet1!V93)-LEN(SUBSTITUTE(Sheet1!V93,", ","")))/2=3,VLOOKUP(LEFT(Sheet1!V93,FIND(", ",Sheet1!V93)-1),Sheet1!$A$1:$B$40,2,FALSE)&amp;","&amp;VLOOKUP(MID(Sheet1!V93,FIND("#",SUBSTITUTE(Sheet1!V93,", ","#",1))+2,FIND("#",SUBSTITUTE(Sheet1!V93,", ","#",2))-(FIND("#",SUBSTITUTE(Sheet1!V93,", ","#",1))+2)),Sheet1!$A$1:$B$40,2,FALSE)&amp;","&amp;VLOOKUP(MID(Sheet1!V93,FIND("#",SUBSTITUTE(Sheet1!V93,", ","#",2))+2,FIND("#",SUBSTITUTE(Sheet1!V93,", ","#",3))-(FIND("#",SUBSTITUTE(Sheet1!V93,", ","#",2))+2)),Sheet1!$A$1:$B$40,2,FALSE)&amp;","&amp;VLOOKUP(RIGHT(Sheet1!V93,LEN(Sheet1!V93)-FIND("#",SUBSTITUTE(Sheet1!V93,", ","#",3))-1),Sheet1!$A$1:$B$40,2,FALSE),"")</f>
        <v/>
      </c>
      <c r="J47" s="6" t="str">
        <f>IF((LEN(Sheet1!V93)-LEN(SUBSTITUTE(Sheet1!V93,", ","")))/2=4,VLOOKUP(LEFT(Sheet1!V93,FIND(", ",Sheet1!V93)-1),Sheet1!$A$1:$B$40,2,FALSE)&amp;","&amp;VLOOKUP(MID(Sheet1!V93,FIND("#",SUBSTITUTE(Sheet1!V93,", ","#",1))+2,FIND("#",SUBSTITUTE(Sheet1!V93,", ","#",2))-(FIND("#",SUBSTITUTE(Sheet1!V93,", ","#",1))+2)),Sheet1!$A$1:$B$40,2,FALSE)&amp;","&amp;VLOOKUP(MID(Sheet1!V93,FIND("#",SUBSTITUTE(Sheet1!V93,", ","#",2))+2,FIND("#",SUBSTITUTE(Sheet1!V93,", ","#",3))-(FIND("#",SUBSTITUTE(Sheet1!V93,", ","#",2))+2)),Sheet1!$A$1:$B$40,2,FALSE)&amp;","&amp;VLOOKUP(MID(Sheet1!V93,FIND("#",SUBSTITUTE(Sheet1!V93,", ","#",3))+2,FIND("#",SUBSTITUTE(Sheet1!V93,", ","#",4))-(FIND("#",SUBSTITUTE(Sheet1!V93,", ","#",3))+2)),Sheet1!$A$1:$B$40,2,FALSE)&amp;","&amp;VLOOKUP(RIGHT(Sheet1!V93,LEN(Sheet1!V93)-FIND("#",SUBSTITUTE(Sheet1!V93,", ","#",4))-1),Sheet1!$A$1:$B$40,2,FALSE),"")</f>
        <v/>
      </c>
      <c r="K47" s="6" t="str">
        <f t="shared" si="3"/>
        <v/>
      </c>
      <c r="L47" s="6" t="str">
        <f>IFERROR(IF((LEN(Sheet1!AA93)-LEN(SUBSTITUTE(Sheet1!AA93,", ","")))/2=0,VLOOKUP(Sheet1!AA93,Sheet1!$A$1:$B$40,2,FALSE),""),"")</f>
        <v/>
      </c>
      <c r="M47" s="6" t="str">
        <f>IFERROR(IF((LEN(Sheet1!AA93)-LEN(SUBSTITUTE(Sheet1!AA93,", ","")))/2=1,VLOOKUP(LEFT(Sheet1!AA93,FIND(", ",Sheet1!AA93)-1),Sheet1!$A$1:$B$40,2,FALSE)&amp;","&amp;VLOOKUP(RIGHT(Sheet1!AA93,LEN(Sheet1!AA93)-FIND(", ",Sheet1!AA93)-1),Sheet1!$A$1:$B$40,2,FALSE),""),"")</f>
        <v/>
      </c>
      <c r="N47" s="6" t="str">
        <f t="shared" ref="N47:N63" si="6">L47&amp;M47</f>
        <v/>
      </c>
    </row>
    <row r="48" spans="1:14">
      <c r="A48" s="5" t="str">
        <f>IFERROR(IF((LEN(Sheet1!N94)-LEN(SUBSTITUTE(Sheet1!N94,", ","")))/2=0,VLOOKUP(Sheet1!N94,Sheet1!$A$1:$B$40,2,FALSE),""),"")</f>
        <v/>
      </c>
      <c r="B48" s="6" t="str">
        <f>IFERROR(IF((LEN(Sheet1!N94)-LEN(SUBSTITUTE(Sheet1!N94,", ","")))/2=1,VLOOKUP(LEFT(Sheet1!N94,FIND(", ",Sheet1!N94)-1),Sheet1!$A$1:$B$40,2,FALSE)&amp;","&amp;VLOOKUP(RIGHT(Sheet1!N94,LEN(Sheet1!N94)-FIND(", ",Sheet1!N94)-1),Sheet1!$A$1:$B$40,2,FALSE),""),"")</f>
        <v/>
      </c>
      <c r="C48" s="6" t="str">
        <f>IF((LEN(Sheet1!N94)-LEN(SUBSTITUTE(Sheet1!N94,", ","")))/2=2,VLOOKUP(LEFT(Sheet1!N94,FIND(", ",Sheet1!N94)-1),Sheet1!$A$1:$B$40,2,FALSE)&amp;","&amp;VLOOKUP(MID(Sheet1!N94,FIND("#",SUBSTITUTE(Sheet1!N94,", ","#",1))+2,FIND("#",SUBSTITUTE(Sheet1!N94,", ","#",2))-(FIND("#",SUBSTITUTE(Sheet1!N94,", ","#",1))+2)),Sheet1!$A$1:$B$40,2,FALSE)&amp;","&amp;VLOOKUP(RIGHT(Sheet1!N94,LEN(Sheet1!N94)-FIND("#",SUBSTITUTE(Sheet1!N94,", ","#",2))-1),Sheet1!$A$1:$B$40,2,FALSE),"")</f>
        <v/>
      </c>
      <c r="D48" s="6" t="str">
        <f>IF((LEN(Sheet1!N94)-LEN(SUBSTITUTE(Sheet1!N94,", ","")))/2=3,VLOOKUP(LEFT(Sheet1!N94,FIND(", ",Sheet1!N94)-1),Sheet1!$A$1:$B$40,2,FALSE)&amp;","&amp;VLOOKUP(MID(Sheet1!N94,FIND("#",SUBSTITUTE(Sheet1!N94,", ","#",1))+2,FIND("#",SUBSTITUTE(Sheet1!N94,", ","#",2))-(FIND("#",SUBSTITUTE(Sheet1!N94,", ","#",1))+2)),Sheet1!$A$1:$B$40,2,FALSE)&amp;","&amp;VLOOKUP(MID(Sheet1!N94,FIND("#",SUBSTITUTE(Sheet1!N94,", ","#",2))+2,FIND("#",SUBSTITUTE(Sheet1!N94,", ","#",3))-(FIND("#",SUBSTITUTE(Sheet1!N94,", ","#",2))+2)),Sheet1!$A$1:$B$40,2,FALSE)&amp;","&amp;VLOOKUP(RIGHT(Sheet1!N94,LEN(Sheet1!N94)-FIND("#",SUBSTITUTE(Sheet1!N94,", ","#",3))-1),Sheet1!$A$1:$B$40,2,FALSE),"")</f>
        <v/>
      </c>
      <c r="E48" s="6" t="str">
        <f t="shared" si="5"/>
        <v/>
      </c>
      <c r="F48" s="6" t="str">
        <f>IFERROR(IF((LEN(Sheet1!V94)-LEN(SUBSTITUTE(Sheet1!V94,", ","")))/2=0,VLOOKUP(Sheet1!V94,Sheet1!$A$1:$B$40,2,FALSE),""),"")</f>
        <v/>
      </c>
      <c r="G48" s="6" t="str">
        <f>IFERROR(IF((LEN(Sheet1!V94)-LEN(SUBSTITUTE(Sheet1!V94,", ","")))/2=1,VLOOKUP(LEFT(Sheet1!V94,FIND(", ",Sheet1!V94)-1),Sheet1!$A$1:$B$40,2,FALSE)&amp;","&amp;VLOOKUP(RIGHT(Sheet1!V94,LEN(Sheet1!V94)-FIND(", ",Sheet1!V94)-1),Sheet1!$A$1:$B$40,2,FALSE),""),"")</f>
        <v/>
      </c>
      <c r="H48" s="6" t="str">
        <f>IF((LEN(Sheet1!V94)-LEN(SUBSTITUTE(Sheet1!V94,", ","")))/2=2,VLOOKUP(LEFT(Sheet1!V94,FIND(", ",Sheet1!V94)-1),Sheet1!$A$1:$B$40,2,FALSE)&amp;","&amp;VLOOKUP(MID(Sheet1!V94,FIND("#",SUBSTITUTE(Sheet1!V94,", ","#",1))+2,FIND("#",SUBSTITUTE(Sheet1!V94,", ","#",2))-(FIND("#",SUBSTITUTE(Sheet1!V94,", ","#",1))+2)),Sheet1!$A$1:$B$40,2,FALSE)&amp;","&amp;VLOOKUP(RIGHT(Sheet1!V94,LEN(Sheet1!V94)-FIND("#",SUBSTITUTE(Sheet1!V94,", ","#",2))-1),Sheet1!$A$1:$B$40,2,FALSE),"")</f>
        <v/>
      </c>
      <c r="I48" s="6" t="str">
        <f>IF((LEN(Sheet1!V94)-LEN(SUBSTITUTE(Sheet1!V94,", ","")))/2=3,VLOOKUP(LEFT(Sheet1!V94,FIND(", ",Sheet1!V94)-1),Sheet1!$A$1:$B$40,2,FALSE)&amp;","&amp;VLOOKUP(MID(Sheet1!V94,FIND("#",SUBSTITUTE(Sheet1!V94,", ","#",1))+2,FIND("#",SUBSTITUTE(Sheet1!V94,", ","#",2))-(FIND("#",SUBSTITUTE(Sheet1!V94,", ","#",1))+2)),Sheet1!$A$1:$B$40,2,FALSE)&amp;","&amp;VLOOKUP(MID(Sheet1!V94,FIND("#",SUBSTITUTE(Sheet1!V94,", ","#",2))+2,FIND("#",SUBSTITUTE(Sheet1!V94,", ","#",3))-(FIND("#",SUBSTITUTE(Sheet1!V94,", ","#",2))+2)),Sheet1!$A$1:$B$40,2,FALSE)&amp;","&amp;VLOOKUP(RIGHT(Sheet1!V94,LEN(Sheet1!V94)-FIND("#",SUBSTITUTE(Sheet1!V94,", ","#",3))-1),Sheet1!$A$1:$B$40,2,FALSE),"")</f>
        <v/>
      </c>
      <c r="J48" s="6" t="str">
        <f>IF((LEN(Sheet1!V94)-LEN(SUBSTITUTE(Sheet1!V94,", ","")))/2=4,VLOOKUP(LEFT(Sheet1!V94,FIND(", ",Sheet1!V94)-1),Sheet1!$A$1:$B$40,2,FALSE)&amp;","&amp;VLOOKUP(MID(Sheet1!V94,FIND("#",SUBSTITUTE(Sheet1!V94,", ","#",1))+2,FIND("#",SUBSTITUTE(Sheet1!V94,", ","#",2))-(FIND("#",SUBSTITUTE(Sheet1!V94,", ","#",1))+2)),Sheet1!$A$1:$B$40,2,FALSE)&amp;","&amp;VLOOKUP(MID(Sheet1!V94,FIND("#",SUBSTITUTE(Sheet1!V94,", ","#",2))+2,FIND("#",SUBSTITUTE(Sheet1!V94,", ","#",3))-(FIND("#",SUBSTITUTE(Sheet1!V94,", ","#",2))+2)),Sheet1!$A$1:$B$40,2,FALSE)&amp;","&amp;VLOOKUP(MID(Sheet1!V94,FIND("#",SUBSTITUTE(Sheet1!V94,", ","#",3))+2,FIND("#",SUBSTITUTE(Sheet1!V94,", ","#",4))-(FIND("#",SUBSTITUTE(Sheet1!V94,", ","#",3))+2)),Sheet1!$A$1:$B$40,2,FALSE)&amp;","&amp;VLOOKUP(RIGHT(Sheet1!V94,LEN(Sheet1!V94)-FIND("#",SUBSTITUTE(Sheet1!V94,", ","#",4))-1),Sheet1!$A$1:$B$40,2,FALSE),"")</f>
        <v/>
      </c>
      <c r="K48" s="6" t="str">
        <f t="shared" si="3"/>
        <v/>
      </c>
      <c r="L48" s="6" t="str">
        <f>IFERROR(IF((LEN(Sheet1!AA94)-LEN(SUBSTITUTE(Sheet1!AA94,", ","")))/2=0,VLOOKUP(Sheet1!AA94,Sheet1!$A$1:$B$40,2,FALSE),""),"")</f>
        <v/>
      </c>
      <c r="M48" s="6" t="str">
        <f>IFERROR(IF((LEN(Sheet1!AA94)-LEN(SUBSTITUTE(Sheet1!AA94,", ","")))/2=1,VLOOKUP(LEFT(Sheet1!AA94,FIND(", ",Sheet1!AA94)-1),Sheet1!$A$1:$B$40,2,FALSE)&amp;","&amp;VLOOKUP(RIGHT(Sheet1!AA94,LEN(Sheet1!AA94)-FIND(", ",Sheet1!AA94)-1),Sheet1!$A$1:$B$40,2,FALSE),""),"")</f>
        <v/>
      </c>
      <c r="N48" s="6" t="str">
        <f t="shared" si="6"/>
        <v/>
      </c>
    </row>
    <row r="49" spans="1:14">
      <c r="A49" s="5" t="str">
        <f>IFERROR(IF((LEN(Sheet1!N95)-LEN(SUBSTITUTE(Sheet1!N95,", ","")))/2=0,VLOOKUP(Sheet1!N95,Sheet1!$A$1:$B$40,2,FALSE),""),"")</f>
        <v/>
      </c>
      <c r="B49" s="6" t="str">
        <f>IFERROR(IF((LEN(Sheet1!N95)-LEN(SUBSTITUTE(Sheet1!N95,", ","")))/2=1,VLOOKUP(LEFT(Sheet1!N95,FIND(", ",Sheet1!N95)-1),Sheet1!$A$1:$B$40,2,FALSE)&amp;","&amp;VLOOKUP(RIGHT(Sheet1!N95,LEN(Sheet1!N95)-FIND(", ",Sheet1!N95)-1),Sheet1!$A$1:$B$40,2,FALSE),""),"")</f>
        <v/>
      </c>
      <c r="C49" s="6" t="str">
        <f>IF((LEN(Sheet1!N95)-LEN(SUBSTITUTE(Sheet1!N95,", ","")))/2=2,VLOOKUP(LEFT(Sheet1!N95,FIND(", ",Sheet1!N95)-1),Sheet1!$A$1:$B$40,2,FALSE)&amp;","&amp;VLOOKUP(MID(Sheet1!N95,FIND("#",SUBSTITUTE(Sheet1!N95,", ","#",1))+2,FIND("#",SUBSTITUTE(Sheet1!N95,", ","#",2))-(FIND("#",SUBSTITUTE(Sheet1!N95,", ","#",1))+2)),Sheet1!$A$1:$B$40,2,FALSE)&amp;","&amp;VLOOKUP(RIGHT(Sheet1!N95,LEN(Sheet1!N95)-FIND("#",SUBSTITUTE(Sheet1!N95,", ","#",2))-1),Sheet1!$A$1:$B$40,2,FALSE),"")</f>
        <v/>
      </c>
      <c r="D49" s="6" t="str">
        <f>IF((LEN(Sheet1!N95)-LEN(SUBSTITUTE(Sheet1!N95,", ","")))/2=3,VLOOKUP(LEFT(Sheet1!N95,FIND(", ",Sheet1!N95)-1),Sheet1!$A$1:$B$40,2,FALSE)&amp;","&amp;VLOOKUP(MID(Sheet1!N95,FIND("#",SUBSTITUTE(Sheet1!N95,", ","#",1))+2,FIND("#",SUBSTITUTE(Sheet1!N95,", ","#",2))-(FIND("#",SUBSTITUTE(Sheet1!N95,", ","#",1))+2)),Sheet1!$A$1:$B$40,2,FALSE)&amp;","&amp;VLOOKUP(MID(Sheet1!N95,FIND("#",SUBSTITUTE(Sheet1!N95,", ","#",2))+2,FIND("#",SUBSTITUTE(Sheet1!N95,", ","#",3))-(FIND("#",SUBSTITUTE(Sheet1!N95,", ","#",2))+2)),Sheet1!$A$1:$B$40,2,FALSE)&amp;","&amp;VLOOKUP(RIGHT(Sheet1!N95,LEN(Sheet1!N95)-FIND("#",SUBSTITUTE(Sheet1!N95,", ","#",3))-1),Sheet1!$A$1:$B$40,2,FALSE),"")</f>
        <v/>
      </c>
      <c r="E49" s="6" t="str">
        <f t="shared" si="5"/>
        <v/>
      </c>
      <c r="F49" s="6" t="str">
        <f>IFERROR(IF((LEN(Sheet1!V95)-LEN(SUBSTITUTE(Sheet1!V95,", ","")))/2=0,VLOOKUP(Sheet1!V95,Sheet1!$A$1:$B$40,2,FALSE),""),"")</f>
        <v/>
      </c>
      <c r="G49" s="6" t="str">
        <f>IFERROR(IF((LEN(Sheet1!V95)-LEN(SUBSTITUTE(Sheet1!V95,", ","")))/2=1,VLOOKUP(LEFT(Sheet1!V95,FIND(", ",Sheet1!V95)-1),Sheet1!$A$1:$B$40,2,FALSE)&amp;","&amp;VLOOKUP(RIGHT(Sheet1!V95,LEN(Sheet1!V95)-FIND(", ",Sheet1!V95)-1),Sheet1!$A$1:$B$40,2,FALSE),""),"")</f>
        <v/>
      </c>
      <c r="H49" s="6" t="str">
        <f>IF((LEN(Sheet1!V95)-LEN(SUBSTITUTE(Sheet1!V95,", ","")))/2=2,VLOOKUP(LEFT(Sheet1!V95,FIND(", ",Sheet1!V95)-1),Sheet1!$A$1:$B$40,2,FALSE)&amp;","&amp;VLOOKUP(MID(Sheet1!V95,FIND("#",SUBSTITUTE(Sheet1!V95,", ","#",1))+2,FIND("#",SUBSTITUTE(Sheet1!V95,", ","#",2))-(FIND("#",SUBSTITUTE(Sheet1!V95,", ","#",1))+2)),Sheet1!$A$1:$B$40,2,FALSE)&amp;","&amp;VLOOKUP(RIGHT(Sheet1!V95,LEN(Sheet1!V95)-FIND("#",SUBSTITUTE(Sheet1!V95,", ","#",2))-1),Sheet1!$A$1:$B$40,2,FALSE),"")</f>
        <v/>
      </c>
      <c r="I49" s="6" t="str">
        <f>IF((LEN(Sheet1!V95)-LEN(SUBSTITUTE(Sheet1!V95,", ","")))/2=3,VLOOKUP(LEFT(Sheet1!V95,FIND(", ",Sheet1!V95)-1),Sheet1!$A$1:$B$40,2,FALSE)&amp;","&amp;VLOOKUP(MID(Sheet1!V95,FIND("#",SUBSTITUTE(Sheet1!V95,", ","#",1))+2,FIND("#",SUBSTITUTE(Sheet1!V95,", ","#",2))-(FIND("#",SUBSTITUTE(Sheet1!V95,", ","#",1))+2)),Sheet1!$A$1:$B$40,2,FALSE)&amp;","&amp;VLOOKUP(MID(Sheet1!V95,FIND("#",SUBSTITUTE(Sheet1!V95,", ","#",2))+2,FIND("#",SUBSTITUTE(Sheet1!V95,", ","#",3))-(FIND("#",SUBSTITUTE(Sheet1!V95,", ","#",2))+2)),Sheet1!$A$1:$B$40,2,FALSE)&amp;","&amp;VLOOKUP(RIGHT(Sheet1!V95,LEN(Sheet1!V95)-FIND("#",SUBSTITUTE(Sheet1!V95,", ","#",3))-1),Sheet1!$A$1:$B$40,2,FALSE),"")</f>
        <v/>
      </c>
      <c r="J49" s="6" t="str">
        <f>IF((LEN(Sheet1!V95)-LEN(SUBSTITUTE(Sheet1!V95,", ","")))/2=4,VLOOKUP(LEFT(Sheet1!V95,FIND(", ",Sheet1!V95)-1),Sheet1!$A$1:$B$40,2,FALSE)&amp;","&amp;VLOOKUP(MID(Sheet1!V95,FIND("#",SUBSTITUTE(Sheet1!V95,", ","#",1))+2,FIND("#",SUBSTITUTE(Sheet1!V95,", ","#",2))-(FIND("#",SUBSTITUTE(Sheet1!V95,", ","#",1))+2)),Sheet1!$A$1:$B$40,2,FALSE)&amp;","&amp;VLOOKUP(MID(Sheet1!V95,FIND("#",SUBSTITUTE(Sheet1!V95,", ","#",2))+2,FIND("#",SUBSTITUTE(Sheet1!V95,", ","#",3))-(FIND("#",SUBSTITUTE(Sheet1!V95,", ","#",2))+2)),Sheet1!$A$1:$B$40,2,FALSE)&amp;","&amp;VLOOKUP(MID(Sheet1!V95,FIND("#",SUBSTITUTE(Sheet1!V95,", ","#",3))+2,FIND("#",SUBSTITUTE(Sheet1!V95,", ","#",4))-(FIND("#",SUBSTITUTE(Sheet1!V95,", ","#",3))+2)),Sheet1!$A$1:$B$40,2,FALSE)&amp;","&amp;VLOOKUP(RIGHT(Sheet1!V95,LEN(Sheet1!V95)-FIND("#",SUBSTITUTE(Sheet1!V95,", ","#",4))-1),Sheet1!$A$1:$B$40,2,FALSE),"")</f>
        <v/>
      </c>
      <c r="K49" s="6" t="str">
        <f t="shared" si="3"/>
        <v/>
      </c>
      <c r="L49" s="6" t="str">
        <f>IFERROR(IF((LEN(Sheet1!AA95)-LEN(SUBSTITUTE(Sheet1!AA95,", ","")))/2=0,VLOOKUP(Sheet1!AA95,Sheet1!$A$1:$B$40,2,FALSE),""),"")</f>
        <v/>
      </c>
      <c r="M49" s="6" t="str">
        <f>IFERROR(IF((LEN(Sheet1!AA95)-LEN(SUBSTITUTE(Sheet1!AA95,", ","")))/2=1,VLOOKUP(LEFT(Sheet1!AA95,FIND(", ",Sheet1!AA95)-1),Sheet1!$A$1:$B$40,2,FALSE)&amp;","&amp;VLOOKUP(RIGHT(Sheet1!AA95,LEN(Sheet1!AA95)-FIND(", ",Sheet1!AA95)-1),Sheet1!$A$1:$B$40,2,FALSE),""),"")</f>
        <v/>
      </c>
      <c r="N49" s="6" t="str">
        <f t="shared" si="6"/>
        <v/>
      </c>
    </row>
    <row r="50" spans="1:14">
      <c r="A50" s="5" t="str">
        <f>IFERROR(IF((LEN(Sheet1!N96)-LEN(SUBSTITUTE(Sheet1!N96,", ","")))/2=0,VLOOKUP(Sheet1!N96,Sheet1!$A$1:$B$40,2,FALSE),""),"")</f>
        <v/>
      </c>
      <c r="B50" s="6" t="str">
        <f>IFERROR(IF((LEN(Sheet1!N96)-LEN(SUBSTITUTE(Sheet1!N96,", ","")))/2=1,VLOOKUP(LEFT(Sheet1!N96,FIND(", ",Sheet1!N96)-1),Sheet1!$A$1:$B$40,2,FALSE)&amp;","&amp;VLOOKUP(RIGHT(Sheet1!N96,LEN(Sheet1!N96)-FIND(", ",Sheet1!N96)-1),Sheet1!$A$1:$B$40,2,FALSE),""),"")</f>
        <v/>
      </c>
      <c r="C50" s="6" t="str">
        <f>IF((LEN(Sheet1!N96)-LEN(SUBSTITUTE(Sheet1!N96,", ","")))/2=2,VLOOKUP(LEFT(Sheet1!N96,FIND(", ",Sheet1!N96)-1),Sheet1!$A$1:$B$40,2,FALSE)&amp;","&amp;VLOOKUP(MID(Sheet1!N96,FIND("#",SUBSTITUTE(Sheet1!N96,", ","#",1))+2,FIND("#",SUBSTITUTE(Sheet1!N96,", ","#",2))-(FIND("#",SUBSTITUTE(Sheet1!N96,", ","#",1))+2)),Sheet1!$A$1:$B$40,2,FALSE)&amp;","&amp;VLOOKUP(RIGHT(Sheet1!N96,LEN(Sheet1!N96)-FIND("#",SUBSTITUTE(Sheet1!N96,", ","#",2))-1),Sheet1!$A$1:$B$40,2,FALSE),"")</f>
        <v/>
      </c>
      <c r="D50" s="6" t="str">
        <f>IF((LEN(Sheet1!N96)-LEN(SUBSTITUTE(Sheet1!N96,", ","")))/2=3,VLOOKUP(LEFT(Sheet1!N96,FIND(", ",Sheet1!N96)-1),Sheet1!$A$1:$B$40,2,FALSE)&amp;","&amp;VLOOKUP(MID(Sheet1!N96,FIND("#",SUBSTITUTE(Sheet1!N96,", ","#",1))+2,FIND("#",SUBSTITUTE(Sheet1!N96,", ","#",2))-(FIND("#",SUBSTITUTE(Sheet1!N96,", ","#",1))+2)),Sheet1!$A$1:$B$40,2,FALSE)&amp;","&amp;VLOOKUP(MID(Sheet1!N96,FIND("#",SUBSTITUTE(Sheet1!N96,", ","#",2))+2,FIND("#",SUBSTITUTE(Sheet1!N96,", ","#",3))-(FIND("#",SUBSTITUTE(Sheet1!N96,", ","#",2))+2)),Sheet1!$A$1:$B$40,2,FALSE)&amp;","&amp;VLOOKUP(RIGHT(Sheet1!N96,LEN(Sheet1!N96)-FIND("#",SUBSTITUTE(Sheet1!N96,", ","#",3))-1),Sheet1!$A$1:$B$40,2,FALSE),"")</f>
        <v/>
      </c>
      <c r="E50" s="6" t="str">
        <f t="shared" si="5"/>
        <v/>
      </c>
      <c r="F50" s="6" t="str">
        <f>IFERROR(IF((LEN(Sheet1!V96)-LEN(SUBSTITUTE(Sheet1!V96,", ","")))/2=0,VLOOKUP(Sheet1!V96,Sheet1!$A$1:$B$40,2,FALSE),""),"")</f>
        <v/>
      </c>
      <c r="G50" s="6" t="str">
        <f>IFERROR(IF((LEN(Sheet1!V96)-LEN(SUBSTITUTE(Sheet1!V96,", ","")))/2=1,VLOOKUP(LEFT(Sheet1!V96,FIND(", ",Sheet1!V96)-1),Sheet1!$A$1:$B$40,2,FALSE)&amp;","&amp;VLOOKUP(RIGHT(Sheet1!V96,LEN(Sheet1!V96)-FIND(", ",Sheet1!V96)-1),Sheet1!$A$1:$B$40,2,FALSE),""),"")</f>
        <v/>
      </c>
      <c r="H50" s="6" t="str">
        <f>IF((LEN(Sheet1!V96)-LEN(SUBSTITUTE(Sheet1!V96,", ","")))/2=2,VLOOKUP(LEFT(Sheet1!V96,FIND(", ",Sheet1!V96)-1),Sheet1!$A$1:$B$40,2,FALSE)&amp;","&amp;VLOOKUP(MID(Sheet1!V96,FIND("#",SUBSTITUTE(Sheet1!V96,", ","#",1))+2,FIND("#",SUBSTITUTE(Sheet1!V96,", ","#",2))-(FIND("#",SUBSTITUTE(Sheet1!V96,", ","#",1))+2)),Sheet1!$A$1:$B$40,2,FALSE)&amp;","&amp;VLOOKUP(RIGHT(Sheet1!V96,LEN(Sheet1!V96)-FIND("#",SUBSTITUTE(Sheet1!V96,", ","#",2))-1),Sheet1!$A$1:$B$40,2,FALSE),"")</f>
        <v/>
      </c>
      <c r="I50" s="6" t="str">
        <f>IF((LEN(Sheet1!V96)-LEN(SUBSTITUTE(Sheet1!V96,", ","")))/2=3,VLOOKUP(LEFT(Sheet1!V96,FIND(", ",Sheet1!V96)-1),Sheet1!$A$1:$B$40,2,FALSE)&amp;","&amp;VLOOKUP(MID(Sheet1!V96,FIND("#",SUBSTITUTE(Sheet1!V96,", ","#",1))+2,FIND("#",SUBSTITUTE(Sheet1!V96,", ","#",2))-(FIND("#",SUBSTITUTE(Sheet1!V96,", ","#",1))+2)),Sheet1!$A$1:$B$40,2,FALSE)&amp;","&amp;VLOOKUP(MID(Sheet1!V96,FIND("#",SUBSTITUTE(Sheet1!V96,", ","#",2))+2,FIND("#",SUBSTITUTE(Sheet1!V96,", ","#",3))-(FIND("#",SUBSTITUTE(Sheet1!V96,", ","#",2))+2)),Sheet1!$A$1:$B$40,2,FALSE)&amp;","&amp;VLOOKUP(RIGHT(Sheet1!V96,LEN(Sheet1!V96)-FIND("#",SUBSTITUTE(Sheet1!V96,", ","#",3))-1),Sheet1!$A$1:$B$40,2,FALSE),"")</f>
        <v/>
      </c>
      <c r="J50" s="6" t="str">
        <f>IF((LEN(Sheet1!V96)-LEN(SUBSTITUTE(Sheet1!V96,", ","")))/2=4,VLOOKUP(LEFT(Sheet1!V96,FIND(", ",Sheet1!V96)-1),Sheet1!$A$1:$B$40,2,FALSE)&amp;","&amp;VLOOKUP(MID(Sheet1!V96,FIND("#",SUBSTITUTE(Sheet1!V96,", ","#",1))+2,FIND("#",SUBSTITUTE(Sheet1!V96,", ","#",2))-(FIND("#",SUBSTITUTE(Sheet1!V96,", ","#",1))+2)),Sheet1!$A$1:$B$40,2,FALSE)&amp;","&amp;VLOOKUP(MID(Sheet1!V96,FIND("#",SUBSTITUTE(Sheet1!V96,", ","#",2))+2,FIND("#",SUBSTITUTE(Sheet1!V96,", ","#",3))-(FIND("#",SUBSTITUTE(Sheet1!V96,", ","#",2))+2)),Sheet1!$A$1:$B$40,2,FALSE)&amp;","&amp;VLOOKUP(MID(Sheet1!V96,FIND("#",SUBSTITUTE(Sheet1!V96,", ","#",3))+2,FIND("#",SUBSTITUTE(Sheet1!V96,", ","#",4))-(FIND("#",SUBSTITUTE(Sheet1!V96,", ","#",3))+2)),Sheet1!$A$1:$B$40,2,FALSE)&amp;","&amp;VLOOKUP(RIGHT(Sheet1!V96,LEN(Sheet1!V96)-FIND("#",SUBSTITUTE(Sheet1!V96,", ","#",4))-1),Sheet1!$A$1:$B$40,2,FALSE),"")</f>
        <v/>
      </c>
      <c r="K50" s="6" t="str">
        <f t="shared" si="3"/>
        <v/>
      </c>
      <c r="L50" s="6" t="str">
        <f>IFERROR(IF((LEN(Sheet1!AA96)-LEN(SUBSTITUTE(Sheet1!AA96,", ","")))/2=0,VLOOKUP(Sheet1!AA96,Sheet1!$A$1:$B$40,2,FALSE),""),"")</f>
        <v/>
      </c>
      <c r="M50" s="6" t="str">
        <f>IFERROR(IF((LEN(Sheet1!AA96)-LEN(SUBSTITUTE(Sheet1!AA96,", ","")))/2=1,VLOOKUP(LEFT(Sheet1!AA96,FIND(", ",Sheet1!AA96)-1),Sheet1!$A$1:$B$40,2,FALSE)&amp;","&amp;VLOOKUP(RIGHT(Sheet1!AA96,LEN(Sheet1!AA96)-FIND(", ",Sheet1!AA96)-1),Sheet1!$A$1:$B$40,2,FALSE),""),"")</f>
        <v/>
      </c>
      <c r="N50" s="6" t="str">
        <f t="shared" si="6"/>
        <v/>
      </c>
    </row>
    <row r="51" spans="1:14">
      <c r="A51" s="5" t="str">
        <f>IFERROR(IF((LEN(Sheet1!N97)-LEN(SUBSTITUTE(Sheet1!N97,", ","")))/2=0,VLOOKUP(Sheet1!N97,Sheet1!$A$1:$B$40,2,FALSE),""),"")</f>
        <v/>
      </c>
      <c r="B51" s="6" t="str">
        <f>IFERROR(IF((LEN(Sheet1!N97)-LEN(SUBSTITUTE(Sheet1!N97,", ","")))/2=1,VLOOKUP(LEFT(Sheet1!N97,FIND(", ",Sheet1!N97)-1),Sheet1!$A$1:$B$40,2,FALSE)&amp;","&amp;VLOOKUP(RIGHT(Sheet1!N97,LEN(Sheet1!N97)-FIND(", ",Sheet1!N97)-1),Sheet1!$A$1:$B$40,2,FALSE),""),"")</f>
        <v/>
      </c>
      <c r="C51" s="6" t="str">
        <f>IF((LEN(Sheet1!N97)-LEN(SUBSTITUTE(Sheet1!N97,", ","")))/2=2,VLOOKUP(LEFT(Sheet1!N97,FIND(", ",Sheet1!N97)-1),Sheet1!$A$1:$B$40,2,FALSE)&amp;","&amp;VLOOKUP(MID(Sheet1!N97,FIND("#",SUBSTITUTE(Sheet1!N97,", ","#",1))+2,FIND("#",SUBSTITUTE(Sheet1!N97,", ","#",2))-(FIND("#",SUBSTITUTE(Sheet1!N97,", ","#",1))+2)),Sheet1!$A$1:$B$40,2,FALSE)&amp;","&amp;VLOOKUP(RIGHT(Sheet1!N97,LEN(Sheet1!N97)-FIND("#",SUBSTITUTE(Sheet1!N97,", ","#",2))-1),Sheet1!$A$1:$B$40,2,FALSE),"")</f>
        <v/>
      </c>
      <c r="D51" s="6" t="str">
        <f>IF((LEN(Sheet1!N97)-LEN(SUBSTITUTE(Sheet1!N97,", ","")))/2=3,VLOOKUP(LEFT(Sheet1!N97,FIND(", ",Sheet1!N97)-1),Sheet1!$A$1:$B$40,2,FALSE)&amp;","&amp;VLOOKUP(MID(Sheet1!N97,FIND("#",SUBSTITUTE(Sheet1!N97,", ","#",1))+2,FIND("#",SUBSTITUTE(Sheet1!N97,", ","#",2))-(FIND("#",SUBSTITUTE(Sheet1!N97,", ","#",1))+2)),Sheet1!$A$1:$B$40,2,FALSE)&amp;","&amp;VLOOKUP(MID(Sheet1!N97,FIND("#",SUBSTITUTE(Sheet1!N97,", ","#",2))+2,FIND("#",SUBSTITUTE(Sheet1!N97,", ","#",3))-(FIND("#",SUBSTITUTE(Sheet1!N97,", ","#",2))+2)),Sheet1!$A$1:$B$40,2,FALSE)&amp;","&amp;VLOOKUP(RIGHT(Sheet1!N97,LEN(Sheet1!N97)-FIND("#",SUBSTITUTE(Sheet1!N97,", ","#",3))-1),Sheet1!$A$1:$B$40,2,FALSE),"")</f>
        <v/>
      </c>
      <c r="E51" s="6" t="str">
        <f t="shared" ref="E51:E66" si="7">A51&amp;B51&amp;C51&amp;D51</f>
        <v/>
      </c>
      <c r="F51" s="6" t="str">
        <f>IFERROR(IF((LEN(Sheet1!V97)-LEN(SUBSTITUTE(Sheet1!V97,", ","")))/2=0,VLOOKUP(Sheet1!V97,Sheet1!$A$1:$B$40,2,FALSE),""),"")</f>
        <v/>
      </c>
      <c r="G51" s="6" t="str">
        <f>IFERROR(IF((LEN(Sheet1!V97)-LEN(SUBSTITUTE(Sheet1!V97,", ","")))/2=1,VLOOKUP(LEFT(Sheet1!V97,FIND(", ",Sheet1!V97)-1),Sheet1!$A$1:$B$40,2,FALSE)&amp;","&amp;VLOOKUP(RIGHT(Sheet1!V97,LEN(Sheet1!V97)-FIND(", ",Sheet1!V97)-1),Sheet1!$A$1:$B$40,2,FALSE),""),"")</f>
        <v/>
      </c>
      <c r="H51" s="6" t="str">
        <f>IF((LEN(Sheet1!V97)-LEN(SUBSTITUTE(Sheet1!V97,", ","")))/2=2,VLOOKUP(LEFT(Sheet1!V97,FIND(", ",Sheet1!V97)-1),Sheet1!$A$1:$B$40,2,FALSE)&amp;","&amp;VLOOKUP(MID(Sheet1!V97,FIND("#",SUBSTITUTE(Sheet1!V97,", ","#",1))+2,FIND("#",SUBSTITUTE(Sheet1!V97,", ","#",2))-(FIND("#",SUBSTITUTE(Sheet1!V97,", ","#",1))+2)),Sheet1!$A$1:$B$40,2,FALSE)&amp;","&amp;VLOOKUP(RIGHT(Sheet1!V97,LEN(Sheet1!V97)-FIND("#",SUBSTITUTE(Sheet1!V97,", ","#",2))-1),Sheet1!$A$1:$B$40,2,FALSE),"")</f>
        <v/>
      </c>
      <c r="I51" s="6" t="str">
        <f>IF((LEN(Sheet1!V97)-LEN(SUBSTITUTE(Sheet1!V97,", ","")))/2=3,VLOOKUP(LEFT(Sheet1!V97,FIND(", ",Sheet1!V97)-1),Sheet1!$A$1:$B$40,2,FALSE)&amp;","&amp;VLOOKUP(MID(Sheet1!V97,FIND("#",SUBSTITUTE(Sheet1!V97,", ","#",1))+2,FIND("#",SUBSTITUTE(Sheet1!V97,", ","#",2))-(FIND("#",SUBSTITUTE(Sheet1!V97,", ","#",1))+2)),Sheet1!$A$1:$B$40,2,FALSE)&amp;","&amp;VLOOKUP(MID(Sheet1!V97,FIND("#",SUBSTITUTE(Sheet1!V97,", ","#",2))+2,FIND("#",SUBSTITUTE(Sheet1!V97,", ","#",3))-(FIND("#",SUBSTITUTE(Sheet1!V97,", ","#",2))+2)),Sheet1!$A$1:$B$40,2,FALSE)&amp;","&amp;VLOOKUP(RIGHT(Sheet1!V97,LEN(Sheet1!V97)-FIND("#",SUBSTITUTE(Sheet1!V97,", ","#",3))-1),Sheet1!$A$1:$B$40,2,FALSE),"")</f>
        <v/>
      </c>
      <c r="J51" s="6" t="str">
        <f>IF((LEN(Sheet1!V97)-LEN(SUBSTITUTE(Sheet1!V97,", ","")))/2=4,VLOOKUP(LEFT(Sheet1!V97,FIND(", ",Sheet1!V97)-1),Sheet1!$A$1:$B$40,2,FALSE)&amp;","&amp;VLOOKUP(MID(Sheet1!V97,FIND("#",SUBSTITUTE(Sheet1!V97,", ","#",1))+2,FIND("#",SUBSTITUTE(Sheet1!V97,", ","#",2))-(FIND("#",SUBSTITUTE(Sheet1!V97,", ","#",1))+2)),Sheet1!$A$1:$B$40,2,FALSE)&amp;","&amp;VLOOKUP(MID(Sheet1!V97,FIND("#",SUBSTITUTE(Sheet1!V97,", ","#",2))+2,FIND("#",SUBSTITUTE(Sheet1!V97,", ","#",3))-(FIND("#",SUBSTITUTE(Sheet1!V97,", ","#",2))+2)),Sheet1!$A$1:$B$40,2,FALSE)&amp;","&amp;VLOOKUP(MID(Sheet1!V97,FIND("#",SUBSTITUTE(Sheet1!V97,", ","#",3))+2,FIND("#",SUBSTITUTE(Sheet1!V97,", ","#",4))-(FIND("#",SUBSTITUTE(Sheet1!V97,", ","#",3))+2)),Sheet1!$A$1:$B$40,2,FALSE)&amp;","&amp;VLOOKUP(RIGHT(Sheet1!V97,LEN(Sheet1!V97)-FIND("#",SUBSTITUTE(Sheet1!V97,", ","#",4))-1),Sheet1!$A$1:$B$40,2,FALSE),"")</f>
        <v/>
      </c>
      <c r="K51" s="6" t="str">
        <f t="shared" si="3"/>
        <v/>
      </c>
      <c r="L51" s="6" t="str">
        <f>IFERROR(IF((LEN(Sheet1!AA97)-LEN(SUBSTITUTE(Sheet1!AA97,", ","")))/2=0,VLOOKUP(Sheet1!AA97,Sheet1!$A$1:$B$40,2,FALSE),""),"")</f>
        <v/>
      </c>
      <c r="M51" s="6" t="str">
        <f>IFERROR(IF((LEN(Sheet1!AA97)-LEN(SUBSTITUTE(Sheet1!AA97,", ","")))/2=1,VLOOKUP(LEFT(Sheet1!AA97,FIND(", ",Sheet1!AA97)-1),Sheet1!$A$1:$B$40,2,FALSE)&amp;","&amp;VLOOKUP(RIGHT(Sheet1!AA97,LEN(Sheet1!AA97)-FIND(", ",Sheet1!AA97)-1),Sheet1!$A$1:$B$40,2,FALSE),""),"")</f>
        <v/>
      </c>
      <c r="N51" s="6" t="str">
        <f t="shared" si="6"/>
        <v/>
      </c>
    </row>
    <row r="52" spans="1:14">
      <c r="A52" s="5" t="str">
        <f>IFERROR(IF((LEN(Sheet1!N98)-LEN(SUBSTITUTE(Sheet1!N98,", ","")))/2=0,VLOOKUP(Sheet1!N98,Sheet1!$A$1:$B$40,2,FALSE),""),"")</f>
        <v/>
      </c>
      <c r="B52" s="6" t="str">
        <f>IFERROR(IF((LEN(Sheet1!N98)-LEN(SUBSTITUTE(Sheet1!N98,", ","")))/2=1,VLOOKUP(LEFT(Sheet1!N98,FIND(", ",Sheet1!N98)-1),Sheet1!$A$1:$B$40,2,FALSE)&amp;","&amp;VLOOKUP(RIGHT(Sheet1!N98,LEN(Sheet1!N98)-FIND(", ",Sheet1!N98)-1),Sheet1!$A$1:$B$40,2,FALSE),""),"")</f>
        <v/>
      </c>
      <c r="C52" s="6" t="str">
        <f>IF((LEN(Sheet1!N98)-LEN(SUBSTITUTE(Sheet1!N98,", ","")))/2=2,VLOOKUP(LEFT(Sheet1!N98,FIND(", ",Sheet1!N98)-1),Sheet1!$A$1:$B$40,2,FALSE)&amp;","&amp;VLOOKUP(MID(Sheet1!N98,FIND("#",SUBSTITUTE(Sheet1!N98,", ","#",1))+2,FIND("#",SUBSTITUTE(Sheet1!N98,", ","#",2))-(FIND("#",SUBSTITUTE(Sheet1!N98,", ","#",1))+2)),Sheet1!$A$1:$B$40,2,FALSE)&amp;","&amp;VLOOKUP(RIGHT(Sheet1!N98,LEN(Sheet1!N98)-FIND("#",SUBSTITUTE(Sheet1!N98,", ","#",2))-1),Sheet1!$A$1:$B$40,2,FALSE),"")</f>
        <v/>
      </c>
      <c r="D52" s="6" t="str">
        <f>IF((LEN(Sheet1!N98)-LEN(SUBSTITUTE(Sheet1!N98,", ","")))/2=3,VLOOKUP(LEFT(Sheet1!N98,FIND(", ",Sheet1!N98)-1),Sheet1!$A$1:$B$40,2,FALSE)&amp;","&amp;VLOOKUP(MID(Sheet1!N98,FIND("#",SUBSTITUTE(Sheet1!N98,", ","#",1))+2,FIND("#",SUBSTITUTE(Sheet1!N98,", ","#",2))-(FIND("#",SUBSTITUTE(Sheet1!N98,", ","#",1))+2)),Sheet1!$A$1:$B$40,2,FALSE)&amp;","&amp;VLOOKUP(MID(Sheet1!N98,FIND("#",SUBSTITUTE(Sheet1!N98,", ","#",2))+2,FIND("#",SUBSTITUTE(Sheet1!N98,", ","#",3))-(FIND("#",SUBSTITUTE(Sheet1!N98,", ","#",2))+2)),Sheet1!$A$1:$B$40,2,FALSE)&amp;","&amp;VLOOKUP(RIGHT(Sheet1!N98,LEN(Sheet1!N98)-FIND("#",SUBSTITUTE(Sheet1!N98,", ","#",3))-1),Sheet1!$A$1:$B$40,2,FALSE),"")</f>
        <v/>
      </c>
      <c r="E52" s="6" t="str">
        <f t="shared" si="7"/>
        <v/>
      </c>
      <c r="F52" s="6" t="str">
        <f>IFERROR(IF((LEN(Sheet1!V98)-LEN(SUBSTITUTE(Sheet1!V98,", ","")))/2=0,VLOOKUP(Sheet1!V98,Sheet1!$A$1:$B$40,2,FALSE),""),"")</f>
        <v/>
      </c>
      <c r="G52" s="6" t="str">
        <f>IFERROR(IF((LEN(Sheet1!V98)-LEN(SUBSTITUTE(Sheet1!V98,", ","")))/2=1,VLOOKUP(LEFT(Sheet1!V98,FIND(", ",Sheet1!V98)-1),Sheet1!$A$1:$B$40,2,FALSE)&amp;","&amp;VLOOKUP(RIGHT(Sheet1!V98,LEN(Sheet1!V98)-FIND(", ",Sheet1!V98)-1),Sheet1!$A$1:$B$40,2,FALSE),""),"")</f>
        <v/>
      </c>
      <c r="H52" s="6" t="str">
        <f>IF((LEN(Sheet1!V98)-LEN(SUBSTITUTE(Sheet1!V98,", ","")))/2=2,VLOOKUP(LEFT(Sheet1!V98,FIND(", ",Sheet1!V98)-1),Sheet1!$A$1:$B$40,2,FALSE)&amp;","&amp;VLOOKUP(MID(Sheet1!V98,FIND("#",SUBSTITUTE(Sheet1!V98,", ","#",1))+2,FIND("#",SUBSTITUTE(Sheet1!V98,", ","#",2))-(FIND("#",SUBSTITUTE(Sheet1!V98,", ","#",1))+2)),Sheet1!$A$1:$B$40,2,FALSE)&amp;","&amp;VLOOKUP(RIGHT(Sheet1!V98,LEN(Sheet1!V98)-FIND("#",SUBSTITUTE(Sheet1!V98,", ","#",2))-1),Sheet1!$A$1:$B$40,2,FALSE),"")</f>
        <v/>
      </c>
      <c r="I52" s="6" t="str">
        <f>IF((LEN(Sheet1!V98)-LEN(SUBSTITUTE(Sheet1!V98,", ","")))/2=3,VLOOKUP(LEFT(Sheet1!V98,FIND(", ",Sheet1!V98)-1),Sheet1!$A$1:$B$40,2,FALSE)&amp;","&amp;VLOOKUP(MID(Sheet1!V98,FIND("#",SUBSTITUTE(Sheet1!V98,", ","#",1))+2,FIND("#",SUBSTITUTE(Sheet1!V98,", ","#",2))-(FIND("#",SUBSTITUTE(Sheet1!V98,", ","#",1))+2)),Sheet1!$A$1:$B$40,2,FALSE)&amp;","&amp;VLOOKUP(MID(Sheet1!V98,FIND("#",SUBSTITUTE(Sheet1!V98,", ","#",2))+2,FIND("#",SUBSTITUTE(Sheet1!V98,", ","#",3))-(FIND("#",SUBSTITUTE(Sheet1!V98,", ","#",2))+2)),Sheet1!$A$1:$B$40,2,FALSE)&amp;","&amp;VLOOKUP(RIGHT(Sheet1!V98,LEN(Sheet1!V98)-FIND("#",SUBSTITUTE(Sheet1!V98,", ","#",3))-1),Sheet1!$A$1:$B$40,2,FALSE),"")</f>
        <v/>
      </c>
      <c r="J52" s="6" t="str">
        <f>IF((LEN(Sheet1!V98)-LEN(SUBSTITUTE(Sheet1!V98,", ","")))/2=4,VLOOKUP(LEFT(Sheet1!V98,FIND(", ",Sheet1!V98)-1),Sheet1!$A$1:$B$40,2,FALSE)&amp;","&amp;VLOOKUP(MID(Sheet1!V98,FIND("#",SUBSTITUTE(Sheet1!V98,", ","#",1))+2,FIND("#",SUBSTITUTE(Sheet1!V98,", ","#",2))-(FIND("#",SUBSTITUTE(Sheet1!V98,", ","#",1))+2)),Sheet1!$A$1:$B$40,2,FALSE)&amp;","&amp;VLOOKUP(MID(Sheet1!V98,FIND("#",SUBSTITUTE(Sheet1!V98,", ","#",2))+2,FIND("#",SUBSTITUTE(Sheet1!V98,", ","#",3))-(FIND("#",SUBSTITUTE(Sheet1!V98,", ","#",2))+2)),Sheet1!$A$1:$B$40,2,FALSE)&amp;","&amp;VLOOKUP(MID(Sheet1!V98,FIND("#",SUBSTITUTE(Sheet1!V98,", ","#",3))+2,FIND("#",SUBSTITUTE(Sheet1!V98,", ","#",4))-(FIND("#",SUBSTITUTE(Sheet1!V98,", ","#",3))+2)),Sheet1!$A$1:$B$40,2,FALSE)&amp;","&amp;VLOOKUP(RIGHT(Sheet1!V98,LEN(Sheet1!V98)-FIND("#",SUBSTITUTE(Sheet1!V98,", ","#",4))-1),Sheet1!$A$1:$B$40,2,FALSE),"")</f>
        <v/>
      </c>
      <c r="K52" s="6" t="str">
        <f t="shared" si="3"/>
        <v/>
      </c>
      <c r="L52" s="6" t="str">
        <f>IFERROR(IF((LEN(Sheet1!AA98)-LEN(SUBSTITUTE(Sheet1!AA98,", ","")))/2=0,VLOOKUP(Sheet1!AA98,Sheet1!$A$1:$B$40,2,FALSE),""),"")</f>
        <v/>
      </c>
      <c r="M52" s="6" t="str">
        <f>IFERROR(IF((LEN(Sheet1!AA98)-LEN(SUBSTITUTE(Sheet1!AA98,", ","")))/2=1,VLOOKUP(LEFT(Sheet1!AA98,FIND(", ",Sheet1!AA98)-1),Sheet1!$A$1:$B$40,2,FALSE)&amp;","&amp;VLOOKUP(RIGHT(Sheet1!AA98,LEN(Sheet1!AA98)-FIND(", ",Sheet1!AA98)-1),Sheet1!$A$1:$B$40,2,FALSE),""),"")</f>
        <v/>
      </c>
      <c r="N52" s="6" t="str">
        <f t="shared" si="6"/>
        <v/>
      </c>
    </row>
    <row r="53" spans="1:14">
      <c r="A53" s="5" t="str">
        <f>IFERROR(IF((LEN(Sheet1!N99)-LEN(SUBSTITUTE(Sheet1!N99,", ","")))/2=0,VLOOKUP(Sheet1!N99,Sheet1!$A$1:$B$40,2,FALSE),""),"")</f>
        <v/>
      </c>
      <c r="B53" s="6" t="str">
        <f>IFERROR(IF((LEN(Sheet1!N99)-LEN(SUBSTITUTE(Sheet1!N99,", ","")))/2=1,VLOOKUP(LEFT(Sheet1!N99,FIND(", ",Sheet1!N99)-1),Sheet1!$A$1:$B$40,2,FALSE)&amp;","&amp;VLOOKUP(RIGHT(Sheet1!N99,LEN(Sheet1!N99)-FIND(", ",Sheet1!N99)-1),Sheet1!$A$1:$B$40,2,FALSE),""),"")</f>
        <v/>
      </c>
      <c r="C53" s="6" t="str">
        <f>IF((LEN(Sheet1!N99)-LEN(SUBSTITUTE(Sheet1!N99,", ","")))/2=2,VLOOKUP(LEFT(Sheet1!N99,FIND(", ",Sheet1!N99)-1),Sheet1!$A$1:$B$40,2,FALSE)&amp;","&amp;VLOOKUP(MID(Sheet1!N99,FIND("#",SUBSTITUTE(Sheet1!N99,", ","#",1))+2,FIND("#",SUBSTITUTE(Sheet1!N99,", ","#",2))-(FIND("#",SUBSTITUTE(Sheet1!N99,", ","#",1))+2)),Sheet1!$A$1:$B$40,2,FALSE)&amp;","&amp;VLOOKUP(RIGHT(Sheet1!N99,LEN(Sheet1!N99)-FIND("#",SUBSTITUTE(Sheet1!N99,", ","#",2))-1),Sheet1!$A$1:$B$40,2,FALSE),"")</f>
        <v/>
      </c>
      <c r="D53" s="6" t="str">
        <f>IF((LEN(Sheet1!N99)-LEN(SUBSTITUTE(Sheet1!N99,", ","")))/2=3,VLOOKUP(LEFT(Sheet1!N99,FIND(", ",Sheet1!N99)-1),Sheet1!$A$1:$B$40,2,FALSE)&amp;","&amp;VLOOKUP(MID(Sheet1!N99,FIND("#",SUBSTITUTE(Sheet1!N99,", ","#",1))+2,FIND("#",SUBSTITUTE(Sheet1!N99,", ","#",2))-(FIND("#",SUBSTITUTE(Sheet1!N99,", ","#",1))+2)),Sheet1!$A$1:$B$40,2,FALSE)&amp;","&amp;VLOOKUP(MID(Sheet1!N99,FIND("#",SUBSTITUTE(Sheet1!N99,", ","#",2))+2,FIND("#",SUBSTITUTE(Sheet1!N99,", ","#",3))-(FIND("#",SUBSTITUTE(Sheet1!N99,", ","#",2))+2)),Sheet1!$A$1:$B$40,2,FALSE)&amp;","&amp;VLOOKUP(RIGHT(Sheet1!N99,LEN(Sheet1!N99)-FIND("#",SUBSTITUTE(Sheet1!N99,", ","#",3))-1),Sheet1!$A$1:$B$40,2,FALSE),"")</f>
        <v/>
      </c>
      <c r="E53" s="6" t="str">
        <f t="shared" si="7"/>
        <v/>
      </c>
      <c r="F53" s="6" t="str">
        <f>IFERROR(IF((LEN(Sheet1!V99)-LEN(SUBSTITUTE(Sheet1!V99,", ","")))/2=0,VLOOKUP(Sheet1!V99,Sheet1!$A$1:$B$40,2,FALSE),""),"")</f>
        <v/>
      </c>
      <c r="G53" s="6" t="str">
        <f>IFERROR(IF((LEN(Sheet1!V99)-LEN(SUBSTITUTE(Sheet1!V99,", ","")))/2=1,VLOOKUP(LEFT(Sheet1!V99,FIND(", ",Sheet1!V99)-1),Sheet1!$A$1:$B$40,2,FALSE)&amp;","&amp;VLOOKUP(RIGHT(Sheet1!V99,LEN(Sheet1!V99)-FIND(", ",Sheet1!V99)-1),Sheet1!$A$1:$B$40,2,FALSE),""),"")</f>
        <v/>
      </c>
      <c r="H53" s="6" t="str">
        <f>IF((LEN(Sheet1!V99)-LEN(SUBSTITUTE(Sheet1!V99,", ","")))/2=2,VLOOKUP(LEFT(Sheet1!V99,FIND(", ",Sheet1!V99)-1),Sheet1!$A$1:$B$40,2,FALSE)&amp;","&amp;VLOOKUP(MID(Sheet1!V99,FIND("#",SUBSTITUTE(Sheet1!V99,", ","#",1))+2,FIND("#",SUBSTITUTE(Sheet1!V99,", ","#",2))-(FIND("#",SUBSTITUTE(Sheet1!V99,", ","#",1))+2)),Sheet1!$A$1:$B$40,2,FALSE)&amp;","&amp;VLOOKUP(RIGHT(Sheet1!V99,LEN(Sheet1!V99)-FIND("#",SUBSTITUTE(Sheet1!V99,", ","#",2))-1),Sheet1!$A$1:$B$40,2,FALSE),"")</f>
        <v/>
      </c>
      <c r="I53" s="6" t="str">
        <f>IF((LEN(Sheet1!V99)-LEN(SUBSTITUTE(Sheet1!V99,", ","")))/2=3,VLOOKUP(LEFT(Sheet1!V99,FIND(", ",Sheet1!V99)-1),Sheet1!$A$1:$B$40,2,FALSE)&amp;","&amp;VLOOKUP(MID(Sheet1!V99,FIND("#",SUBSTITUTE(Sheet1!V99,", ","#",1))+2,FIND("#",SUBSTITUTE(Sheet1!V99,", ","#",2))-(FIND("#",SUBSTITUTE(Sheet1!V99,", ","#",1))+2)),Sheet1!$A$1:$B$40,2,FALSE)&amp;","&amp;VLOOKUP(MID(Sheet1!V99,FIND("#",SUBSTITUTE(Sheet1!V99,", ","#",2))+2,FIND("#",SUBSTITUTE(Sheet1!V99,", ","#",3))-(FIND("#",SUBSTITUTE(Sheet1!V99,", ","#",2))+2)),Sheet1!$A$1:$B$40,2,FALSE)&amp;","&amp;VLOOKUP(RIGHT(Sheet1!V99,LEN(Sheet1!V99)-FIND("#",SUBSTITUTE(Sheet1!V99,", ","#",3))-1),Sheet1!$A$1:$B$40,2,FALSE),"")</f>
        <v/>
      </c>
      <c r="J53" s="6" t="str">
        <f>IF((LEN(Sheet1!V99)-LEN(SUBSTITUTE(Sheet1!V99,", ","")))/2=4,VLOOKUP(LEFT(Sheet1!V99,FIND(", ",Sheet1!V99)-1),Sheet1!$A$1:$B$40,2,FALSE)&amp;","&amp;VLOOKUP(MID(Sheet1!V99,FIND("#",SUBSTITUTE(Sheet1!V99,", ","#",1))+2,FIND("#",SUBSTITUTE(Sheet1!V99,", ","#",2))-(FIND("#",SUBSTITUTE(Sheet1!V99,", ","#",1))+2)),Sheet1!$A$1:$B$40,2,FALSE)&amp;","&amp;VLOOKUP(MID(Sheet1!V99,FIND("#",SUBSTITUTE(Sheet1!V99,", ","#",2))+2,FIND("#",SUBSTITUTE(Sheet1!V99,", ","#",3))-(FIND("#",SUBSTITUTE(Sheet1!V99,", ","#",2))+2)),Sheet1!$A$1:$B$40,2,FALSE)&amp;","&amp;VLOOKUP(MID(Sheet1!V99,FIND("#",SUBSTITUTE(Sheet1!V99,", ","#",3))+2,FIND("#",SUBSTITUTE(Sheet1!V99,", ","#",4))-(FIND("#",SUBSTITUTE(Sheet1!V99,", ","#",3))+2)),Sheet1!$A$1:$B$40,2,FALSE)&amp;","&amp;VLOOKUP(RIGHT(Sheet1!V99,LEN(Sheet1!V99)-FIND("#",SUBSTITUTE(Sheet1!V99,", ","#",4))-1),Sheet1!$A$1:$B$40,2,FALSE),"")</f>
        <v/>
      </c>
      <c r="K53" s="6" t="str">
        <f t="shared" si="3"/>
        <v/>
      </c>
      <c r="L53" s="6" t="str">
        <f>IFERROR(IF((LEN(Sheet1!AA99)-LEN(SUBSTITUTE(Sheet1!AA99,", ","")))/2=0,VLOOKUP(Sheet1!AA99,Sheet1!$A$1:$B$40,2,FALSE),""),"")</f>
        <v/>
      </c>
      <c r="M53" s="6" t="str">
        <f>IFERROR(IF((LEN(Sheet1!AA99)-LEN(SUBSTITUTE(Sheet1!AA99,", ","")))/2=1,VLOOKUP(LEFT(Sheet1!AA99,FIND(", ",Sheet1!AA99)-1),Sheet1!$A$1:$B$40,2,FALSE)&amp;","&amp;VLOOKUP(RIGHT(Sheet1!AA99,LEN(Sheet1!AA99)-FIND(", ",Sheet1!AA99)-1),Sheet1!$A$1:$B$40,2,FALSE),""),"")</f>
        <v/>
      </c>
      <c r="N53" s="6" t="str">
        <f t="shared" si="6"/>
        <v/>
      </c>
    </row>
    <row r="54" spans="1:14">
      <c r="A54" s="5" t="str">
        <f>IFERROR(IF((LEN(Sheet1!N100)-LEN(SUBSTITUTE(Sheet1!N100,", ","")))/2=0,VLOOKUP(Sheet1!N100,Sheet1!$A$1:$B$40,2,FALSE),""),"")</f>
        <v/>
      </c>
      <c r="B54" s="6" t="str">
        <f>IFERROR(IF((LEN(Sheet1!N100)-LEN(SUBSTITUTE(Sheet1!N100,", ","")))/2=1,VLOOKUP(LEFT(Sheet1!N100,FIND(", ",Sheet1!N100)-1),Sheet1!$A$1:$B$40,2,FALSE)&amp;","&amp;VLOOKUP(RIGHT(Sheet1!N100,LEN(Sheet1!N100)-FIND(", ",Sheet1!N100)-1),Sheet1!$A$1:$B$40,2,FALSE),""),"")</f>
        <v/>
      </c>
      <c r="C54" s="6" t="str">
        <f>IF((LEN(Sheet1!N100)-LEN(SUBSTITUTE(Sheet1!N100,", ","")))/2=2,VLOOKUP(LEFT(Sheet1!N100,FIND(", ",Sheet1!N100)-1),Sheet1!$A$1:$B$40,2,FALSE)&amp;","&amp;VLOOKUP(MID(Sheet1!N100,FIND("#",SUBSTITUTE(Sheet1!N100,", ","#",1))+2,FIND("#",SUBSTITUTE(Sheet1!N100,", ","#",2))-(FIND("#",SUBSTITUTE(Sheet1!N100,", ","#",1))+2)),Sheet1!$A$1:$B$40,2,FALSE)&amp;","&amp;VLOOKUP(RIGHT(Sheet1!N100,LEN(Sheet1!N100)-FIND("#",SUBSTITUTE(Sheet1!N100,", ","#",2))-1),Sheet1!$A$1:$B$40,2,FALSE),"")</f>
        <v/>
      </c>
      <c r="D54" s="6" t="str">
        <f>IF((LEN(Sheet1!N100)-LEN(SUBSTITUTE(Sheet1!N100,", ","")))/2=3,VLOOKUP(LEFT(Sheet1!N100,FIND(", ",Sheet1!N100)-1),Sheet1!$A$1:$B$40,2,FALSE)&amp;","&amp;VLOOKUP(MID(Sheet1!N100,FIND("#",SUBSTITUTE(Sheet1!N100,", ","#",1))+2,FIND("#",SUBSTITUTE(Sheet1!N100,", ","#",2))-(FIND("#",SUBSTITUTE(Sheet1!N100,", ","#",1))+2)),Sheet1!$A$1:$B$40,2,FALSE)&amp;","&amp;VLOOKUP(MID(Sheet1!N100,FIND("#",SUBSTITUTE(Sheet1!N100,", ","#",2))+2,FIND("#",SUBSTITUTE(Sheet1!N100,", ","#",3))-(FIND("#",SUBSTITUTE(Sheet1!N100,", ","#",2))+2)),Sheet1!$A$1:$B$40,2,FALSE)&amp;","&amp;VLOOKUP(RIGHT(Sheet1!N100,LEN(Sheet1!N100)-FIND("#",SUBSTITUTE(Sheet1!N100,", ","#",3))-1),Sheet1!$A$1:$B$40,2,FALSE),"")</f>
        <v/>
      </c>
      <c r="E54" s="6" t="str">
        <f t="shared" si="7"/>
        <v/>
      </c>
      <c r="F54" s="6" t="str">
        <f>IFERROR(IF((LEN(Sheet1!V100)-LEN(SUBSTITUTE(Sheet1!V100,", ","")))/2=0,VLOOKUP(Sheet1!V100,Sheet1!$A$1:$B$40,2,FALSE),""),"")</f>
        <v/>
      </c>
      <c r="G54" s="6" t="str">
        <f>IFERROR(IF((LEN(Sheet1!V100)-LEN(SUBSTITUTE(Sheet1!V100,", ","")))/2=1,VLOOKUP(LEFT(Sheet1!V100,FIND(", ",Sheet1!V100)-1),Sheet1!$A$1:$B$40,2,FALSE)&amp;","&amp;VLOOKUP(RIGHT(Sheet1!V100,LEN(Sheet1!V100)-FIND(", ",Sheet1!V100)-1),Sheet1!$A$1:$B$40,2,FALSE),""),"")</f>
        <v/>
      </c>
      <c r="H54" s="6" t="str">
        <f>IF((LEN(Sheet1!V100)-LEN(SUBSTITUTE(Sheet1!V100,", ","")))/2=2,VLOOKUP(LEFT(Sheet1!V100,FIND(", ",Sheet1!V100)-1),Sheet1!$A$1:$B$40,2,FALSE)&amp;","&amp;VLOOKUP(MID(Sheet1!V100,FIND("#",SUBSTITUTE(Sheet1!V100,", ","#",1))+2,FIND("#",SUBSTITUTE(Sheet1!V100,", ","#",2))-(FIND("#",SUBSTITUTE(Sheet1!V100,", ","#",1))+2)),Sheet1!$A$1:$B$40,2,FALSE)&amp;","&amp;VLOOKUP(RIGHT(Sheet1!V100,LEN(Sheet1!V100)-FIND("#",SUBSTITUTE(Sheet1!V100,", ","#",2))-1),Sheet1!$A$1:$B$40,2,FALSE),"")</f>
        <v/>
      </c>
      <c r="I54" s="6" t="str">
        <f>IF((LEN(Sheet1!V100)-LEN(SUBSTITUTE(Sheet1!V100,", ","")))/2=3,VLOOKUP(LEFT(Sheet1!V100,FIND(", ",Sheet1!V100)-1),Sheet1!$A$1:$B$40,2,FALSE)&amp;","&amp;VLOOKUP(MID(Sheet1!V100,FIND("#",SUBSTITUTE(Sheet1!V100,", ","#",1))+2,FIND("#",SUBSTITUTE(Sheet1!V100,", ","#",2))-(FIND("#",SUBSTITUTE(Sheet1!V100,", ","#",1))+2)),Sheet1!$A$1:$B$40,2,FALSE)&amp;","&amp;VLOOKUP(MID(Sheet1!V100,FIND("#",SUBSTITUTE(Sheet1!V100,", ","#",2))+2,FIND("#",SUBSTITUTE(Sheet1!V100,", ","#",3))-(FIND("#",SUBSTITUTE(Sheet1!V100,", ","#",2))+2)),Sheet1!$A$1:$B$40,2,FALSE)&amp;","&amp;VLOOKUP(RIGHT(Sheet1!V100,LEN(Sheet1!V100)-FIND("#",SUBSTITUTE(Sheet1!V100,", ","#",3))-1),Sheet1!$A$1:$B$40,2,FALSE),"")</f>
        <v/>
      </c>
      <c r="J54" s="6" t="str">
        <f>IF((LEN(Sheet1!V100)-LEN(SUBSTITUTE(Sheet1!V100,", ","")))/2=4,VLOOKUP(LEFT(Sheet1!V100,FIND(", ",Sheet1!V100)-1),Sheet1!$A$1:$B$40,2,FALSE)&amp;","&amp;VLOOKUP(MID(Sheet1!V100,FIND("#",SUBSTITUTE(Sheet1!V100,", ","#",1))+2,FIND("#",SUBSTITUTE(Sheet1!V100,", ","#",2))-(FIND("#",SUBSTITUTE(Sheet1!V100,", ","#",1))+2)),Sheet1!$A$1:$B$40,2,FALSE)&amp;","&amp;VLOOKUP(MID(Sheet1!V100,FIND("#",SUBSTITUTE(Sheet1!V100,", ","#",2))+2,FIND("#",SUBSTITUTE(Sheet1!V100,", ","#",3))-(FIND("#",SUBSTITUTE(Sheet1!V100,", ","#",2))+2)),Sheet1!$A$1:$B$40,2,FALSE)&amp;","&amp;VLOOKUP(MID(Sheet1!V100,FIND("#",SUBSTITUTE(Sheet1!V100,", ","#",3))+2,FIND("#",SUBSTITUTE(Sheet1!V100,", ","#",4))-(FIND("#",SUBSTITUTE(Sheet1!V100,", ","#",3))+2)),Sheet1!$A$1:$B$40,2,FALSE)&amp;","&amp;VLOOKUP(RIGHT(Sheet1!V100,LEN(Sheet1!V100)-FIND("#",SUBSTITUTE(Sheet1!V100,", ","#",4))-1),Sheet1!$A$1:$B$40,2,FALSE),"")</f>
        <v/>
      </c>
      <c r="K54" s="6" t="str">
        <f t="shared" si="3"/>
        <v/>
      </c>
      <c r="L54" s="6" t="str">
        <f>IFERROR(IF((LEN(Sheet1!AA100)-LEN(SUBSTITUTE(Sheet1!AA100,", ","")))/2=0,VLOOKUP(Sheet1!AA100,Sheet1!$A$1:$B$40,2,FALSE),""),"")</f>
        <v/>
      </c>
      <c r="M54" s="6" t="str">
        <f>IFERROR(IF((LEN(Sheet1!AA100)-LEN(SUBSTITUTE(Sheet1!AA100,", ","")))/2=1,VLOOKUP(LEFT(Sheet1!AA100,FIND(", ",Sheet1!AA100)-1),Sheet1!$A$1:$B$40,2,FALSE)&amp;","&amp;VLOOKUP(RIGHT(Sheet1!AA100,LEN(Sheet1!AA100)-FIND(", ",Sheet1!AA100)-1),Sheet1!$A$1:$B$40,2,FALSE),""),"")</f>
        <v/>
      </c>
      <c r="N54" s="6" t="str">
        <f t="shared" si="6"/>
        <v/>
      </c>
    </row>
    <row r="55" spans="1:14">
      <c r="A55" s="5" t="str">
        <f>IFERROR(IF((LEN(Sheet1!N101)-LEN(SUBSTITUTE(Sheet1!N101,", ","")))/2=0,VLOOKUP(Sheet1!N101,Sheet1!$A$1:$B$40,2,FALSE),""),"")</f>
        <v/>
      </c>
      <c r="B55" s="6" t="str">
        <f>IFERROR(IF((LEN(Sheet1!N101)-LEN(SUBSTITUTE(Sheet1!N101,", ","")))/2=1,VLOOKUP(LEFT(Sheet1!N101,FIND(", ",Sheet1!N101)-1),Sheet1!$A$1:$B$40,2,FALSE)&amp;","&amp;VLOOKUP(RIGHT(Sheet1!N101,LEN(Sheet1!N101)-FIND(", ",Sheet1!N101)-1),Sheet1!$A$1:$B$40,2,FALSE),""),"")</f>
        <v/>
      </c>
      <c r="C55" s="6" t="str">
        <f>IF((LEN(Sheet1!N101)-LEN(SUBSTITUTE(Sheet1!N101,", ","")))/2=2,VLOOKUP(LEFT(Sheet1!N101,FIND(", ",Sheet1!N101)-1),Sheet1!$A$1:$B$40,2,FALSE)&amp;","&amp;VLOOKUP(MID(Sheet1!N101,FIND("#",SUBSTITUTE(Sheet1!N101,", ","#",1))+2,FIND("#",SUBSTITUTE(Sheet1!N101,", ","#",2))-(FIND("#",SUBSTITUTE(Sheet1!N101,", ","#",1))+2)),Sheet1!$A$1:$B$40,2,FALSE)&amp;","&amp;VLOOKUP(RIGHT(Sheet1!N101,LEN(Sheet1!N101)-FIND("#",SUBSTITUTE(Sheet1!N101,", ","#",2))-1),Sheet1!$A$1:$B$40,2,FALSE),"")</f>
        <v/>
      </c>
      <c r="D55" s="6" t="str">
        <f>IF((LEN(Sheet1!N101)-LEN(SUBSTITUTE(Sheet1!N101,", ","")))/2=3,VLOOKUP(LEFT(Sheet1!N101,FIND(", ",Sheet1!N101)-1),Sheet1!$A$1:$B$40,2,FALSE)&amp;","&amp;VLOOKUP(MID(Sheet1!N101,FIND("#",SUBSTITUTE(Sheet1!N101,", ","#",1))+2,FIND("#",SUBSTITUTE(Sheet1!N101,", ","#",2))-(FIND("#",SUBSTITUTE(Sheet1!N101,", ","#",1))+2)),Sheet1!$A$1:$B$40,2,FALSE)&amp;","&amp;VLOOKUP(MID(Sheet1!N101,FIND("#",SUBSTITUTE(Sheet1!N101,", ","#",2))+2,FIND("#",SUBSTITUTE(Sheet1!N101,", ","#",3))-(FIND("#",SUBSTITUTE(Sheet1!N101,", ","#",2))+2)),Sheet1!$A$1:$B$40,2,FALSE)&amp;","&amp;VLOOKUP(RIGHT(Sheet1!N101,LEN(Sheet1!N101)-FIND("#",SUBSTITUTE(Sheet1!N101,", ","#",3))-1),Sheet1!$A$1:$B$40,2,FALSE),"")</f>
        <v/>
      </c>
      <c r="E55" s="6" t="str">
        <f t="shared" si="7"/>
        <v/>
      </c>
      <c r="F55" s="6" t="str">
        <f>IFERROR(IF((LEN(Sheet1!V101)-LEN(SUBSTITUTE(Sheet1!V101,", ","")))/2=0,VLOOKUP(Sheet1!V101,Sheet1!$A$1:$B$40,2,FALSE),""),"")</f>
        <v/>
      </c>
      <c r="G55" s="6" t="str">
        <f>IFERROR(IF((LEN(Sheet1!V101)-LEN(SUBSTITUTE(Sheet1!V101,", ","")))/2=1,VLOOKUP(LEFT(Sheet1!V101,FIND(", ",Sheet1!V101)-1),Sheet1!$A$1:$B$40,2,FALSE)&amp;","&amp;VLOOKUP(RIGHT(Sheet1!V101,LEN(Sheet1!V101)-FIND(", ",Sheet1!V101)-1),Sheet1!$A$1:$B$40,2,FALSE),""),"")</f>
        <v/>
      </c>
      <c r="H55" s="6" t="str">
        <f>IF((LEN(Sheet1!V101)-LEN(SUBSTITUTE(Sheet1!V101,", ","")))/2=2,VLOOKUP(LEFT(Sheet1!V101,FIND(", ",Sheet1!V101)-1),Sheet1!$A$1:$B$40,2,FALSE)&amp;","&amp;VLOOKUP(MID(Sheet1!V101,FIND("#",SUBSTITUTE(Sheet1!V101,", ","#",1))+2,FIND("#",SUBSTITUTE(Sheet1!V101,", ","#",2))-(FIND("#",SUBSTITUTE(Sheet1!V101,", ","#",1))+2)),Sheet1!$A$1:$B$40,2,FALSE)&amp;","&amp;VLOOKUP(RIGHT(Sheet1!V101,LEN(Sheet1!V101)-FIND("#",SUBSTITUTE(Sheet1!V101,", ","#",2))-1),Sheet1!$A$1:$B$40,2,FALSE),"")</f>
        <v/>
      </c>
      <c r="I55" s="6" t="str">
        <f>IF((LEN(Sheet1!V101)-LEN(SUBSTITUTE(Sheet1!V101,", ","")))/2=3,VLOOKUP(LEFT(Sheet1!V101,FIND(", ",Sheet1!V101)-1),Sheet1!$A$1:$B$40,2,FALSE)&amp;","&amp;VLOOKUP(MID(Sheet1!V101,FIND("#",SUBSTITUTE(Sheet1!V101,", ","#",1))+2,FIND("#",SUBSTITUTE(Sheet1!V101,", ","#",2))-(FIND("#",SUBSTITUTE(Sheet1!V101,", ","#",1))+2)),Sheet1!$A$1:$B$40,2,FALSE)&amp;","&amp;VLOOKUP(MID(Sheet1!V101,FIND("#",SUBSTITUTE(Sheet1!V101,", ","#",2))+2,FIND("#",SUBSTITUTE(Sheet1!V101,", ","#",3))-(FIND("#",SUBSTITUTE(Sheet1!V101,", ","#",2))+2)),Sheet1!$A$1:$B$40,2,FALSE)&amp;","&amp;VLOOKUP(RIGHT(Sheet1!V101,LEN(Sheet1!V101)-FIND("#",SUBSTITUTE(Sheet1!V101,", ","#",3))-1),Sheet1!$A$1:$B$40,2,FALSE),"")</f>
        <v/>
      </c>
      <c r="J55" s="6" t="str">
        <f>IF((LEN(Sheet1!V101)-LEN(SUBSTITUTE(Sheet1!V101,", ","")))/2=4,VLOOKUP(LEFT(Sheet1!V101,FIND(", ",Sheet1!V101)-1),Sheet1!$A$1:$B$40,2,FALSE)&amp;","&amp;VLOOKUP(MID(Sheet1!V101,FIND("#",SUBSTITUTE(Sheet1!V101,", ","#",1))+2,FIND("#",SUBSTITUTE(Sheet1!V101,", ","#",2))-(FIND("#",SUBSTITUTE(Sheet1!V101,", ","#",1))+2)),Sheet1!$A$1:$B$40,2,FALSE)&amp;","&amp;VLOOKUP(MID(Sheet1!V101,FIND("#",SUBSTITUTE(Sheet1!V101,", ","#",2))+2,FIND("#",SUBSTITUTE(Sheet1!V101,", ","#",3))-(FIND("#",SUBSTITUTE(Sheet1!V101,", ","#",2))+2)),Sheet1!$A$1:$B$40,2,FALSE)&amp;","&amp;VLOOKUP(MID(Sheet1!V101,FIND("#",SUBSTITUTE(Sheet1!V101,", ","#",3))+2,FIND("#",SUBSTITUTE(Sheet1!V101,", ","#",4))-(FIND("#",SUBSTITUTE(Sheet1!V101,", ","#",3))+2)),Sheet1!$A$1:$B$40,2,FALSE)&amp;","&amp;VLOOKUP(RIGHT(Sheet1!V101,LEN(Sheet1!V101)-FIND("#",SUBSTITUTE(Sheet1!V101,", ","#",4))-1),Sheet1!$A$1:$B$40,2,FALSE),"")</f>
        <v/>
      </c>
      <c r="K55" s="6" t="str">
        <f t="shared" si="3"/>
        <v/>
      </c>
      <c r="L55" s="6" t="str">
        <f>IFERROR(IF((LEN(Sheet1!AA101)-LEN(SUBSTITUTE(Sheet1!AA101,", ","")))/2=0,VLOOKUP(Sheet1!AA101,Sheet1!$A$1:$B$40,2,FALSE),""),"")</f>
        <v/>
      </c>
      <c r="M55" s="6" t="str">
        <f>IFERROR(IF((LEN(Sheet1!AA101)-LEN(SUBSTITUTE(Sheet1!AA101,", ","")))/2=1,VLOOKUP(LEFT(Sheet1!AA101,FIND(", ",Sheet1!AA101)-1),Sheet1!$A$1:$B$40,2,FALSE)&amp;","&amp;VLOOKUP(RIGHT(Sheet1!AA101,LEN(Sheet1!AA101)-FIND(", ",Sheet1!AA101)-1),Sheet1!$A$1:$B$40,2,FALSE),""),"")</f>
        <v/>
      </c>
      <c r="N55" s="6" t="str">
        <f t="shared" si="6"/>
        <v/>
      </c>
    </row>
    <row r="56" spans="1:14">
      <c r="A56" s="5" t="str">
        <f>IFERROR(IF((LEN(Sheet1!N102)-LEN(SUBSTITUTE(Sheet1!N102,", ","")))/2=0,VLOOKUP(Sheet1!N102,Sheet1!$A$1:$B$40,2,FALSE),""),"")</f>
        <v/>
      </c>
      <c r="B56" s="6" t="str">
        <f>IFERROR(IF((LEN(Sheet1!N102)-LEN(SUBSTITUTE(Sheet1!N102,", ","")))/2=1,VLOOKUP(LEFT(Sheet1!N102,FIND(", ",Sheet1!N102)-1),Sheet1!$A$1:$B$40,2,FALSE)&amp;","&amp;VLOOKUP(RIGHT(Sheet1!N102,LEN(Sheet1!N102)-FIND(", ",Sheet1!N102)-1),Sheet1!$A$1:$B$40,2,FALSE),""),"")</f>
        <v/>
      </c>
      <c r="C56" s="6" t="str">
        <f>IF((LEN(Sheet1!N102)-LEN(SUBSTITUTE(Sheet1!N102,", ","")))/2=2,VLOOKUP(LEFT(Sheet1!N102,FIND(", ",Sheet1!N102)-1),Sheet1!$A$1:$B$40,2,FALSE)&amp;","&amp;VLOOKUP(MID(Sheet1!N102,FIND("#",SUBSTITUTE(Sheet1!N102,", ","#",1))+2,FIND("#",SUBSTITUTE(Sheet1!N102,", ","#",2))-(FIND("#",SUBSTITUTE(Sheet1!N102,", ","#",1))+2)),Sheet1!$A$1:$B$40,2,FALSE)&amp;","&amp;VLOOKUP(RIGHT(Sheet1!N102,LEN(Sheet1!N102)-FIND("#",SUBSTITUTE(Sheet1!N102,", ","#",2))-1),Sheet1!$A$1:$B$40,2,FALSE),"")</f>
        <v/>
      </c>
      <c r="D56" s="6" t="str">
        <f>IF((LEN(Sheet1!N102)-LEN(SUBSTITUTE(Sheet1!N102,", ","")))/2=3,VLOOKUP(LEFT(Sheet1!N102,FIND(", ",Sheet1!N102)-1),Sheet1!$A$1:$B$40,2,FALSE)&amp;","&amp;VLOOKUP(MID(Sheet1!N102,FIND("#",SUBSTITUTE(Sheet1!N102,", ","#",1))+2,FIND("#",SUBSTITUTE(Sheet1!N102,", ","#",2))-(FIND("#",SUBSTITUTE(Sheet1!N102,", ","#",1))+2)),Sheet1!$A$1:$B$40,2,FALSE)&amp;","&amp;VLOOKUP(MID(Sheet1!N102,FIND("#",SUBSTITUTE(Sheet1!N102,", ","#",2))+2,FIND("#",SUBSTITUTE(Sheet1!N102,", ","#",3))-(FIND("#",SUBSTITUTE(Sheet1!N102,", ","#",2))+2)),Sheet1!$A$1:$B$40,2,FALSE)&amp;","&amp;VLOOKUP(RIGHT(Sheet1!N102,LEN(Sheet1!N102)-FIND("#",SUBSTITUTE(Sheet1!N102,", ","#",3))-1),Sheet1!$A$1:$B$40,2,FALSE),"")</f>
        <v/>
      </c>
      <c r="E56" s="6" t="str">
        <f t="shared" si="7"/>
        <v/>
      </c>
      <c r="F56" s="6" t="str">
        <f>IFERROR(IF((LEN(Sheet1!V102)-LEN(SUBSTITUTE(Sheet1!V102,", ","")))/2=0,VLOOKUP(Sheet1!V102,Sheet1!$A$1:$B$40,2,FALSE),""),"")</f>
        <v/>
      </c>
      <c r="G56" s="6" t="str">
        <f>IFERROR(IF((LEN(Sheet1!V102)-LEN(SUBSTITUTE(Sheet1!V102,", ","")))/2=1,VLOOKUP(LEFT(Sheet1!V102,FIND(", ",Sheet1!V102)-1),Sheet1!$A$1:$B$40,2,FALSE)&amp;","&amp;VLOOKUP(RIGHT(Sheet1!V102,LEN(Sheet1!V102)-FIND(", ",Sheet1!V102)-1),Sheet1!$A$1:$B$40,2,FALSE),""),"")</f>
        <v/>
      </c>
      <c r="H56" s="6" t="str">
        <f>IF((LEN(Sheet1!V102)-LEN(SUBSTITUTE(Sheet1!V102,", ","")))/2=2,VLOOKUP(LEFT(Sheet1!V102,FIND(", ",Sheet1!V102)-1),Sheet1!$A$1:$B$40,2,FALSE)&amp;","&amp;VLOOKUP(MID(Sheet1!V102,FIND("#",SUBSTITUTE(Sheet1!V102,", ","#",1))+2,FIND("#",SUBSTITUTE(Sheet1!V102,", ","#",2))-(FIND("#",SUBSTITUTE(Sheet1!V102,", ","#",1))+2)),Sheet1!$A$1:$B$40,2,FALSE)&amp;","&amp;VLOOKUP(RIGHT(Sheet1!V102,LEN(Sheet1!V102)-FIND("#",SUBSTITUTE(Sheet1!V102,", ","#",2))-1),Sheet1!$A$1:$B$40,2,FALSE),"")</f>
        <v/>
      </c>
      <c r="I56" s="6" t="str">
        <f>IF((LEN(Sheet1!V102)-LEN(SUBSTITUTE(Sheet1!V102,", ","")))/2=3,VLOOKUP(LEFT(Sheet1!V102,FIND(", ",Sheet1!V102)-1),Sheet1!$A$1:$B$40,2,FALSE)&amp;","&amp;VLOOKUP(MID(Sheet1!V102,FIND("#",SUBSTITUTE(Sheet1!V102,", ","#",1))+2,FIND("#",SUBSTITUTE(Sheet1!V102,", ","#",2))-(FIND("#",SUBSTITUTE(Sheet1!V102,", ","#",1))+2)),Sheet1!$A$1:$B$40,2,FALSE)&amp;","&amp;VLOOKUP(MID(Sheet1!V102,FIND("#",SUBSTITUTE(Sheet1!V102,", ","#",2))+2,FIND("#",SUBSTITUTE(Sheet1!V102,", ","#",3))-(FIND("#",SUBSTITUTE(Sheet1!V102,", ","#",2))+2)),Sheet1!$A$1:$B$40,2,FALSE)&amp;","&amp;VLOOKUP(RIGHT(Sheet1!V102,LEN(Sheet1!V102)-FIND("#",SUBSTITUTE(Sheet1!V102,", ","#",3))-1),Sheet1!$A$1:$B$40,2,FALSE),"")</f>
        <v/>
      </c>
      <c r="J56" s="6" t="str">
        <f>IF((LEN(Sheet1!V102)-LEN(SUBSTITUTE(Sheet1!V102,", ","")))/2=4,VLOOKUP(LEFT(Sheet1!V102,FIND(", ",Sheet1!V102)-1),Sheet1!$A$1:$B$40,2,FALSE)&amp;","&amp;VLOOKUP(MID(Sheet1!V102,FIND("#",SUBSTITUTE(Sheet1!V102,", ","#",1))+2,FIND("#",SUBSTITUTE(Sheet1!V102,", ","#",2))-(FIND("#",SUBSTITUTE(Sheet1!V102,", ","#",1))+2)),Sheet1!$A$1:$B$40,2,FALSE)&amp;","&amp;VLOOKUP(MID(Sheet1!V102,FIND("#",SUBSTITUTE(Sheet1!V102,", ","#",2))+2,FIND("#",SUBSTITUTE(Sheet1!V102,", ","#",3))-(FIND("#",SUBSTITUTE(Sheet1!V102,", ","#",2))+2)),Sheet1!$A$1:$B$40,2,FALSE)&amp;","&amp;VLOOKUP(MID(Sheet1!V102,FIND("#",SUBSTITUTE(Sheet1!V102,", ","#",3))+2,FIND("#",SUBSTITUTE(Sheet1!V102,", ","#",4))-(FIND("#",SUBSTITUTE(Sheet1!V102,", ","#",3))+2)),Sheet1!$A$1:$B$40,2,FALSE)&amp;","&amp;VLOOKUP(RIGHT(Sheet1!V102,LEN(Sheet1!V102)-FIND("#",SUBSTITUTE(Sheet1!V102,", ","#",4))-1),Sheet1!$A$1:$B$40,2,FALSE),"")</f>
        <v/>
      </c>
      <c r="K56" s="6" t="str">
        <f t="shared" si="3"/>
        <v/>
      </c>
      <c r="L56" s="6" t="str">
        <f>IFERROR(IF((LEN(Sheet1!AA102)-LEN(SUBSTITUTE(Sheet1!AA102,", ","")))/2=0,VLOOKUP(Sheet1!AA102,Sheet1!$A$1:$B$40,2,FALSE),""),"")</f>
        <v/>
      </c>
      <c r="M56" s="6" t="str">
        <f>IFERROR(IF((LEN(Sheet1!AA102)-LEN(SUBSTITUTE(Sheet1!AA102,", ","")))/2=1,VLOOKUP(LEFT(Sheet1!AA102,FIND(", ",Sheet1!AA102)-1),Sheet1!$A$1:$B$40,2,FALSE)&amp;","&amp;VLOOKUP(RIGHT(Sheet1!AA102,LEN(Sheet1!AA102)-FIND(", ",Sheet1!AA102)-1),Sheet1!$A$1:$B$40,2,FALSE),""),"")</f>
        <v/>
      </c>
      <c r="N56" s="6" t="str">
        <f t="shared" si="6"/>
        <v/>
      </c>
    </row>
    <row r="57" spans="1:14">
      <c r="A57" s="5" t="str">
        <f>IFERROR(IF((LEN(Sheet1!N103)-LEN(SUBSTITUTE(Sheet1!N103,", ","")))/2=0,VLOOKUP(Sheet1!N103,Sheet1!$A$1:$B$40,2,FALSE),""),"")</f>
        <v/>
      </c>
      <c r="B57" s="6" t="str">
        <f>IFERROR(IF((LEN(Sheet1!N103)-LEN(SUBSTITUTE(Sheet1!N103,", ","")))/2=1,VLOOKUP(LEFT(Sheet1!N103,FIND(", ",Sheet1!N103)-1),Sheet1!$A$1:$B$40,2,FALSE)&amp;","&amp;VLOOKUP(RIGHT(Sheet1!N103,LEN(Sheet1!N103)-FIND(", ",Sheet1!N103)-1),Sheet1!$A$1:$B$40,2,FALSE),""),"")</f>
        <v/>
      </c>
      <c r="C57" s="6" t="str">
        <f>IF((LEN(Sheet1!N103)-LEN(SUBSTITUTE(Sheet1!N103,", ","")))/2=2,VLOOKUP(LEFT(Sheet1!N103,FIND(", ",Sheet1!N103)-1),Sheet1!$A$1:$B$40,2,FALSE)&amp;","&amp;VLOOKUP(MID(Sheet1!N103,FIND("#",SUBSTITUTE(Sheet1!N103,", ","#",1))+2,FIND("#",SUBSTITUTE(Sheet1!N103,", ","#",2))-(FIND("#",SUBSTITUTE(Sheet1!N103,", ","#",1))+2)),Sheet1!$A$1:$B$40,2,FALSE)&amp;","&amp;VLOOKUP(RIGHT(Sheet1!N103,LEN(Sheet1!N103)-FIND("#",SUBSTITUTE(Sheet1!N103,", ","#",2))-1),Sheet1!$A$1:$B$40,2,FALSE),"")</f>
        <v/>
      </c>
      <c r="D57" s="6" t="str">
        <f>IF((LEN(Sheet1!N103)-LEN(SUBSTITUTE(Sheet1!N103,", ","")))/2=3,VLOOKUP(LEFT(Sheet1!N103,FIND(", ",Sheet1!N103)-1),Sheet1!$A$1:$B$40,2,FALSE)&amp;","&amp;VLOOKUP(MID(Sheet1!N103,FIND("#",SUBSTITUTE(Sheet1!N103,", ","#",1))+2,FIND("#",SUBSTITUTE(Sheet1!N103,", ","#",2))-(FIND("#",SUBSTITUTE(Sheet1!N103,", ","#",1))+2)),Sheet1!$A$1:$B$40,2,FALSE)&amp;","&amp;VLOOKUP(MID(Sheet1!N103,FIND("#",SUBSTITUTE(Sheet1!N103,", ","#",2))+2,FIND("#",SUBSTITUTE(Sheet1!N103,", ","#",3))-(FIND("#",SUBSTITUTE(Sheet1!N103,", ","#",2))+2)),Sheet1!$A$1:$B$40,2,FALSE)&amp;","&amp;VLOOKUP(RIGHT(Sheet1!N103,LEN(Sheet1!N103)-FIND("#",SUBSTITUTE(Sheet1!N103,", ","#",3))-1),Sheet1!$A$1:$B$40,2,FALSE),"")</f>
        <v/>
      </c>
      <c r="E57" s="6" t="str">
        <f t="shared" si="7"/>
        <v/>
      </c>
      <c r="F57" s="6" t="str">
        <f>IFERROR(IF((LEN(Sheet1!V103)-LEN(SUBSTITUTE(Sheet1!V103,", ","")))/2=0,VLOOKUP(Sheet1!V103,Sheet1!$A$1:$B$40,2,FALSE),""),"")</f>
        <v/>
      </c>
      <c r="G57" s="6" t="str">
        <f>IFERROR(IF((LEN(Sheet1!V103)-LEN(SUBSTITUTE(Sheet1!V103,", ","")))/2=1,VLOOKUP(LEFT(Sheet1!V103,FIND(", ",Sheet1!V103)-1),Sheet1!$A$1:$B$40,2,FALSE)&amp;","&amp;VLOOKUP(RIGHT(Sheet1!V103,LEN(Sheet1!V103)-FIND(", ",Sheet1!V103)-1),Sheet1!$A$1:$B$40,2,FALSE),""),"")</f>
        <v/>
      </c>
      <c r="H57" s="6" t="str">
        <f>IF((LEN(Sheet1!V103)-LEN(SUBSTITUTE(Sheet1!V103,", ","")))/2=2,VLOOKUP(LEFT(Sheet1!V103,FIND(", ",Sheet1!V103)-1),Sheet1!$A$1:$B$40,2,FALSE)&amp;","&amp;VLOOKUP(MID(Sheet1!V103,FIND("#",SUBSTITUTE(Sheet1!V103,", ","#",1))+2,FIND("#",SUBSTITUTE(Sheet1!V103,", ","#",2))-(FIND("#",SUBSTITUTE(Sheet1!V103,", ","#",1))+2)),Sheet1!$A$1:$B$40,2,FALSE)&amp;","&amp;VLOOKUP(RIGHT(Sheet1!V103,LEN(Sheet1!V103)-FIND("#",SUBSTITUTE(Sheet1!V103,", ","#",2))-1),Sheet1!$A$1:$B$40,2,FALSE),"")</f>
        <v/>
      </c>
      <c r="I57" s="6" t="str">
        <f>IF((LEN(Sheet1!V103)-LEN(SUBSTITUTE(Sheet1!V103,", ","")))/2=3,VLOOKUP(LEFT(Sheet1!V103,FIND(", ",Sheet1!V103)-1),Sheet1!$A$1:$B$40,2,FALSE)&amp;","&amp;VLOOKUP(MID(Sheet1!V103,FIND("#",SUBSTITUTE(Sheet1!V103,", ","#",1))+2,FIND("#",SUBSTITUTE(Sheet1!V103,", ","#",2))-(FIND("#",SUBSTITUTE(Sheet1!V103,", ","#",1))+2)),Sheet1!$A$1:$B$40,2,FALSE)&amp;","&amp;VLOOKUP(MID(Sheet1!V103,FIND("#",SUBSTITUTE(Sheet1!V103,", ","#",2))+2,FIND("#",SUBSTITUTE(Sheet1!V103,", ","#",3))-(FIND("#",SUBSTITUTE(Sheet1!V103,", ","#",2))+2)),Sheet1!$A$1:$B$40,2,FALSE)&amp;","&amp;VLOOKUP(RIGHT(Sheet1!V103,LEN(Sheet1!V103)-FIND("#",SUBSTITUTE(Sheet1!V103,", ","#",3))-1),Sheet1!$A$1:$B$40,2,FALSE),"")</f>
        <v/>
      </c>
      <c r="J57" s="6" t="str">
        <f>IF((LEN(Sheet1!V103)-LEN(SUBSTITUTE(Sheet1!V103,", ","")))/2=4,VLOOKUP(LEFT(Sheet1!V103,FIND(", ",Sheet1!V103)-1),Sheet1!$A$1:$B$40,2,FALSE)&amp;","&amp;VLOOKUP(MID(Sheet1!V103,FIND("#",SUBSTITUTE(Sheet1!V103,", ","#",1))+2,FIND("#",SUBSTITUTE(Sheet1!V103,", ","#",2))-(FIND("#",SUBSTITUTE(Sheet1!V103,", ","#",1))+2)),Sheet1!$A$1:$B$40,2,FALSE)&amp;","&amp;VLOOKUP(MID(Sheet1!V103,FIND("#",SUBSTITUTE(Sheet1!V103,", ","#",2))+2,FIND("#",SUBSTITUTE(Sheet1!V103,", ","#",3))-(FIND("#",SUBSTITUTE(Sheet1!V103,", ","#",2))+2)),Sheet1!$A$1:$B$40,2,FALSE)&amp;","&amp;VLOOKUP(MID(Sheet1!V103,FIND("#",SUBSTITUTE(Sheet1!V103,", ","#",3))+2,FIND("#",SUBSTITUTE(Sheet1!V103,", ","#",4))-(FIND("#",SUBSTITUTE(Sheet1!V103,", ","#",3))+2)),Sheet1!$A$1:$B$40,2,FALSE)&amp;","&amp;VLOOKUP(RIGHT(Sheet1!V103,LEN(Sheet1!V103)-FIND("#",SUBSTITUTE(Sheet1!V103,", ","#",4))-1),Sheet1!$A$1:$B$40,2,FALSE),"")</f>
        <v/>
      </c>
      <c r="K57" s="6" t="str">
        <f t="shared" si="3"/>
        <v/>
      </c>
      <c r="L57" s="6" t="str">
        <f>IFERROR(IF((LEN(Sheet1!AA103)-LEN(SUBSTITUTE(Sheet1!AA103,", ","")))/2=0,VLOOKUP(Sheet1!AA103,Sheet1!$A$1:$B$40,2,FALSE),""),"")</f>
        <v/>
      </c>
      <c r="M57" s="6" t="str">
        <f>IFERROR(IF((LEN(Sheet1!AA103)-LEN(SUBSTITUTE(Sheet1!AA103,", ","")))/2=1,VLOOKUP(LEFT(Sheet1!AA103,FIND(", ",Sheet1!AA103)-1),Sheet1!$A$1:$B$40,2,FALSE)&amp;","&amp;VLOOKUP(RIGHT(Sheet1!AA103,LEN(Sheet1!AA103)-FIND(", ",Sheet1!AA103)-1),Sheet1!$A$1:$B$40,2,FALSE),""),"")</f>
        <v/>
      </c>
      <c r="N57" s="6" t="str">
        <f t="shared" si="6"/>
        <v/>
      </c>
    </row>
    <row r="58" spans="1:14">
      <c r="A58" s="5" t="str">
        <f>IFERROR(IF((LEN(Sheet1!N104)-LEN(SUBSTITUTE(Sheet1!N104,", ","")))/2=0,VLOOKUP(Sheet1!N104,Sheet1!$A$1:$B$40,2,FALSE),""),"")</f>
        <v/>
      </c>
      <c r="B58" s="6" t="str">
        <f>IFERROR(IF((LEN(Sheet1!N104)-LEN(SUBSTITUTE(Sheet1!N104,", ","")))/2=1,VLOOKUP(LEFT(Sheet1!N104,FIND(", ",Sheet1!N104)-1),Sheet1!$A$1:$B$40,2,FALSE)&amp;","&amp;VLOOKUP(RIGHT(Sheet1!N104,LEN(Sheet1!N104)-FIND(", ",Sheet1!N104)-1),Sheet1!$A$1:$B$40,2,FALSE),""),"")</f>
        <v/>
      </c>
      <c r="C58" s="6" t="str">
        <f>IF((LEN(Sheet1!N104)-LEN(SUBSTITUTE(Sheet1!N104,", ","")))/2=2,VLOOKUP(LEFT(Sheet1!N104,FIND(", ",Sheet1!N104)-1),Sheet1!$A$1:$B$40,2,FALSE)&amp;","&amp;VLOOKUP(MID(Sheet1!N104,FIND("#",SUBSTITUTE(Sheet1!N104,", ","#",1))+2,FIND("#",SUBSTITUTE(Sheet1!N104,", ","#",2))-(FIND("#",SUBSTITUTE(Sheet1!N104,", ","#",1))+2)),Sheet1!$A$1:$B$40,2,FALSE)&amp;","&amp;VLOOKUP(RIGHT(Sheet1!N104,LEN(Sheet1!N104)-FIND("#",SUBSTITUTE(Sheet1!N104,", ","#",2))-1),Sheet1!$A$1:$B$40,2,FALSE),"")</f>
        <v/>
      </c>
      <c r="D58" s="6" t="str">
        <f>IF((LEN(Sheet1!N104)-LEN(SUBSTITUTE(Sheet1!N104,", ","")))/2=3,VLOOKUP(LEFT(Sheet1!N104,FIND(", ",Sheet1!N104)-1),Sheet1!$A$1:$B$40,2,FALSE)&amp;","&amp;VLOOKUP(MID(Sheet1!N104,FIND("#",SUBSTITUTE(Sheet1!N104,", ","#",1))+2,FIND("#",SUBSTITUTE(Sheet1!N104,", ","#",2))-(FIND("#",SUBSTITUTE(Sheet1!N104,", ","#",1))+2)),Sheet1!$A$1:$B$40,2,FALSE)&amp;","&amp;VLOOKUP(MID(Sheet1!N104,FIND("#",SUBSTITUTE(Sheet1!N104,", ","#",2))+2,FIND("#",SUBSTITUTE(Sheet1!N104,", ","#",3))-(FIND("#",SUBSTITUTE(Sheet1!N104,", ","#",2))+2)),Sheet1!$A$1:$B$40,2,FALSE)&amp;","&amp;VLOOKUP(RIGHT(Sheet1!N104,LEN(Sheet1!N104)-FIND("#",SUBSTITUTE(Sheet1!N104,", ","#",3))-1),Sheet1!$A$1:$B$40,2,FALSE),"")</f>
        <v/>
      </c>
      <c r="E58" s="6" t="str">
        <f t="shared" si="7"/>
        <v/>
      </c>
      <c r="F58" s="6" t="str">
        <f>IFERROR(IF((LEN(Sheet1!V104)-LEN(SUBSTITUTE(Sheet1!V104,", ","")))/2=0,VLOOKUP(Sheet1!V104,Sheet1!$A$1:$B$40,2,FALSE),""),"")</f>
        <v/>
      </c>
      <c r="G58" s="6" t="str">
        <f>IFERROR(IF((LEN(Sheet1!V104)-LEN(SUBSTITUTE(Sheet1!V104,", ","")))/2=1,VLOOKUP(LEFT(Sheet1!V104,FIND(", ",Sheet1!V104)-1),Sheet1!$A$1:$B$40,2,FALSE)&amp;","&amp;VLOOKUP(RIGHT(Sheet1!V104,LEN(Sheet1!V104)-FIND(", ",Sheet1!V104)-1),Sheet1!$A$1:$B$40,2,FALSE),""),"")</f>
        <v/>
      </c>
      <c r="H58" s="6" t="str">
        <f>IF((LEN(Sheet1!V104)-LEN(SUBSTITUTE(Sheet1!V104,", ","")))/2=2,VLOOKUP(LEFT(Sheet1!V104,FIND(", ",Sheet1!V104)-1),Sheet1!$A$1:$B$40,2,FALSE)&amp;","&amp;VLOOKUP(MID(Sheet1!V104,FIND("#",SUBSTITUTE(Sheet1!V104,", ","#",1))+2,FIND("#",SUBSTITUTE(Sheet1!V104,", ","#",2))-(FIND("#",SUBSTITUTE(Sheet1!V104,", ","#",1))+2)),Sheet1!$A$1:$B$40,2,FALSE)&amp;","&amp;VLOOKUP(RIGHT(Sheet1!V104,LEN(Sheet1!V104)-FIND("#",SUBSTITUTE(Sheet1!V104,", ","#",2))-1),Sheet1!$A$1:$B$40,2,FALSE),"")</f>
        <v/>
      </c>
      <c r="I58" s="6" t="str">
        <f>IF((LEN(Sheet1!V104)-LEN(SUBSTITUTE(Sheet1!V104,", ","")))/2=3,VLOOKUP(LEFT(Sheet1!V104,FIND(", ",Sheet1!V104)-1),Sheet1!$A$1:$B$40,2,FALSE)&amp;","&amp;VLOOKUP(MID(Sheet1!V104,FIND("#",SUBSTITUTE(Sheet1!V104,", ","#",1))+2,FIND("#",SUBSTITUTE(Sheet1!V104,", ","#",2))-(FIND("#",SUBSTITUTE(Sheet1!V104,", ","#",1))+2)),Sheet1!$A$1:$B$40,2,FALSE)&amp;","&amp;VLOOKUP(MID(Sheet1!V104,FIND("#",SUBSTITUTE(Sheet1!V104,", ","#",2))+2,FIND("#",SUBSTITUTE(Sheet1!V104,", ","#",3))-(FIND("#",SUBSTITUTE(Sheet1!V104,", ","#",2))+2)),Sheet1!$A$1:$B$40,2,FALSE)&amp;","&amp;VLOOKUP(RIGHT(Sheet1!V104,LEN(Sheet1!V104)-FIND("#",SUBSTITUTE(Sheet1!V104,", ","#",3))-1),Sheet1!$A$1:$B$40,2,FALSE),"")</f>
        <v/>
      </c>
      <c r="J58" s="6" t="str">
        <f>IF((LEN(Sheet1!V104)-LEN(SUBSTITUTE(Sheet1!V104,", ","")))/2=4,VLOOKUP(LEFT(Sheet1!V104,FIND(", ",Sheet1!V104)-1),Sheet1!$A$1:$B$40,2,FALSE)&amp;","&amp;VLOOKUP(MID(Sheet1!V104,FIND("#",SUBSTITUTE(Sheet1!V104,", ","#",1))+2,FIND("#",SUBSTITUTE(Sheet1!V104,", ","#",2))-(FIND("#",SUBSTITUTE(Sheet1!V104,", ","#",1))+2)),Sheet1!$A$1:$B$40,2,FALSE)&amp;","&amp;VLOOKUP(MID(Sheet1!V104,FIND("#",SUBSTITUTE(Sheet1!V104,", ","#",2))+2,FIND("#",SUBSTITUTE(Sheet1!V104,", ","#",3))-(FIND("#",SUBSTITUTE(Sheet1!V104,", ","#",2))+2)),Sheet1!$A$1:$B$40,2,FALSE)&amp;","&amp;VLOOKUP(MID(Sheet1!V104,FIND("#",SUBSTITUTE(Sheet1!V104,", ","#",3))+2,FIND("#",SUBSTITUTE(Sheet1!V104,", ","#",4))-(FIND("#",SUBSTITUTE(Sheet1!V104,", ","#",3))+2)),Sheet1!$A$1:$B$40,2,FALSE)&amp;","&amp;VLOOKUP(RIGHT(Sheet1!V104,LEN(Sheet1!V104)-FIND("#",SUBSTITUTE(Sheet1!V104,", ","#",4))-1),Sheet1!$A$1:$B$40,2,FALSE),"")</f>
        <v/>
      </c>
      <c r="K58" s="6" t="str">
        <f t="shared" si="3"/>
        <v/>
      </c>
      <c r="L58" s="6" t="str">
        <f>IFERROR(IF((LEN(Sheet1!AA104)-LEN(SUBSTITUTE(Sheet1!AA104,", ","")))/2=0,VLOOKUP(Sheet1!AA104,Sheet1!$A$1:$B$40,2,FALSE),""),"")</f>
        <v/>
      </c>
      <c r="M58" s="6" t="str">
        <f>IFERROR(IF((LEN(Sheet1!AA104)-LEN(SUBSTITUTE(Sheet1!AA104,", ","")))/2=1,VLOOKUP(LEFT(Sheet1!AA104,FIND(", ",Sheet1!AA104)-1),Sheet1!$A$1:$B$40,2,FALSE)&amp;","&amp;VLOOKUP(RIGHT(Sheet1!AA104,LEN(Sheet1!AA104)-FIND(", ",Sheet1!AA104)-1),Sheet1!$A$1:$B$40,2,FALSE),""),"")</f>
        <v/>
      </c>
      <c r="N58" s="6" t="str">
        <f t="shared" si="6"/>
        <v/>
      </c>
    </row>
    <row r="59" spans="1:14">
      <c r="A59" s="5" t="str">
        <f>IFERROR(IF((LEN(Sheet1!N105)-LEN(SUBSTITUTE(Sheet1!N105,", ","")))/2=0,VLOOKUP(Sheet1!N105,Sheet1!$A$1:$B$40,2,FALSE),""),"")</f>
        <v/>
      </c>
      <c r="B59" s="6" t="str">
        <f>IFERROR(IF((LEN(Sheet1!N105)-LEN(SUBSTITUTE(Sheet1!N105,", ","")))/2=1,VLOOKUP(LEFT(Sheet1!N105,FIND(", ",Sheet1!N105)-1),Sheet1!$A$1:$B$40,2,FALSE)&amp;","&amp;VLOOKUP(RIGHT(Sheet1!N105,LEN(Sheet1!N105)-FIND(", ",Sheet1!N105)-1),Sheet1!$A$1:$B$40,2,FALSE),""),"")</f>
        <v/>
      </c>
      <c r="C59" s="6" t="str">
        <f>IF((LEN(Sheet1!N105)-LEN(SUBSTITUTE(Sheet1!N105,", ","")))/2=2,VLOOKUP(LEFT(Sheet1!N105,FIND(", ",Sheet1!N105)-1),Sheet1!$A$1:$B$40,2,FALSE)&amp;","&amp;VLOOKUP(MID(Sheet1!N105,FIND("#",SUBSTITUTE(Sheet1!N105,", ","#",1))+2,FIND("#",SUBSTITUTE(Sheet1!N105,", ","#",2))-(FIND("#",SUBSTITUTE(Sheet1!N105,", ","#",1))+2)),Sheet1!$A$1:$B$40,2,FALSE)&amp;","&amp;VLOOKUP(RIGHT(Sheet1!N105,LEN(Sheet1!N105)-FIND("#",SUBSTITUTE(Sheet1!N105,", ","#",2))-1),Sheet1!$A$1:$B$40,2,FALSE),"")</f>
        <v/>
      </c>
      <c r="D59" s="6" t="str">
        <f>IF((LEN(Sheet1!N105)-LEN(SUBSTITUTE(Sheet1!N105,", ","")))/2=3,VLOOKUP(LEFT(Sheet1!N105,FIND(", ",Sheet1!N105)-1),Sheet1!$A$1:$B$40,2,FALSE)&amp;","&amp;VLOOKUP(MID(Sheet1!N105,FIND("#",SUBSTITUTE(Sheet1!N105,", ","#",1))+2,FIND("#",SUBSTITUTE(Sheet1!N105,", ","#",2))-(FIND("#",SUBSTITUTE(Sheet1!N105,", ","#",1))+2)),Sheet1!$A$1:$B$40,2,FALSE)&amp;","&amp;VLOOKUP(MID(Sheet1!N105,FIND("#",SUBSTITUTE(Sheet1!N105,", ","#",2))+2,FIND("#",SUBSTITUTE(Sheet1!N105,", ","#",3))-(FIND("#",SUBSTITUTE(Sheet1!N105,", ","#",2))+2)),Sheet1!$A$1:$B$40,2,FALSE)&amp;","&amp;VLOOKUP(RIGHT(Sheet1!N105,LEN(Sheet1!N105)-FIND("#",SUBSTITUTE(Sheet1!N105,", ","#",3))-1),Sheet1!$A$1:$B$40,2,FALSE),"")</f>
        <v/>
      </c>
      <c r="E59" s="6" t="str">
        <f t="shared" si="7"/>
        <v/>
      </c>
      <c r="F59" s="6" t="str">
        <f>IFERROR(IF((LEN(Sheet1!V105)-LEN(SUBSTITUTE(Sheet1!V105,", ","")))/2=0,VLOOKUP(Sheet1!V105,Sheet1!$A$1:$B$40,2,FALSE),""),"")</f>
        <v/>
      </c>
      <c r="G59" s="6" t="str">
        <f>IFERROR(IF((LEN(Sheet1!V105)-LEN(SUBSTITUTE(Sheet1!V105,", ","")))/2=1,VLOOKUP(LEFT(Sheet1!V105,FIND(", ",Sheet1!V105)-1),Sheet1!$A$1:$B$40,2,FALSE)&amp;","&amp;VLOOKUP(RIGHT(Sheet1!V105,LEN(Sheet1!V105)-FIND(", ",Sheet1!V105)-1),Sheet1!$A$1:$B$40,2,FALSE),""),"")</f>
        <v/>
      </c>
      <c r="H59" s="6" t="str">
        <f>IF((LEN(Sheet1!V105)-LEN(SUBSTITUTE(Sheet1!V105,", ","")))/2=2,VLOOKUP(LEFT(Sheet1!V105,FIND(", ",Sheet1!V105)-1),Sheet1!$A$1:$B$40,2,FALSE)&amp;","&amp;VLOOKUP(MID(Sheet1!V105,FIND("#",SUBSTITUTE(Sheet1!V105,", ","#",1))+2,FIND("#",SUBSTITUTE(Sheet1!V105,", ","#",2))-(FIND("#",SUBSTITUTE(Sheet1!V105,", ","#",1))+2)),Sheet1!$A$1:$B$40,2,FALSE)&amp;","&amp;VLOOKUP(RIGHT(Sheet1!V105,LEN(Sheet1!V105)-FIND("#",SUBSTITUTE(Sheet1!V105,", ","#",2))-1),Sheet1!$A$1:$B$40,2,FALSE),"")</f>
        <v/>
      </c>
      <c r="I59" s="6" t="str">
        <f>IF((LEN(Sheet1!V105)-LEN(SUBSTITUTE(Sheet1!V105,", ","")))/2=3,VLOOKUP(LEFT(Sheet1!V105,FIND(", ",Sheet1!V105)-1),Sheet1!$A$1:$B$40,2,FALSE)&amp;","&amp;VLOOKUP(MID(Sheet1!V105,FIND("#",SUBSTITUTE(Sheet1!V105,", ","#",1))+2,FIND("#",SUBSTITUTE(Sheet1!V105,", ","#",2))-(FIND("#",SUBSTITUTE(Sheet1!V105,", ","#",1))+2)),Sheet1!$A$1:$B$40,2,FALSE)&amp;","&amp;VLOOKUP(MID(Sheet1!V105,FIND("#",SUBSTITUTE(Sheet1!V105,", ","#",2))+2,FIND("#",SUBSTITUTE(Sheet1!V105,", ","#",3))-(FIND("#",SUBSTITUTE(Sheet1!V105,", ","#",2))+2)),Sheet1!$A$1:$B$40,2,FALSE)&amp;","&amp;VLOOKUP(RIGHT(Sheet1!V105,LEN(Sheet1!V105)-FIND("#",SUBSTITUTE(Sheet1!V105,", ","#",3))-1),Sheet1!$A$1:$B$40,2,FALSE),"")</f>
        <v/>
      </c>
      <c r="J59" s="6" t="str">
        <f>IF((LEN(Sheet1!V105)-LEN(SUBSTITUTE(Sheet1!V105,", ","")))/2=4,VLOOKUP(LEFT(Sheet1!V105,FIND(", ",Sheet1!V105)-1),Sheet1!$A$1:$B$40,2,FALSE)&amp;","&amp;VLOOKUP(MID(Sheet1!V105,FIND("#",SUBSTITUTE(Sheet1!V105,", ","#",1))+2,FIND("#",SUBSTITUTE(Sheet1!V105,", ","#",2))-(FIND("#",SUBSTITUTE(Sheet1!V105,", ","#",1))+2)),Sheet1!$A$1:$B$40,2,FALSE)&amp;","&amp;VLOOKUP(MID(Sheet1!V105,FIND("#",SUBSTITUTE(Sheet1!V105,", ","#",2))+2,FIND("#",SUBSTITUTE(Sheet1!V105,", ","#",3))-(FIND("#",SUBSTITUTE(Sheet1!V105,", ","#",2))+2)),Sheet1!$A$1:$B$40,2,FALSE)&amp;","&amp;VLOOKUP(MID(Sheet1!V105,FIND("#",SUBSTITUTE(Sheet1!V105,", ","#",3))+2,FIND("#",SUBSTITUTE(Sheet1!V105,", ","#",4))-(FIND("#",SUBSTITUTE(Sheet1!V105,", ","#",3))+2)),Sheet1!$A$1:$B$40,2,FALSE)&amp;","&amp;VLOOKUP(RIGHT(Sheet1!V105,LEN(Sheet1!V105)-FIND("#",SUBSTITUTE(Sheet1!V105,", ","#",4))-1),Sheet1!$A$1:$B$40,2,FALSE),"")</f>
        <v/>
      </c>
      <c r="K59" s="6" t="str">
        <f t="shared" si="3"/>
        <v/>
      </c>
      <c r="L59" s="6" t="str">
        <f>IFERROR(IF((LEN(Sheet1!AA105)-LEN(SUBSTITUTE(Sheet1!AA105,", ","")))/2=0,VLOOKUP(Sheet1!AA105,Sheet1!$A$1:$B$40,2,FALSE),""),"")</f>
        <v/>
      </c>
      <c r="M59" s="6" t="str">
        <f>IFERROR(IF((LEN(Sheet1!AA105)-LEN(SUBSTITUTE(Sheet1!AA105,", ","")))/2=1,VLOOKUP(LEFT(Sheet1!AA105,FIND(", ",Sheet1!AA105)-1),Sheet1!$A$1:$B$40,2,FALSE)&amp;","&amp;VLOOKUP(RIGHT(Sheet1!AA105,LEN(Sheet1!AA105)-FIND(", ",Sheet1!AA105)-1),Sheet1!$A$1:$B$40,2,FALSE),""),"")</f>
        <v/>
      </c>
      <c r="N59" s="6" t="str">
        <f t="shared" si="6"/>
        <v/>
      </c>
    </row>
    <row r="60" spans="1:14">
      <c r="A60" s="5" t="str">
        <f>IFERROR(IF((LEN(Sheet1!N106)-LEN(SUBSTITUTE(Sheet1!N106,", ","")))/2=0,VLOOKUP(Sheet1!N106,Sheet1!$A$1:$B$40,2,FALSE),""),"")</f>
        <v/>
      </c>
      <c r="B60" s="6" t="str">
        <f>IFERROR(IF((LEN(Sheet1!N106)-LEN(SUBSTITUTE(Sheet1!N106,", ","")))/2=1,VLOOKUP(LEFT(Sheet1!N106,FIND(", ",Sheet1!N106)-1),Sheet1!$A$1:$B$40,2,FALSE)&amp;","&amp;VLOOKUP(RIGHT(Sheet1!N106,LEN(Sheet1!N106)-FIND(", ",Sheet1!N106)-1),Sheet1!$A$1:$B$40,2,FALSE),""),"")</f>
        <v/>
      </c>
      <c r="C60" s="6" t="str">
        <f>IF((LEN(Sheet1!N106)-LEN(SUBSTITUTE(Sheet1!N106,", ","")))/2=2,VLOOKUP(LEFT(Sheet1!N106,FIND(", ",Sheet1!N106)-1),Sheet1!$A$1:$B$40,2,FALSE)&amp;","&amp;VLOOKUP(MID(Sheet1!N106,FIND("#",SUBSTITUTE(Sheet1!N106,", ","#",1))+2,FIND("#",SUBSTITUTE(Sheet1!N106,", ","#",2))-(FIND("#",SUBSTITUTE(Sheet1!N106,", ","#",1))+2)),Sheet1!$A$1:$B$40,2,FALSE)&amp;","&amp;VLOOKUP(RIGHT(Sheet1!N106,LEN(Sheet1!N106)-FIND("#",SUBSTITUTE(Sheet1!N106,", ","#",2))-1),Sheet1!$A$1:$B$40,2,FALSE),"")</f>
        <v/>
      </c>
      <c r="D60" s="6" t="str">
        <f>IF((LEN(Sheet1!N106)-LEN(SUBSTITUTE(Sheet1!N106,", ","")))/2=3,VLOOKUP(LEFT(Sheet1!N106,FIND(", ",Sheet1!N106)-1),Sheet1!$A$1:$B$40,2,FALSE)&amp;","&amp;VLOOKUP(MID(Sheet1!N106,FIND("#",SUBSTITUTE(Sheet1!N106,", ","#",1))+2,FIND("#",SUBSTITUTE(Sheet1!N106,", ","#",2))-(FIND("#",SUBSTITUTE(Sheet1!N106,", ","#",1))+2)),Sheet1!$A$1:$B$40,2,FALSE)&amp;","&amp;VLOOKUP(MID(Sheet1!N106,FIND("#",SUBSTITUTE(Sheet1!N106,", ","#",2))+2,FIND("#",SUBSTITUTE(Sheet1!N106,", ","#",3))-(FIND("#",SUBSTITUTE(Sheet1!N106,", ","#",2))+2)),Sheet1!$A$1:$B$40,2,FALSE)&amp;","&amp;VLOOKUP(RIGHT(Sheet1!N106,LEN(Sheet1!N106)-FIND("#",SUBSTITUTE(Sheet1!N106,", ","#",3))-1),Sheet1!$A$1:$B$40,2,FALSE),"")</f>
        <v/>
      </c>
      <c r="E60" s="6" t="str">
        <f t="shared" si="7"/>
        <v/>
      </c>
      <c r="F60" s="6" t="str">
        <f>IFERROR(IF((LEN(Sheet1!V106)-LEN(SUBSTITUTE(Sheet1!V106,", ","")))/2=0,VLOOKUP(Sheet1!V106,Sheet1!$A$1:$B$40,2,FALSE),""),"")</f>
        <v/>
      </c>
      <c r="G60" s="6" t="str">
        <f>IFERROR(IF((LEN(Sheet1!V106)-LEN(SUBSTITUTE(Sheet1!V106,", ","")))/2=1,VLOOKUP(LEFT(Sheet1!V106,FIND(", ",Sheet1!V106)-1),Sheet1!$A$1:$B$40,2,FALSE)&amp;","&amp;VLOOKUP(RIGHT(Sheet1!V106,LEN(Sheet1!V106)-FIND(", ",Sheet1!V106)-1),Sheet1!$A$1:$B$40,2,FALSE),""),"")</f>
        <v/>
      </c>
      <c r="H60" s="6" t="str">
        <f>IF((LEN(Sheet1!V106)-LEN(SUBSTITUTE(Sheet1!V106,", ","")))/2=2,VLOOKUP(LEFT(Sheet1!V106,FIND(", ",Sheet1!V106)-1),Sheet1!$A$1:$B$40,2,FALSE)&amp;","&amp;VLOOKUP(MID(Sheet1!V106,FIND("#",SUBSTITUTE(Sheet1!V106,", ","#",1))+2,FIND("#",SUBSTITUTE(Sheet1!V106,", ","#",2))-(FIND("#",SUBSTITUTE(Sheet1!V106,", ","#",1))+2)),Sheet1!$A$1:$B$40,2,FALSE)&amp;","&amp;VLOOKUP(RIGHT(Sheet1!V106,LEN(Sheet1!V106)-FIND("#",SUBSTITUTE(Sheet1!V106,", ","#",2))-1),Sheet1!$A$1:$B$40,2,FALSE),"")</f>
        <v/>
      </c>
      <c r="I60" s="6" t="str">
        <f>IF((LEN(Sheet1!V106)-LEN(SUBSTITUTE(Sheet1!V106,", ","")))/2=3,VLOOKUP(LEFT(Sheet1!V106,FIND(", ",Sheet1!V106)-1),Sheet1!$A$1:$B$40,2,FALSE)&amp;","&amp;VLOOKUP(MID(Sheet1!V106,FIND("#",SUBSTITUTE(Sheet1!V106,", ","#",1))+2,FIND("#",SUBSTITUTE(Sheet1!V106,", ","#",2))-(FIND("#",SUBSTITUTE(Sheet1!V106,", ","#",1))+2)),Sheet1!$A$1:$B$40,2,FALSE)&amp;","&amp;VLOOKUP(MID(Sheet1!V106,FIND("#",SUBSTITUTE(Sheet1!V106,", ","#",2))+2,FIND("#",SUBSTITUTE(Sheet1!V106,", ","#",3))-(FIND("#",SUBSTITUTE(Sheet1!V106,", ","#",2))+2)),Sheet1!$A$1:$B$40,2,FALSE)&amp;","&amp;VLOOKUP(RIGHT(Sheet1!V106,LEN(Sheet1!V106)-FIND("#",SUBSTITUTE(Sheet1!V106,", ","#",3))-1),Sheet1!$A$1:$B$40,2,FALSE),"")</f>
        <v/>
      </c>
      <c r="J60" s="6" t="str">
        <f>IF((LEN(Sheet1!V106)-LEN(SUBSTITUTE(Sheet1!V106,", ","")))/2=4,VLOOKUP(LEFT(Sheet1!V106,FIND(", ",Sheet1!V106)-1),Sheet1!$A$1:$B$40,2,FALSE)&amp;","&amp;VLOOKUP(MID(Sheet1!V106,FIND("#",SUBSTITUTE(Sheet1!V106,", ","#",1))+2,FIND("#",SUBSTITUTE(Sheet1!V106,", ","#",2))-(FIND("#",SUBSTITUTE(Sheet1!V106,", ","#",1))+2)),Sheet1!$A$1:$B$40,2,FALSE)&amp;","&amp;VLOOKUP(MID(Sheet1!V106,FIND("#",SUBSTITUTE(Sheet1!V106,", ","#",2))+2,FIND("#",SUBSTITUTE(Sheet1!V106,", ","#",3))-(FIND("#",SUBSTITUTE(Sheet1!V106,", ","#",2))+2)),Sheet1!$A$1:$B$40,2,FALSE)&amp;","&amp;VLOOKUP(MID(Sheet1!V106,FIND("#",SUBSTITUTE(Sheet1!V106,", ","#",3))+2,FIND("#",SUBSTITUTE(Sheet1!V106,", ","#",4))-(FIND("#",SUBSTITUTE(Sheet1!V106,", ","#",3))+2)),Sheet1!$A$1:$B$40,2,FALSE)&amp;","&amp;VLOOKUP(RIGHT(Sheet1!V106,LEN(Sheet1!V106)-FIND("#",SUBSTITUTE(Sheet1!V106,", ","#",4))-1),Sheet1!$A$1:$B$40,2,FALSE),"")</f>
        <v/>
      </c>
      <c r="K60" s="6" t="str">
        <f t="shared" si="3"/>
        <v/>
      </c>
      <c r="L60" s="6" t="str">
        <f>IFERROR(IF((LEN(Sheet1!AA106)-LEN(SUBSTITUTE(Sheet1!AA106,", ","")))/2=0,VLOOKUP(Sheet1!AA106,Sheet1!$A$1:$B$40,2,FALSE),""),"")</f>
        <v/>
      </c>
      <c r="M60" s="6" t="str">
        <f>IFERROR(IF((LEN(Sheet1!AA106)-LEN(SUBSTITUTE(Sheet1!AA106,", ","")))/2=1,VLOOKUP(LEFT(Sheet1!AA106,FIND(", ",Sheet1!AA106)-1),Sheet1!$A$1:$B$40,2,FALSE)&amp;","&amp;VLOOKUP(RIGHT(Sheet1!AA106,LEN(Sheet1!AA106)-FIND(", ",Sheet1!AA106)-1),Sheet1!$A$1:$B$40,2,FALSE),""),"")</f>
        <v/>
      </c>
      <c r="N60" s="6" t="str">
        <f t="shared" si="6"/>
        <v/>
      </c>
    </row>
    <row r="61" spans="1:14">
      <c r="A61" s="5" t="str">
        <f>IFERROR(IF((LEN(Sheet1!N107)-LEN(SUBSTITUTE(Sheet1!N107,", ","")))/2=0,VLOOKUP(Sheet1!N107,Sheet1!$A$1:$B$40,2,FALSE),""),"")</f>
        <v/>
      </c>
      <c r="B61" s="6" t="str">
        <f>IFERROR(IF((LEN(Sheet1!N107)-LEN(SUBSTITUTE(Sheet1!N107,", ","")))/2=1,VLOOKUP(LEFT(Sheet1!N107,FIND(", ",Sheet1!N107)-1),Sheet1!$A$1:$B$40,2,FALSE)&amp;","&amp;VLOOKUP(RIGHT(Sheet1!N107,LEN(Sheet1!N107)-FIND(", ",Sheet1!N107)-1),Sheet1!$A$1:$B$40,2,FALSE),""),"")</f>
        <v/>
      </c>
      <c r="C61" s="6" t="str">
        <f>IF((LEN(Sheet1!N107)-LEN(SUBSTITUTE(Sheet1!N107,", ","")))/2=2,VLOOKUP(LEFT(Sheet1!N107,FIND(", ",Sheet1!N107)-1),Sheet1!$A$1:$B$40,2,FALSE)&amp;","&amp;VLOOKUP(MID(Sheet1!N107,FIND("#",SUBSTITUTE(Sheet1!N107,", ","#",1))+2,FIND("#",SUBSTITUTE(Sheet1!N107,", ","#",2))-(FIND("#",SUBSTITUTE(Sheet1!N107,", ","#",1))+2)),Sheet1!$A$1:$B$40,2,FALSE)&amp;","&amp;VLOOKUP(RIGHT(Sheet1!N107,LEN(Sheet1!N107)-FIND("#",SUBSTITUTE(Sheet1!N107,", ","#",2))-1),Sheet1!$A$1:$B$40,2,FALSE),"")</f>
        <v/>
      </c>
      <c r="D61" s="6" t="str">
        <f>IF((LEN(Sheet1!N107)-LEN(SUBSTITUTE(Sheet1!N107,", ","")))/2=3,VLOOKUP(LEFT(Sheet1!N107,FIND(", ",Sheet1!N107)-1),Sheet1!$A$1:$B$40,2,FALSE)&amp;","&amp;VLOOKUP(MID(Sheet1!N107,FIND("#",SUBSTITUTE(Sheet1!N107,", ","#",1))+2,FIND("#",SUBSTITUTE(Sheet1!N107,", ","#",2))-(FIND("#",SUBSTITUTE(Sheet1!N107,", ","#",1))+2)),Sheet1!$A$1:$B$40,2,FALSE)&amp;","&amp;VLOOKUP(MID(Sheet1!N107,FIND("#",SUBSTITUTE(Sheet1!N107,", ","#",2))+2,FIND("#",SUBSTITUTE(Sheet1!N107,", ","#",3))-(FIND("#",SUBSTITUTE(Sheet1!N107,", ","#",2))+2)),Sheet1!$A$1:$B$40,2,FALSE)&amp;","&amp;VLOOKUP(RIGHT(Sheet1!N107,LEN(Sheet1!N107)-FIND("#",SUBSTITUTE(Sheet1!N107,", ","#",3))-1),Sheet1!$A$1:$B$40,2,FALSE),"")</f>
        <v/>
      </c>
      <c r="E61" s="6" t="str">
        <f t="shared" si="7"/>
        <v/>
      </c>
      <c r="F61" s="6" t="str">
        <f>IFERROR(IF((LEN(Sheet1!V107)-LEN(SUBSTITUTE(Sheet1!V107,", ","")))/2=0,VLOOKUP(Sheet1!V107,Sheet1!$A$1:$B$40,2,FALSE),""),"")</f>
        <v/>
      </c>
      <c r="G61" s="6" t="str">
        <f>IFERROR(IF((LEN(Sheet1!V107)-LEN(SUBSTITUTE(Sheet1!V107,", ","")))/2=1,VLOOKUP(LEFT(Sheet1!V107,FIND(", ",Sheet1!V107)-1),Sheet1!$A$1:$B$40,2,FALSE)&amp;","&amp;VLOOKUP(RIGHT(Sheet1!V107,LEN(Sheet1!V107)-FIND(", ",Sheet1!V107)-1),Sheet1!$A$1:$B$40,2,FALSE),""),"")</f>
        <v/>
      </c>
      <c r="H61" s="6" t="str">
        <f>IF((LEN(Sheet1!V107)-LEN(SUBSTITUTE(Sheet1!V107,", ","")))/2=2,VLOOKUP(LEFT(Sheet1!V107,FIND(", ",Sheet1!V107)-1),Sheet1!$A$1:$B$40,2,FALSE)&amp;","&amp;VLOOKUP(MID(Sheet1!V107,FIND("#",SUBSTITUTE(Sheet1!V107,", ","#",1))+2,FIND("#",SUBSTITUTE(Sheet1!V107,", ","#",2))-(FIND("#",SUBSTITUTE(Sheet1!V107,", ","#",1))+2)),Sheet1!$A$1:$B$40,2,FALSE)&amp;","&amp;VLOOKUP(RIGHT(Sheet1!V107,LEN(Sheet1!V107)-FIND("#",SUBSTITUTE(Sheet1!V107,", ","#",2))-1),Sheet1!$A$1:$B$40,2,FALSE),"")</f>
        <v/>
      </c>
      <c r="I61" s="6" t="str">
        <f>IF((LEN(Sheet1!V107)-LEN(SUBSTITUTE(Sheet1!V107,", ","")))/2=3,VLOOKUP(LEFT(Sheet1!V107,FIND(", ",Sheet1!V107)-1),Sheet1!$A$1:$B$40,2,FALSE)&amp;","&amp;VLOOKUP(MID(Sheet1!V107,FIND("#",SUBSTITUTE(Sheet1!V107,", ","#",1))+2,FIND("#",SUBSTITUTE(Sheet1!V107,", ","#",2))-(FIND("#",SUBSTITUTE(Sheet1!V107,", ","#",1))+2)),Sheet1!$A$1:$B$40,2,FALSE)&amp;","&amp;VLOOKUP(MID(Sheet1!V107,FIND("#",SUBSTITUTE(Sheet1!V107,", ","#",2))+2,FIND("#",SUBSTITUTE(Sheet1!V107,", ","#",3))-(FIND("#",SUBSTITUTE(Sheet1!V107,", ","#",2))+2)),Sheet1!$A$1:$B$40,2,FALSE)&amp;","&amp;VLOOKUP(RIGHT(Sheet1!V107,LEN(Sheet1!V107)-FIND("#",SUBSTITUTE(Sheet1!V107,", ","#",3))-1),Sheet1!$A$1:$B$40,2,FALSE),"")</f>
        <v/>
      </c>
      <c r="J61" s="6" t="str">
        <f>IF((LEN(Sheet1!V107)-LEN(SUBSTITUTE(Sheet1!V107,", ","")))/2=4,VLOOKUP(LEFT(Sheet1!V107,FIND(", ",Sheet1!V107)-1),Sheet1!$A$1:$B$40,2,FALSE)&amp;","&amp;VLOOKUP(MID(Sheet1!V107,FIND("#",SUBSTITUTE(Sheet1!V107,", ","#",1))+2,FIND("#",SUBSTITUTE(Sheet1!V107,", ","#",2))-(FIND("#",SUBSTITUTE(Sheet1!V107,", ","#",1))+2)),Sheet1!$A$1:$B$40,2,FALSE)&amp;","&amp;VLOOKUP(MID(Sheet1!V107,FIND("#",SUBSTITUTE(Sheet1!V107,", ","#",2))+2,FIND("#",SUBSTITUTE(Sheet1!V107,", ","#",3))-(FIND("#",SUBSTITUTE(Sheet1!V107,", ","#",2))+2)),Sheet1!$A$1:$B$40,2,FALSE)&amp;","&amp;VLOOKUP(MID(Sheet1!V107,FIND("#",SUBSTITUTE(Sheet1!V107,", ","#",3))+2,FIND("#",SUBSTITUTE(Sheet1!V107,", ","#",4))-(FIND("#",SUBSTITUTE(Sheet1!V107,", ","#",3))+2)),Sheet1!$A$1:$B$40,2,FALSE)&amp;","&amp;VLOOKUP(RIGHT(Sheet1!V107,LEN(Sheet1!V107)-FIND("#",SUBSTITUTE(Sheet1!V107,", ","#",4))-1),Sheet1!$A$1:$B$40,2,FALSE),"")</f>
        <v/>
      </c>
      <c r="K61" s="6" t="str">
        <f t="shared" si="3"/>
        <v/>
      </c>
      <c r="L61" s="6" t="str">
        <f>IFERROR(IF((LEN(Sheet1!AA107)-LEN(SUBSTITUTE(Sheet1!AA107,", ","")))/2=0,VLOOKUP(Sheet1!AA107,Sheet1!$A$1:$B$40,2,FALSE),""),"")</f>
        <v/>
      </c>
      <c r="M61" s="6" t="str">
        <f>IFERROR(IF((LEN(Sheet1!AA107)-LEN(SUBSTITUTE(Sheet1!AA107,", ","")))/2=1,VLOOKUP(LEFT(Sheet1!AA107,FIND(", ",Sheet1!AA107)-1),Sheet1!$A$1:$B$40,2,FALSE)&amp;","&amp;VLOOKUP(RIGHT(Sheet1!AA107,LEN(Sheet1!AA107)-FIND(", ",Sheet1!AA107)-1),Sheet1!$A$1:$B$40,2,FALSE),""),"")</f>
        <v/>
      </c>
      <c r="N61" s="6" t="str">
        <f t="shared" si="6"/>
        <v/>
      </c>
    </row>
    <row r="62" spans="1:14">
      <c r="A62" s="5" t="str">
        <f>IFERROR(IF((LEN(Sheet1!N108)-LEN(SUBSTITUTE(Sheet1!N108,", ","")))/2=0,VLOOKUP(Sheet1!N108,Sheet1!$A$1:$B$40,2,FALSE),""),"")</f>
        <v/>
      </c>
      <c r="B62" s="6" t="str">
        <f>IFERROR(IF((LEN(Sheet1!N108)-LEN(SUBSTITUTE(Sheet1!N108,", ","")))/2=1,VLOOKUP(LEFT(Sheet1!N108,FIND(", ",Sheet1!N108)-1),Sheet1!$A$1:$B$40,2,FALSE)&amp;","&amp;VLOOKUP(RIGHT(Sheet1!N108,LEN(Sheet1!N108)-FIND(", ",Sheet1!N108)-1),Sheet1!$A$1:$B$40,2,FALSE),""),"")</f>
        <v/>
      </c>
      <c r="C62" s="6" t="str">
        <f>IF((LEN(Sheet1!N108)-LEN(SUBSTITUTE(Sheet1!N108,", ","")))/2=2,VLOOKUP(LEFT(Sheet1!N108,FIND(", ",Sheet1!N108)-1),Sheet1!$A$1:$B$40,2,FALSE)&amp;","&amp;VLOOKUP(MID(Sheet1!N108,FIND("#",SUBSTITUTE(Sheet1!N108,", ","#",1))+2,FIND("#",SUBSTITUTE(Sheet1!N108,", ","#",2))-(FIND("#",SUBSTITUTE(Sheet1!N108,", ","#",1))+2)),Sheet1!$A$1:$B$40,2,FALSE)&amp;","&amp;VLOOKUP(RIGHT(Sheet1!N108,LEN(Sheet1!N108)-FIND("#",SUBSTITUTE(Sheet1!N108,", ","#",2))-1),Sheet1!$A$1:$B$40,2,FALSE),"")</f>
        <v/>
      </c>
      <c r="D62" s="6" t="str">
        <f>IF((LEN(Sheet1!N108)-LEN(SUBSTITUTE(Sheet1!N108,", ","")))/2=3,VLOOKUP(LEFT(Sheet1!N108,FIND(", ",Sheet1!N108)-1),Sheet1!$A$1:$B$40,2,FALSE)&amp;","&amp;VLOOKUP(MID(Sheet1!N108,FIND("#",SUBSTITUTE(Sheet1!N108,", ","#",1))+2,FIND("#",SUBSTITUTE(Sheet1!N108,", ","#",2))-(FIND("#",SUBSTITUTE(Sheet1!N108,", ","#",1))+2)),Sheet1!$A$1:$B$40,2,FALSE)&amp;","&amp;VLOOKUP(MID(Sheet1!N108,FIND("#",SUBSTITUTE(Sheet1!N108,", ","#",2))+2,FIND("#",SUBSTITUTE(Sheet1!N108,", ","#",3))-(FIND("#",SUBSTITUTE(Sheet1!N108,", ","#",2))+2)),Sheet1!$A$1:$B$40,2,FALSE)&amp;","&amp;VLOOKUP(RIGHT(Sheet1!N108,LEN(Sheet1!N108)-FIND("#",SUBSTITUTE(Sheet1!N108,", ","#",3))-1),Sheet1!$A$1:$B$40,2,FALSE),"")</f>
        <v/>
      </c>
      <c r="E62" s="6" t="str">
        <f t="shared" si="7"/>
        <v/>
      </c>
      <c r="F62" s="6" t="str">
        <f>IFERROR(IF((LEN(Sheet1!V108)-LEN(SUBSTITUTE(Sheet1!V108,", ","")))/2=0,VLOOKUP(Sheet1!V108,Sheet1!$A$1:$B$40,2,FALSE),""),"")</f>
        <v/>
      </c>
      <c r="G62" s="6" t="str">
        <f>IFERROR(IF((LEN(Sheet1!V108)-LEN(SUBSTITUTE(Sheet1!V108,", ","")))/2=1,VLOOKUP(LEFT(Sheet1!V108,FIND(", ",Sheet1!V108)-1),Sheet1!$A$1:$B$40,2,FALSE)&amp;","&amp;VLOOKUP(RIGHT(Sheet1!V108,LEN(Sheet1!V108)-FIND(", ",Sheet1!V108)-1),Sheet1!$A$1:$B$40,2,FALSE),""),"")</f>
        <v/>
      </c>
      <c r="H62" s="6" t="str">
        <f>IF((LEN(Sheet1!V108)-LEN(SUBSTITUTE(Sheet1!V108,", ","")))/2=2,VLOOKUP(LEFT(Sheet1!V108,FIND(", ",Sheet1!V108)-1),Sheet1!$A$1:$B$40,2,FALSE)&amp;","&amp;VLOOKUP(MID(Sheet1!V108,FIND("#",SUBSTITUTE(Sheet1!V108,", ","#",1))+2,FIND("#",SUBSTITUTE(Sheet1!V108,", ","#",2))-(FIND("#",SUBSTITUTE(Sheet1!V108,", ","#",1))+2)),Sheet1!$A$1:$B$40,2,FALSE)&amp;","&amp;VLOOKUP(RIGHT(Sheet1!V108,LEN(Sheet1!V108)-FIND("#",SUBSTITUTE(Sheet1!V108,", ","#",2))-1),Sheet1!$A$1:$B$40,2,FALSE),"")</f>
        <v/>
      </c>
      <c r="I62" s="6" t="str">
        <f>IF((LEN(Sheet1!V108)-LEN(SUBSTITUTE(Sheet1!V108,", ","")))/2=3,VLOOKUP(LEFT(Sheet1!V108,FIND(", ",Sheet1!V108)-1),Sheet1!$A$1:$B$40,2,FALSE)&amp;","&amp;VLOOKUP(MID(Sheet1!V108,FIND("#",SUBSTITUTE(Sheet1!V108,", ","#",1))+2,FIND("#",SUBSTITUTE(Sheet1!V108,", ","#",2))-(FIND("#",SUBSTITUTE(Sheet1!V108,", ","#",1))+2)),Sheet1!$A$1:$B$40,2,FALSE)&amp;","&amp;VLOOKUP(MID(Sheet1!V108,FIND("#",SUBSTITUTE(Sheet1!V108,", ","#",2))+2,FIND("#",SUBSTITUTE(Sheet1!V108,", ","#",3))-(FIND("#",SUBSTITUTE(Sheet1!V108,", ","#",2))+2)),Sheet1!$A$1:$B$40,2,FALSE)&amp;","&amp;VLOOKUP(RIGHT(Sheet1!V108,LEN(Sheet1!V108)-FIND("#",SUBSTITUTE(Sheet1!V108,", ","#",3))-1),Sheet1!$A$1:$B$40,2,FALSE),"")</f>
        <v/>
      </c>
      <c r="J62" s="6" t="str">
        <f>IF((LEN(Sheet1!V108)-LEN(SUBSTITUTE(Sheet1!V108,", ","")))/2=4,VLOOKUP(LEFT(Sheet1!V108,FIND(", ",Sheet1!V108)-1),Sheet1!$A$1:$B$40,2,FALSE)&amp;","&amp;VLOOKUP(MID(Sheet1!V108,FIND("#",SUBSTITUTE(Sheet1!V108,", ","#",1))+2,FIND("#",SUBSTITUTE(Sheet1!V108,", ","#",2))-(FIND("#",SUBSTITUTE(Sheet1!V108,", ","#",1))+2)),Sheet1!$A$1:$B$40,2,FALSE)&amp;","&amp;VLOOKUP(MID(Sheet1!V108,FIND("#",SUBSTITUTE(Sheet1!V108,", ","#",2))+2,FIND("#",SUBSTITUTE(Sheet1!V108,", ","#",3))-(FIND("#",SUBSTITUTE(Sheet1!V108,", ","#",2))+2)),Sheet1!$A$1:$B$40,2,FALSE)&amp;","&amp;VLOOKUP(MID(Sheet1!V108,FIND("#",SUBSTITUTE(Sheet1!V108,", ","#",3))+2,FIND("#",SUBSTITUTE(Sheet1!V108,", ","#",4))-(FIND("#",SUBSTITUTE(Sheet1!V108,", ","#",3))+2)),Sheet1!$A$1:$B$40,2,FALSE)&amp;","&amp;VLOOKUP(RIGHT(Sheet1!V108,LEN(Sheet1!V108)-FIND("#",SUBSTITUTE(Sheet1!V108,", ","#",4))-1),Sheet1!$A$1:$B$40,2,FALSE),"")</f>
        <v/>
      </c>
      <c r="K62" s="6" t="str">
        <f t="shared" si="3"/>
        <v/>
      </c>
      <c r="L62" s="6" t="str">
        <f>IFERROR(IF((LEN(Sheet1!AA108)-LEN(SUBSTITUTE(Sheet1!AA108,", ","")))/2=0,VLOOKUP(Sheet1!AA108,Sheet1!$A$1:$B$40,2,FALSE),""),"")</f>
        <v/>
      </c>
      <c r="M62" s="6" t="str">
        <f>IFERROR(IF((LEN(Sheet1!AA108)-LEN(SUBSTITUTE(Sheet1!AA108,", ","")))/2=1,VLOOKUP(LEFT(Sheet1!AA108,FIND(", ",Sheet1!AA108)-1),Sheet1!$A$1:$B$40,2,FALSE)&amp;","&amp;VLOOKUP(RIGHT(Sheet1!AA108,LEN(Sheet1!AA108)-FIND(", ",Sheet1!AA108)-1),Sheet1!$A$1:$B$40,2,FALSE),""),"")</f>
        <v/>
      </c>
      <c r="N62" s="6" t="str">
        <f t="shared" si="6"/>
        <v/>
      </c>
    </row>
    <row r="63" spans="1:14">
      <c r="A63" s="5" t="str">
        <f>IFERROR(IF((LEN(Sheet1!N109)-LEN(SUBSTITUTE(Sheet1!N109,", ","")))/2=0,VLOOKUP(Sheet1!N109,Sheet1!$A$1:$B$40,2,FALSE),""),"")</f>
        <v/>
      </c>
      <c r="B63" s="6" t="str">
        <f>IFERROR(IF((LEN(Sheet1!N109)-LEN(SUBSTITUTE(Sheet1!N109,", ","")))/2=1,VLOOKUP(LEFT(Sheet1!N109,FIND(", ",Sheet1!N109)-1),Sheet1!$A$1:$B$40,2,FALSE)&amp;","&amp;VLOOKUP(RIGHT(Sheet1!N109,LEN(Sheet1!N109)-FIND(", ",Sheet1!N109)-1),Sheet1!$A$1:$B$40,2,FALSE),""),"")</f>
        <v/>
      </c>
      <c r="C63" s="6" t="str">
        <f>IF((LEN(Sheet1!N109)-LEN(SUBSTITUTE(Sheet1!N109,", ","")))/2=2,VLOOKUP(LEFT(Sheet1!N109,FIND(", ",Sheet1!N109)-1),Sheet1!$A$1:$B$40,2,FALSE)&amp;","&amp;VLOOKUP(MID(Sheet1!N109,FIND("#",SUBSTITUTE(Sheet1!N109,", ","#",1))+2,FIND("#",SUBSTITUTE(Sheet1!N109,", ","#",2))-(FIND("#",SUBSTITUTE(Sheet1!N109,", ","#",1))+2)),Sheet1!$A$1:$B$40,2,FALSE)&amp;","&amp;VLOOKUP(RIGHT(Sheet1!N109,LEN(Sheet1!N109)-FIND("#",SUBSTITUTE(Sheet1!N109,", ","#",2))-1),Sheet1!$A$1:$B$40,2,FALSE),"")</f>
        <v/>
      </c>
      <c r="D63" s="6" t="str">
        <f>IF((LEN(Sheet1!N109)-LEN(SUBSTITUTE(Sheet1!N109,", ","")))/2=3,VLOOKUP(LEFT(Sheet1!N109,FIND(", ",Sheet1!N109)-1),Sheet1!$A$1:$B$40,2,FALSE)&amp;","&amp;VLOOKUP(MID(Sheet1!N109,FIND("#",SUBSTITUTE(Sheet1!N109,", ","#",1))+2,FIND("#",SUBSTITUTE(Sheet1!N109,", ","#",2))-(FIND("#",SUBSTITUTE(Sheet1!N109,", ","#",1))+2)),Sheet1!$A$1:$B$40,2,FALSE)&amp;","&amp;VLOOKUP(MID(Sheet1!N109,FIND("#",SUBSTITUTE(Sheet1!N109,", ","#",2))+2,FIND("#",SUBSTITUTE(Sheet1!N109,", ","#",3))-(FIND("#",SUBSTITUTE(Sheet1!N109,", ","#",2))+2)),Sheet1!$A$1:$B$40,2,FALSE)&amp;","&amp;VLOOKUP(RIGHT(Sheet1!N109,LEN(Sheet1!N109)-FIND("#",SUBSTITUTE(Sheet1!N109,", ","#",3))-1),Sheet1!$A$1:$B$40,2,FALSE),"")</f>
        <v/>
      </c>
      <c r="E63" s="6" t="str">
        <f t="shared" si="7"/>
        <v/>
      </c>
      <c r="F63" s="6" t="str">
        <f>IFERROR(IF((LEN(Sheet1!V109)-LEN(SUBSTITUTE(Sheet1!V109,", ","")))/2=0,VLOOKUP(Sheet1!V109,Sheet1!$A$1:$B$40,2,FALSE),""),"")</f>
        <v/>
      </c>
      <c r="G63" s="6" t="str">
        <f>IFERROR(IF((LEN(Sheet1!V109)-LEN(SUBSTITUTE(Sheet1!V109,", ","")))/2=1,VLOOKUP(LEFT(Sheet1!V109,FIND(", ",Sheet1!V109)-1),Sheet1!$A$1:$B$40,2,FALSE)&amp;","&amp;VLOOKUP(RIGHT(Sheet1!V109,LEN(Sheet1!V109)-FIND(", ",Sheet1!V109)-1),Sheet1!$A$1:$B$40,2,FALSE),""),"")</f>
        <v/>
      </c>
      <c r="H63" s="6" t="str">
        <f>IF((LEN(Sheet1!V109)-LEN(SUBSTITUTE(Sheet1!V109,", ","")))/2=2,VLOOKUP(LEFT(Sheet1!V109,FIND(", ",Sheet1!V109)-1),Sheet1!$A$1:$B$40,2,FALSE)&amp;","&amp;VLOOKUP(MID(Sheet1!V109,FIND("#",SUBSTITUTE(Sheet1!V109,", ","#",1))+2,FIND("#",SUBSTITUTE(Sheet1!V109,", ","#",2))-(FIND("#",SUBSTITUTE(Sheet1!V109,", ","#",1))+2)),Sheet1!$A$1:$B$40,2,FALSE)&amp;","&amp;VLOOKUP(RIGHT(Sheet1!V109,LEN(Sheet1!V109)-FIND("#",SUBSTITUTE(Sheet1!V109,", ","#",2))-1),Sheet1!$A$1:$B$40,2,FALSE),"")</f>
        <v/>
      </c>
      <c r="I63" s="6" t="str">
        <f>IF((LEN(Sheet1!V109)-LEN(SUBSTITUTE(Sheet1!V109,", ","")))/2=3,VLOOKUP(LEFT(Sheet1!V109,FIND(", ",Sheet1!V109)-1),Sheet1!$A$1:$B$40,2,FALSE)&amp;","&amp;VLOOKUP(MID(Sheet1!V109,FIND("#",SUBSTITUTE(Sheet1!V109,", ","#",1))+2,FIND("#",SUBSTITUTE(Sheet1!V109,", ","#",2))-(FIND("#",SUBSTITUTE(Sheet1!V109,", ","#",1))+2)),Sheet1!$A$1:$B$40,2,FALSE)&amp;","&amp;VLOOKUP(MID(Sheet1!V109,FIND("#",SUBSTITUTE(Sheet1!V109,", ","#",2))+2,FIND("#",SUBSTITUTE(Sheet1!V109,", ","#",3))-(FIND("#",SUBSTITUTE(Sheet1!V109,", ","#",2))+2)),Sheet1!$A$1:$B$40,2,FALSE)&amp;","&amp;VLOOKUP(RIGHT(Sheet1!V109,LEN(Sheet1!V109)-FIND("#",SUBSTITUTE(Sheet1!V109,", ","#",3))-1),Sheet1!$A$1:$B$40,2,FALSE),"")</f>
        <v/>
      </c>
      <c r="J63" s="6" t="str">
        <f>IF((LEN(Sheet1!V109)-LEN(SUBSTITUTE(Sheet1!V109,", ","")))/2=4,VLOOKUP(LEFT(Sheet1!V109,FIND(", ",Sheet1!V109)-1),Sheet1!$A$1:$B$40,2,FALSE)&amp;","&amp;VLOOKUP(MID(Sheet1!V109,FIND("#",SUBSTITUTE(Sheet1!V109,", ","#",1))+2,FIND("#",SUBSTITUTE(Sheet1!V109,", ","#",2))-(FIND("#",SUBSTITUTE(Sheet1!V109,", ","#",1))+2)),Sheet1!$A$1:$B$40,2,FALSE)&amp;","&amp;VLOOKUP(MID(Sheet1!V109,FIND("#",SUBSTITUTE(Sheet1!V109,", ","#",2))+2,FIND("#",SUBSTITUTE(Sheet1!V109,", ","#",3))-(FIND("#",SUBSTITUTE(Sheet1!V109,", ","#",2))+2)),Sheet1!$A$1:$B$40,2,FALSE)&amp;","&amp;VLOOKUP(MID(Sheet1!V109,FIND("#",SUBSTITUTE(Sheet1!V109,", ","#",3))+2,FIND("#",SUBSTITUTE(Sheet1!V109,", ","#",4))-(FIND("#",SUBSTITUTE(Sheet1!V109,", ","#",3))+2)),Sheet1!$A$1:$B$40,2,FALSE)&amp;","&amp;VLOOKUP(RIGHT(Sheet1!V109,LEN(Sheet1!V109)-FIND("#",SUBSTITUTE(Sheet1!V109,", ","#",4))-1),Sheet1!$A$1:$B$40,2,FALSE),"")</f>
        <v/>
      </c>
      <c r="K63" s="6" t="str">
        <f t="shared" si="3"/>
        <v/>
      </c>
      <c r="L63" s="6" t="str">
        <f>IFERROR(IF((LEN(Sheet1!AA109)-LEN(SUBSTITUTE(Sheet1!AA109,", ","")))/2=0,VLOOKUP(Sheet1!AA109,Sheet1!$A$1:$B$40,2,FALSE),""),"")</f>
        <v/>
      </c>
      <c r="M63" s="6" t="str">
        <f>IFERROR(IF((LEN(Sheet1!AA109)-LEN(SUBSTITUTE(Sheet1!AA109,", ","")))/2=1,VLOOKUP(LEFT(Sheet1!AA109,FIND(", ",Sheet1!AA109)-1),Sheet1!$A$1:$B$40,2,FALSE)&amp;","&amp;VLOOKUP(RIGHT(Sheet1!AA109,LEN(Sheet1!AA109)-FIND(", ",Sheet1!AA109)-1),Sheet1!$A$1:$B$40,2,FALSE),""),"")</f>
        <v/>
      </c>
      <c r="N63" s="6" t="str">
        <f t="shared" si="6"/>
        <v/>
      </c>
    </row>
    <row r="64" spans="1:14">
      <c r="A64" s="5" t="str">
        <f>IFERROR(IF((LEN(Sheet1!N110)-LEN(SUBSTITUTE(Sheet1!N110,", ","")))/2=0,VLOOKUP(Sheet1!N110,Sheet1!$A$1:$B$40,2,FALSE),""),"")</f>
        <v/>
      </c>
      <c r="B64" s="6" t="str">
        <f>IFERROR(IF((LEN(Sheet1!N110)-LEN(SUBSTITUTE(Sheet1!N110,", ","")))/2=1,VLOOKUP(LEFT(Sheet1!N110,FIND(", ",Sheet1!N110)-1),Sheet1!$A$1:$B$40,2,FALSE)&amp;","&amp;VLOOKUP(RIGHT(Sheet1!N110,LEN(Sheet1!N110)-FIND(", ",Sheet1!N110)-1),Sheet1!$A$1:$B$40,2,FALSE),""),"")</f>
        <v/>
      </c>
      <c r="C64" s="6" t="str">
        <f>IF((LEN(Sheet1!N110)-LEN(SUBSTITUTE(Sheet1!N110,", ","")))/2=2,VLOOKUP(LEFT(Sheet1!N110,FIND(", ",Sheet1!N110)-1),Sheet1!$A$1:$B$40,2,FALSE)&amp;","&amp;VLOOKUP(MID(Sheet1!N110,FIND("#",SUBSTITUTE(Sheet1!N110,", ","#",1))+2,FIND("#",SUBSTITUTE(Sheet1!N110,", ","#",2))-(FIND("#",SUBSTITUTE(Sheet1!N110,", ","#",1))+2)),Sheet1!$A$1:$B$40,2,FALSE)&amp;","&amp;VLOOKUP(RIGHT(Sheet1!N110,LEN(Sheet1!N110)-FIND("#",SUBSTITUTE(Sheet1!N110,", ","#",2))-1),Sheet1!$A$1:$B$40,2,FALSE),"")</f>
        <v/>
      </c>
      <c r="D64" s="6" t="str">
        <f>IF((LEN(Sheet1!N110)-LEN(SUBSTITUTE(Sheet1!N110,", ","")))/2=3,VLOOKUP(LEFT(Sheet1!N110,FIND(", ",Sheet1!N110)-1),Sheet1!$A$1:$B$40,2,FALSE)&amp;","&amp;VLOOKUP(MID(Sheet1!N110,FIND("#",SUBSTITUTE(Sheet1!N110,", ","#",1))+2,FIND("#",SUBSTITUTE(Sheet1!N110,", ","#",2))-(FIND("#",SUBSTITUTE(Sheet1!N110,", ","#",1))+2)),Sheet1!$A$1:$B$40,2,FALSE)&amp;","&amp;VLOOKUP(MID(Sheet1!N110,FIND("#",SUBSTITUTE(Sheet1!N110,", ","#",2))+2,FIND("#",SUBSTITUTE(Sheet1!N110,", ","#",3))-(FIND("#",SUBSTITUTE(Sheet1!N110,", ","#",2))+2)),Sheet1!$A$1:$B$40,2,FALSE)&amp;","&amp;VLOOKUP(RIGHT(Sheet1!N110,LEN(Sheet1!N110)-FIND("#",SUBSTITUTE(Sheet1!N110,", ","#",3))-1),Sheet1!$A$1:$B$40,2,FALSE),"")</f>
        <v/>
      </c>
      <c r="E64" s="6" t="str">
        <f t="shared" si="7"/>
        <v/>
      </c>
      <c r="F64" s="6" t="str">
        <f>IFERROR(IF((LEN(Sheet1!V110)-LEN(SUBSTITUTE(Sheet1!V110,", ","")))/2=0,VLOOKUP(Sheet1!V110,Sheet1!$A$1:$B$40,2,FALSE),""),"")</f>
        <v/>
      </c>
      <c r="G64" s="6" t="str">
        <f>IFERROR(IF((LEN(Sheet1!V110)-LEN(SUBSTITUTE(Sheet1!V110,", ","")))/2=1,VLOOKUP(LEFT(Sheet1!V110,FIND(", ",Sheet1!V110)-1),Sheet1!$A$1:$B$40,2,FALSE)&amp;","&amp;VLOOKUP(RIGHT(Sheet1!V110,LEN(Sheet1!V110)-FIND(", ",Sheet1!V110)-1),Sheet1!$A$1:$B$40,2,FALSE),""),"")</f>
        <v/>
      </c>
      <c r="H64" s="6" t="str">
        <f>IF((LEN(Sheet1!V110)-LEN(SUBSTITUTE(Sheet1!V110,", ","")))/2=2,VLOOKUP(LEFT(Sheet1!V110,FIND(", ",Sheet1!V110)-1),Sheet1!$A$1:$B$40,2,FALSE)&amp;","&amp;VLOOKUP(MID(Sheet1!V110,FIND("#",SUBSTITUTE(Sheet1!V110,", ","#",1))+2,FIND("#",SUBSTITUTE(Sheet1!V110,", ","#",2))-(FIND("#",SUBSTITUTE(Sheet1!V110,", ","#",1))+2)),Sheet1!$A$1:$B$40,2,FALSE)&amp;","&amp;VLOOKUP(RIGHT(Sheet1!V110,LEN(Sheet1!V110)-FIND("#",SUBSTITUTE(Sheet1!V110,", ","#",2))-1),Sheet1!$A$1:$B$40,2,FALSE),"")</f>
        <v/>
      </c>
      <c r="I64" s="6" t="str">
        <f>IF((LEN(Sheet1!V110)-LEN(SUBSTITUTE(Sheet1!V110,", ","")))/2=3,VLOOKUP(LEFT(Sheet1!V110,FIND(", ",Sheet1!V110)-1),Sheet1!$A$1:$B$40,2,FALSE)&amp;","&amp;VLOOKUP(MID(Sheet1!V110,FIND("#",SUBSTITUTE(Sheet1!V110,", ","#",1))+2,FIND("#",SUBSTITUTE(Sheet1!V110,", ","#",2))-(FIND("#",SUBSTITUTE(Sheet1!V110,", ","#",1))+2)),Sheet1!$A$1:$B$40,2,FALSE)&amp;","&amp;VLOOKUP(MID(Sheet1!V110,FIND("#",SUBSTITUTE(Sheet1!V110,", ","#",2))+2,FIND("#",SUBSTITUTE(Sheet1!V110,", ","#",3))-(FIND("#",SUBSTITUTE(Sheet1!V110,", ","#",2))+2)),Sheet1!$A$1:$B$40,2,FALSE)&amp;","&amp;VLOOKUP(RIGHT(Sheet1!V110,LEN(Sheet1!V110)-FIND("#",SUBSTITUTE(Sheet1!V110,", ","#",3))-1),Sheet1!$A$1:$B$40,2,FALSE),"")</f>
        <v/>
      </c>
      <c r="J64" s="6" t="str">
        <f>IF((LEN(Sheet1!V110)-LEN(SUBSTITUTE(Sheet1!V110,", ","")))/2=4,VLOOKUP(LEFT(Sheet1!V110,FIND(", ",Sheet1!V110)-1),Sheet1!$A$1:$B$40,2,FALSE)&amp;","&amp;VLOOKUP(MID(Sheet1!V110,FIND("#",SUBSTITUTE(Sheet1!V110,", ","#",1))+2,FIND("#",SUBSTITUTE(Sheet1!V110,", ","#",2))-(FIND("#",SUBSTITUTE(Sheet1!V110,", ","#",1))+2)),Sheet1!$A$1:$B$40,2,FALSE)&amp;","&amp;VLOOKUP(MID(Sheet1!V110,FIND("#",SUBSTITUTE(Sheet1!V110,", ","#",2))+2,FIND("#",SUBSTITUTE(Sheet1!V110,", ","#",3))-(FIND("#",SUBSTITUTE(Sheet1!V110,", ","#",2))+2)),Sheet1!$A$1:$B$40,2,FALSE)&amp;","&amp;VLOOKUP(MID(Sheet1!V110,FIND("#",SUBSTITUTE(Sheet1!V110,", ","#",3))+2,FIND("#",SUBSTITUTE(Sheet1!V110,", ","#",4))-(FIND("#",SUBSTITUTE(Sheet1!V110,", ","#",3))+2)),Sheet1!$A$1:$B$40,2,FALSE)&amp;","&amp;VLOOKUP(RIGHT(Sheet1!V110,LEN(Sheet1!V110)-FIND("#",SUBSTITUTE(Sheet1!V110,", ","#",4))-1),Sheet1!$A$1:$B$40,2,FALSE),"")</f>
        <v/>
      </c>
      <c r="K64" s="6" t="str">
        <f t="shared" si="3"/>
        <v/>
      </c>
      <c r="L64" s="6" t="str">
        <f>IFERROR(IF((LEN(Sheet1!AA110)-LEN(SUBSTITUTE(Sheet1!AA110,", ","")))/2=0,VLOOKUP(Sheet1!AA110,Sheet1!$A$1:$B$40,2,FALSE),""),"")</f>
        <v/>
      </c>
      <c r="M64" s="6" t="str">
        <f>IFERROR(IF((LEN(Sheet1!AA110)-LEN(SUBSTITUTE(Sheet1!AA110,", ","")))/2=1,VLOOKUP(LEFT(Sheet1!AA110,FIND(", ",Sheet1!AA110)-1),Sheet1!$A$1:$B$40,2,FALSE)&amp;","&amp;VLOOKUP(RIGHT(Sheet1!AA110,LEN(Sheet1!AA110)-FIND(", ",Sheet1!AA110)-1),Sheet1!$A$1:$B$40,2,FALSE),""),"")</f>
        <v/>
      </c>
      <c r="N64" s="6" t="str">
        <f t="shared" ref="N64:N80" si="8">L64&amp;M64</f>
        <v/>
      </c>
    </row>
    <row r="65" spans="1:14">
      <c r="A65" s="5" t="str">
        <f>IFERROR(IF((LEN(Sheet1!N111)-LEN(SUBSTITUTE(Sheet1!N111,", ","")))/2=0,VLOOKUP(Sheet1!N111,Sheet1!$A$1:$B$40,2,FALSE),""),"")</f>
        <v/>
      </c>
      <c r="B65" s="6" t="str">
        <f>IFERROR(IF((LEN(Sheet1!N111)-LEN(SUBSTITUTE(Sheet1!N111,", ","")))/2=1,VLOOKUP(LEFT(Sheet1!N111,FIND(", ",Sheet1!N111)-1),Sheet1!$A$1:$B$40,2,FALSE)&amp;","&amp;VLOOKUP(RIGHT(Sheet1!N111,LEN(Sheet1!N111)-FIND(", ",Sheet1!N111)-1),Sheet1!$A$1:$B$40,2,FALSE),""),"")</f>
        <v/>
      </c>
      <c r="C65" s="6" t="str">
        <f>IF((LEN(Sheet1!N111)-LEN(SUBSTITUTE(Sheet1!N111,", ","")))/2=2,VLOOKUP(LEFT(Sheet1!N111,FIND(", ",Sheet1!N111)-1),Sheet1!$A$1:$B$40,2,FALSE)&amp;","&amp;VLOOKUP(MID(Sheet1!N111,FIND("#",SUBSTITUTE(Sheet1!N111,", ","#",1))+2,FIND("#",SUBSTITUTE(Sheet1!N111,", ","#",2))-(FIND("#",SUBSTITUTE(Sheet1!N111,", ","#",1))+2)),Sheet1!$A$1:$B$40,2,FALSE)&amp;","&amp;VLOOKUP(RIGHT(Sheet1!N111,LEN(Sheet1!N111)-FIND("#",SUBSTITUTE(Sheet1!N111,", ","#",2))-1),Sheet1!$A$1:$B$40,2,FALSE),"")</f>
        <v/>
      </c>
      <c r="D65" s="6" t="str">
        <f>IF((LEN(Sheet1!N111)-LEN(SUBSTITUTE(Sheet1!N111,", ","")))/2=3,VLOOKUP(LEFT(Sheet1!N111,FIND(", ",Sheet1!N111)-1),Sheet1!$A$1:$B$40,2,FALSE)&amp;","&amp;VLOOKUP(MID(Sheet1!N111,FIND("#",SUBSTITUTE(Sheet1!N111,", ","#",1))+2,FIND("#",SUBSTITUTE(Sheet1!N111,", ","#",2))-(FIND("#",SUBSTITUTE(Sheet1!N111,", ","#",1))+2)),Sheet1!$A$1:$B$40,2,FALSE)&amp;","&amp;VLOOKUP(MID(Sheet1!N111,FIND("#",SUBSTITUTE(Sheet1!N111,", ","#",2))+2,FIND("#",SUBSTITUTE(Sheet1!N111,", ","#",3))-(FIND("#",SUBSTITUTE(Sheet1!N111,", ","#",2))+2)),Sheet1!$A$1:$B$40,2,FALSE)&amp;","&amp;VLOOKUP(RIGHT(Sheet1!N111,LEN(Sheet1!N111)-FIND("#",SUBSTITUTE(Sheet1!N111,", ","#",3))-1),Sheet1!$A$1:$B$40,2,FALSE),"")</f>
        <v/>
      </c>
      <c r="E65" s="6" t="str">
        <f t="shared" si="7"/>
        <v/>
      </c>
      <c r="F65" s="6" t="str">
        <f>IFERROR(IF((LEN(Sheet1!V111)-LEN(SUBSTITUTE(Sheet1!V111,", ","")))/2=0,VLOOKUP(Sheet1!V111,Sheet1!$A$1:$B$40,2,FALSE),""),"")</f>
        <v/>
      </c>
      <c r="G65" s="6" t="str">
        <f>IFERROR(IF((LEN(Sheet1!V111)-LEN(SUBSTITUTE(Sheet1!V111,", ","")))/2=1,VLOOKUP(LEFT(Sheet1!V111,FIND(", ",Sheet1!V111)-1),Sheet1!$A$1:$B$40,2,FALSE)&amp;","&amp;VLOOKUP(RIGHT(Sheet1!V111,LEN(Sheet1!V111)-FIND(", ",Sheet1!V111)-1),Sheet1!$A$1:$B$40,2,FALSE),""),"")</f>
        <v/>
      </c>
      <c r="H65" s="6" t="str">
        <f>IF((LEN(Sheet1!V111)-LEN(SUBSTITUTE(Sheet1!V111,", ","")))/2=2,VLOOKUP(LEFT(Sheet1!V111,FIND(", ",Sheet1!V111)-1),Sheet1!$A$1:$B$40,2,FALSE)&amp;","&amp;VLOOKUP(MID(Sheet1!V111,FIND("#",SUBSTITUTE(Sheet1!V111,", ","#",1))+2,FIND("#",SUBSTITUTE(Sheet1!V111,", ","#",2))-(FIND("#",SUBSTITUTE(Sheet1!V111,", ","#",1))+2)),Sheet1!$A$1:$B$40,2,FALSE)&amp;","&amp;VLOOKUP(RIGHT(Sheet1!V111,LEN(Sheet1!V111)-FIND("#",SUBSTITUTE(Sheet1!V111,", ","#",2))-1),Sheet1!$A$1:$B$40,2,FALSE),"")</f>
        <v/>
      </c>
      <c r="I65" s="6" t="str">
        <f>IF((LEN(Sheet1!V111)-LEN(SUBSTITUTE(Sheet1!V111,", ","")))/2=3,VLOOKUP(LEFT(Sheet1!V111,FIND(", ",Sheet1!V111)-1),Sheet1!$A$1:$B$40,2,FALSE)&amp;","&amp;VLOOKUP(MID(Sheet1!V111,FIND("#",SUBSTITUTE(Sheet1!V111,", ","#",1))+2,FIND("#",SUBSTITUTE(Sheet1!V111,", ","#",2))-(FIND("#",SUBSTITUTE(Sheet1!V111,", ","#",1))+2)),Sheet1!$A$1:$B$40,2,FALSE)&amp;","&amp;VLOOKUP(MID(Sheet1!V111,FIND("#",SUBSTITUTE(Sheet1!V111,", ","#",2))+2,FIND("#",SUBSTITUTE(Sheet1!V111,", ","#",3))-(FIND("#",SUBSTITUTE(Sheet1!V111,", ","#",2))+2)),Sheet1!$A$1:$B$40,2,FALSE)&amp;","&amp;VLOOKUP(RIGHT(Sheet1!V111,LEN(Sheet1!V111)-FIND("#",SUBSTITUTE(Sheet1!V111,", ","#",3))-1),Sheet1!$A$1:$B$40,2,FALSE),"")</f>
        <v/>
      </c>
      <c r="J65" s="6" t="str">
        <f>IF((LEN(Sheet1!V111)-LEN(SUBSTITUTE(Sheet1!V111,", ","")))/2=4,VLOOKUP(LEFT(Sheet1!V111,FIND(", ",Sheet1!V111)-1),Sheet1!$A$1:$B$40,2,FALSE)&amp;","&amp;VLOOKUP(MID(Sheet1!V111,FIND("#",SUBSTITUTE(Sheet1!V111,", ","#",1))+2,FIND("#",SUBSTITUTE(Sheet1!V111,", ","#",2))-(FIND("#",SUBSTITUTE(Sheet1!V111,", ","#",1))+2)),Sheet1!$A$1:$B$40,2,FALSE)&amp;","&amp;VLOOKUP(MID(Sheet1!V111,FIND("#",SUBSTITUTE(Sheet1!V111,", ","#",2))+2,FIND("#",SUBSTITUTE(Sheet1!V111,", ","#",3))-(FIND("#",SUBSTITUTE(Sheet1!V111,", ","#",2))+2)),Sheet1!$A$1:$B$40,2,FALSE)&amp;","&amp;VLOOKUP(MID(Sheet1!V111,FIND("#",SUBSTITUTE(Sheet1!V111,", ","#",3))+2,FIND("#",SUBSTITUTE(Sheet1!V111,", ","#",4))-(FIND("#",SUBSTITUTE(Sheet1!V111,", ","#",3))+2)),Sheet1!$A$1:$B$40,2,FALSE)&amp;","&amp;VLOOKUP(RIGHT(Sheet1!V111,LEN(Sheet1!V111)-FIND("#",SUBSTITUTE(Sheet1!V111,", ","#",4))-1),Sheet1!$A$1:$B$40,2,FALSE),"")</f>
        <v/>
      </c>
      <c r="K65" s="6" t="str">
        <f t="shared" si="3"/>
        <v/>
      </c>
      <c r="L65" s="6" t="str">
        <f>IFERROR(IF((LEN(Sheet1!AA111)-LEN(SUBSTITUTE(Sheet1!AA111,", ","")))/2=0,VLOOKUP(Sheet1!AA111,Sheet1!$A$1:$B$40,2,FALSE),""),"")</f>
        <v/>
      </c>
      <c r="M65" s="6" t="str">
        <f>IFERROR(IF((LEN(Sheet1!AA111)-LEN(SUBSTITUTE(Sheet1!AA111,", ","")))/2=1,VLOOKUP(LEFT(Sheet1!AA111,FIND(", ",Sheet1!AA111)-1),Sheet1!$A$1:$B$40,2,FALSE)&amp;","&amp;VLOOKUP(RIGHT(Sheet1!AA111,LEN(Sheet1!AA111)-FIND(", ",Sheet1!AA111)-1),Sheet1!$A$1:$B$40,2,FALSE),""),"")</f>
        <v/>
      </c>
      <c r="N65" s="6" t="str">
        <f t="shared" si="8"/>
        <v/>
      </c>
    </row>
    <row r="66" spans="1:14">
      <c r="A66" s="5" t="str">
        <f>IFERROR(IF((LEN(Sheet1!N112)-LEN(SUBSTITUTE(Sheet1!N112,", ","")))/2=0,VLOOKUP(Sheet1!N112,Sheet1!$A$1:$B$40,2,FALSE),""),"")</f>
        <v/>
      </c>
      <c r="B66" s="6" t="str">
        <f>IFERROR(IF((LEN(Sheet1!N112)-LEN(SUBSTITUTE(Sheet1!N112,", ","")))/2=1,VLOOKUP(LEFT(Sheet1!N112,FIND(", ",Sheet1!N112)-1),Sheet1!$A$1:$B$40,2,FALSE)&amp;","&amp;VLOOKUP(RIGHT(Sheet1!N112,LEN(Sheet1!N112)-FIND(", ",Sheet1!N112)-1),Sheet1!$A$1:$B$40,2,FALSE),""),"")</f>
        <v/>
      </c>
      <c r="C66" s="6" t="str">
        <f>IF((LEN(Sheet1!N112)-LEN(SUBSTITUTE(Sheet1!N112,", ","")))/2=2,VLOOKUP(LEFT(Sheet1!N112,FIND(", ",Sheet1!N112)-1),Sheet1!$A$1:$B$40,2,FALSE)&amp;","&amp;VLOOKUP(MID(Sheet1!N112,FIND("#",SUBSTITUTE(Sheet1!N112,", ","#",1))+2,FIND("#",SUBSTITUTE(Sheet1!N112,", ","#",2))-(FIND("#",SUBSTITUTE(Sheet1!N112,", ","#",1))+2)),Sheet1!$A$1:$B$40,2,FALSE)&amp;","&amp;VLOOKUP(RIGHT(Sheet1!N112,LEN(Sheet1!N112)-FIND("#",SUBSTITUTE(Sheet1!N112,", ","#",2))-1),Sheet1!$A$1:$B$40,2,FALSE),"")</f>
        <v/>
      </c>
      <c r="D66" s="6" t="str">
        <f>IF((LEN(Sheet1!N112)-LEN(SUBSTITUTE(Sheet1!N112,", ","")))/2=3,VLOOKUP(LEFT(Sheet1!N112,FIND(", ",Sheet1!N112)-1),Sheet1!$A$1:$B$40,2,FALSE)&amp;","&amp;VLOOKUP(MID(Sheet1!N112,FIND("#",SUBSTITUTE(Sheet1!N112,", ","#",1))+2,FIND("#",SUBSTITUTE(Sheet1!N112,", ","#",2))-(FIND("#",SUBSTITUTE(Sheet1!N112,", ","#",1))+2)),Sheet1!$A$1:$B$40,2,FALSE)&amp;","&amp;VLOOKUP(MID(Sheet1!N112,FIND("#",SUBSTITUTE(Sheet1!N112,", ","#",2))+2,FIND("#",SUBSTITUTE(Sheet1!N112,", ","#",3))-(FIND("#",SUBSTITUTE(Sheet1!N112,", ","#",2))+2)),Sheet1!$A$1:$B$40,2,FALSE)&amp;","&amp;VLOOKUP(RIGHT(Sheet1!N112,LEN(Sheet1!N112)-FIND("#",SUBSTITUTE(Sheet1!N112,", ","#",3))-1),Sheet1!$A$1:$B$40,2,FALSE),"")</f>
        <v/>
      </c>
      <c r="E66" s="6" t="str">
        <f t="shared" si="7"/>
        <v/>
      </c>
      <c r="F66" s="6" t="str">
        <f>IFERROR(IF((LEN(Sheet1!V112)-LEN(SUBSTITUTE(Sheet1!V112,", ","")))/2=0,VLOOKUP(Sheet1!V112,Sheet1!$A$1:$B$40,2,FALSE),""),"")</f>
        <v/>
      </c>
      <c r="G66" s="6" t="str">
        <f>IFERROR(IF((LEN(Sheet1!V112)-LEN(SUBSTITUTE(Sheet1!V112,", ","")))/2=1,VLOOKUP(LEFT(Sheet1!V112,FIND(", ",Sheet1!V112)-1),Sheet1!$A$1:$B$40,2,FALSE)&amp;","&amp;VLOOKUP(RIGHT(Sheet1!V112,LEN(Sheet1!V112)-FIND(", ",Sheet1!V112)-1),Sheet1!$A$1:$B$40,2,FALSE),""),"")</f>
        <v/>
      </c>
      <c r="H66" s="6" t="str">
        <f>IF((LEN(Sheet1!V112)-LEN(SUBSTITUTE(Sheet1!V112,", ","")))/2=2,VLOOKUP(LEFT(Sheet1!V112,FIND(", ",Sheet1!V112)-1),Sheet1!$A$1:$B$40,2,FALSE)&amp;","&amp;VLOOKUP(MID(Sheet1!V112,FIND("#",SUBSTITUTE(Sheet1!V112,", ","#",1))+2,FIND("#",SUBSTITUTE(Sheet1!V112,", ","#",2))-(FIND("#",SUBSTITUTE(Sheet1!V112,", ","#",1))+2)),Sheet1!$A$1:$B$40,2,FALSE)&amp;","&amp;VLOOKUP(RIGHT(Sheet1!V112,LEN(Sheet1!V112)-FIND("#",SUBSTITUTE(Sheet1!V112,", ","#",2))-1),Sheet1!$A$1:$B$40,2,FALSE),"")</f>
        <v/>
      </c>
      <c r="I66" s="6" t="str">
        <f>IF((LEN(Sheet1!V112)-LEN(SUBSTITUTE(Sheet1!V112,", ","")))/2=3,VLOOKUP(LEFT(Sheet1!V112,FIND(", ",Sheet1!V112)-1),Sheet1!$A$1:$B$40,2,FALSE)&amp;","&amp;VLOOKUP(MID(Sheet1!V112,FIND("#",SUBSTITUTE(Sheet1!V112,", ","#",1))+2,FIND("#",SUBSTITUTE(Sheet1!V112,", ","#",2))-(FIND("#",SUBSTITUTE(Sheet1!V112,", ","#",1))+2)),Sheet1!$A$1:$B$40,2,FALSE)&amp;","&amp;VLOOKUP(MID(Sheet1!V112,FIND("#",SUBSTITUTE(Sheet1!V112,", ","#",2))+2,FIND("#",SUBSTITUTE(Sheet1!V112,", ","#",3))-(FIND("#",SUBSTITUTE(Sheet1!V112,", ","#",2))+2)),Sheet1!$A$1:$B$40,2,FALSE)&amp;","&amp;VLOOKUP(RIGHT(Sheet1!V112,LEN(Sheet1!V112)-FIND("#",SUBSTITUTE(Sheet1!V112,", ","#",3))-1),Sheet1!$A$1:$B$40,2,FALSE),"")</f>
        <v/>
      </c>
      <c r="J66" s="6" t="str">
        <f>IF((LEN(Sheet1!V112)-LEN(SUBSTITUTE(Sheet1!V112,", ","")))/2=4,VLOOKUP(LEFT(Sheet1!V112,FIND(", ",Sheet1!V112)-1),Sheet1!$A$1:$B$40,2,FALSE)&amp;","&amp;VLOOKUP(MID(Sheet1!V112,FIND("#",SUBSTITUTE(Sheet1!V112,", ","#",1))+2,FIND("#",SUBSTITUTE(Sheet1!V112,", ","#",2))-(FIND("#",SUBSTITUTE(Sheet1!V112,", ","#",1))+2)),Sheet1!$A$1:$B$40,2,FALSE)&amp;","&amp;VLOOKUP(MID(Sheet1!V112,FIND("#",SUBSTITUTE(Sheet1!V112,", ","#",2))+2,FIND("#",SUBSTITUTE(Sheet1!V112,", ","#",3))-(FIND("#",SUBSTITUTE(Sheet1!V112,", ","#",2))+2)),Sheet1!$A$1:$B$40,2,FALSE)&amp;","&amp;VLOOKUP(MID(Sheet1!V112,FIND("#",SUBSTITUTE(Sheet1!V112,", ","#",3))+2,FIND("#",SUBSTITUTE(Sheet1!V112,", ","#",4))-(FIND("#",SUBSTITUTE(Sheet1!V112,", ","#",3))+2)),Sheet1!$A$1:$B$40,2,FALSE)&amp;","&amp;VLOOKUP(RIGHT(Sheet1!V112,LEN(Sheet1!V112)-FIND("#",SUBSTITUTE(Sheet1!V112,", ","#",4))-1),Sheet1!$A$1:$B$40,2,FALSE),"")</f>
        <v/>
      </c>
      <c r="K66" s="6" t="str">
        <f t="shared" si="3"/>
        <v/>
      </c>
      <c r="L66" s="6" t="str">
        <f>IFERROR(IF((LEN(Sheet1!AA112)-LEN(SUBSTITUTE(Sheet1!AA112,", ","")))/2=0,VLOOKUP(Sheet1!AA112,Sheet1!$A$1:$B$40,2,FALSE),""),"")</f>
        <v/>
      </c>
      <c r="M66" s="6" t="str">
        <f>IFERROR(IF((LEN(Sheet1!AA112)-LEN(SUBSTITUTE(Sheet1!AA112,", ","")))/2=1,VLOOKUP(LEFT(Sheet1!AA112,FIND(", ",Sheet1!AA112)-1),Sheet1!$A$1:$B$40,2,FALSE)&amp;","&amp;VLOOKUP(RIGHT(Sheet1!AA112,LEN(Sheet1!AA112)-FIND(", ",Sheet1!AA112)-1),Sheet1!$A$1:$B$40,2,FALSE),""),"")</f>
        <v/>
      </c>
      <c r="N66" s="6" t="str">
        <f t="shared" si="8"/>
        <v/>
      </c>
    </row>
    <row r="67" spans="1:14">
      <c r="A67" s="5" t="str">
        <f>IFERROR(IF((LEN(Sheet1!N113)-LEN(SUBSTITUTE(Sheet1!N113,", ","")))/2=0,VLOOKUP(Sheet1!N113,Sheet1!$A$1:$B$40,2,FALSE),""),"")</f>
        <v/>
      </c>
      <c r="B67" s="6" t="str">
        <f>IFERROR(IF((LEN(Sheet1!N113)-LEN(SUBSTITUTE(Sheet1!N113,", ","")))/2=1,VLOOKUP(LEFT(Sheet1!N113,FIND(", ",Sheet1!N113)-1),Sheet1!$A$1:$B$40,2,FALSE)&amp;","&amp;VLOOKUP(RIGHT(Sheet1!N113,LEN(Sheet1!N113)-FIND(", ",Sheet1!N113)-1),Sheet1!$A$1:$B$40,2,FALSE),""),"")</f>
        <v/>
      </c>
      <c r="C67" s="6" t="str">
        <f>IF((LEN(Sheet1!N113)-LEN(SUBSTITUTE(Sheet1!N113,", ","")))/2=2,VLOOKUP(LEFT(Sheet1!N113,FIND(", ",Sheet1!N113)-1),Sheet1!$A$1:$B$40,2,FALSE)&amp;","&amp;VLOOKUP(MID(Sheet1!N113,FIND("#",SUBSTITUTE(Sheet1!N113,", ","#",1))+2,FIND("#",SUBSTITUTE(Sheet1!N113,", ","#",2))-(FIND("#",SUBSTITUTE(Sheet1!N113,", ","#",1))+2)),Sheet1!$A$1:$B$40,2,FALSE)&amp;","&amp;VLOOKUP(RIGHT(Sheet1!N113,LEN(Sheet1!N113)-FIND("#",SUBSTITUTE(Sheet1!N113,", ","#",2))-1),Sheet1!$A$1:$B$40,2,FALSE),"")</f>
        <v/>
      </c>
      <c r="D67" s="6" t="str">
        <f>IF((LEN(Sheet1!N113)-LEN(SUBSTITUTE(Sheet1!N113,", ","")))/2=3,VLOOKUP(LEFT(Sheet1!N113,FIND(", ",Sheet1!N113)-1),Sheet1!$A$1:$B$40,2,FALSE)&amp;","&amp;VLOOKUP(MID(Sheet1!N113,FIND("#",SUBSTITUTE(Sheet1!N113,", ","#",1))+2,FIND("#",SUBSTITUTE(Sheet1!N113,", ","#",2))-(FIND("#",SUBSTITUTE(Sheet1!N113,", ","#",1))+2)),Sheet1!$A$1:$B$40,2,FALSE)&amp;","&amp;VLOOKUP(MID(Sheet1!N113,FIND("#",SUBSTITUTE(Sheet1!N113,", ","#",2))+2,FIND("#",SUBSTITUTE(Sheet1!N113,", ","#",3))-(FIND("#",SUBSTITUTE(Sheet1!N113,", ","#",2))+2)),Sheet1!$A$1:$B$40,2,FALSE)&amp;","&amp;VLOOKUP(RIGHT(Sheet1!N113,LEN(Sheet1!N113)-FIND("#",SUBSTITUTE(Sheet1!N113,", ","#",3))-1),Sheet1!$A$1:$B$40,2,FALSE),"")</f>
        <v/>
      </c>
      <c r="E67" s="6" t="str">
        <f t="shared" ref="E67:E81" si="9">A67&amp;B67&amp;C67&amp;D67</f>
        <v/>
      </c>
      <c r="F67" s="6" t="str">
        <f>IFERROR(IF((LEN(Sheet1!V113)-LEN(SUBSTITUTE(Sheet1!V113,", ","")))/2=0,VLOOKUP(Sheet1!V113,Sheet1!$A$1:$B$40,2,FALSE),""),"")</f>
        <v/>
      </c>
      <c r="G67" s="6" t="str">
        <f>IFERROR(IF((LEN(Sheet1!V113)-LEN(SUBSTITUTE(Sheet1!V113,", ","")))/2=1,VLOOKUP(LEFT(Sheet1!V113,FIND(", ",Sheet1!V113)-1),Sheet1!$A$1:$B$40,2,FALSE)&amp;","&amp;VLOOKUP(RIGHT(Sheet1!V113,LEN(Sheet1!V113)-FIND(", ",Sheet1!V113)-1),Sheet1!$A$1:$B$40,2,FALSE),""),"")</f>
        <v/>
      </c>
      <c r="H67" s="6" t="str">
        <f>IF((LEN(Sheet1!V113)-LEN(SUBSTITUTE(Sheet1!V113,", ","")))/2=2,VLOOKUP(LEFT(Sheet1!V113,FIND(", ",Sheet1!V113)-1),Sheet1!$A$1:$B$40,2,FALSE)&amp;","&amp;VLOOKUP(MID(Sheet1!V113,FIND("#",SUBSTITUTE(Sheet1!V113,", ","#",1))+2,FIND("#",SUBSTITUTE(Sheet1!V113,", ","#",2))-(FIND("#",SUBSTITUTE(Sheet1!V113,", ","#",1))+2)),Sheet1!$A$1:$B$40,2,FALSE)&amp;","&amp;VLOOKUP(RIGHT(Sheet1!V113,LEN(Sheet1!V113)-FIND("#",SUBSTITUTE(Sheet1!V113,", ","#",2))-1),Sheet1!$A$1:$B$40,2,FALSE),"")</f>
        <v/>
      </c>
      <c r="I67" s="6" t="str">
        <f>IF((LEN(Sheet1!V113)-LEN(SUBSTITUTE(Sheet1!V113,", ","")))/2=3,VLOOKUP(LEFT(Sheet1!V113,FIND(", ",Sheet1!V113)-1),Sheet1!$A$1:$B$40,2,FALSE)&amp;","&amp;VLOOKUP(MID(Sheet1!V113,FIND("#",SUBSTITUTE(Sheet1!V113,", ","#",1))+2,FIND("#",SUBSTITUTE(Sheet1!V113,", ","#",2))-(FIND("#",SUBSTITUTE(Sheet1!V113,", ","#",1))+2)),Sheet1!$A$1:$B$40,2,FALSE)&amp;","&amp;VLOOKUP(MID(Sheet1!V113,FIND("#",SUBSTITUTE(Sheet1!V113,", ","#",2))+2,FIND("#",SUBSTITUTE(Sheet1!V113,", ","#",3))-(FIND("#",SUBSTITUTE(Sheet1!V113,", ","#",2))+2)),Sheet1!$A$1:$B$40,2,FALSE)&amp;","&amp;VLOOKUP(RIGHT(Sheet1!V113,LEN(Sheet1!V113)-FIND("#",SUBSTITUTE(Sheet1!V113,", ","#",3))-1),Sheet1!$A$1:$B$40,2,FALSE),"")</f>
        <v/>
      </c>
      <c r="J67" s="6" t="str">
        <f>IF((LEN(Sheet1!V113)-LEN(SUBSTITUTE(Sheet1!V113,", ","")))/2=4,VLOOKUP(LEFT(Sheet1!V113,FIND(", ",Sheet1!V113)-1),Sheet1!$A$1:$B$40,2,FALSE)&amp;","&amp;VLOOKUP(MID(Sheet1!V113,FIND("#",SUBSTITUTE(Sheet1!V113,", ","#",1))+2,FIND("#",SUBSTITUTE(Sheet1!V113,", ","#",2))-(FIND("#",SUBSTITUTE(Sheet1!V113,", ","#",1))+2)),Sheet1!$A$1:$B$40,2,FALSE)&amp;","&amp;VLOOKUP(MID(Sheet1!V113,FIND("#",SUBSTITUTE(Sheet1!V113,", ","#",2))+2,FIND("#",SUBSTITUTE(Sheet1!V113,", ","#",3))-(FIND("#",SUBSTITUTE(Sheet1!V113,", ","#",2))+2)),Sheet1!$A$1:$B$40,2,FALSE)&amp;","&amp;VLOOKUP(MID(Sheet1!V113,FIND("#",SUBSTITUTE(Sheet1!V113,", ","#",3))+2,FIND("#",SUBSTITUTE(Sheet1!V113,", ","#",4))-(FIND("#",SUBSTITUTE(Sheet1!V113,", ","#",3))+2)),Sheet1!$A$1:$B$40,2,FALSE)&amp;","&amp;VLOOKUP(RIGHT(Sheet1!V113,LEN(Sheet1!V113)-FIND("#",SUBSTITUTE(Sheet1!V113,", ","#",4))-1),Sheet1!$A$1:$B$40,2,FALSE),"")</f>
        <v/>
      </c>
      <c r="K67" s="6" t="str">
        <f t="shared" ref="K67:K101" si="10">F67&amp;G67&amp;H67&amp;I67&amp;J67</f>
        <v/>
      </c>
      <c r="L67" s="6" t="str">
        <f>IFERROR(IF((LEN(Sheet1!AA113)-LEN(SUBSTITUTE(Sheet1!AA113,", ","")))/2=0,VLOOKUP(Sheet1!AA113,Sheet1!$A$1:$B$40,2,FALSE),""),"")</f>
        <v/>
      </c>
      <c r="M67" s="6" t="str">
        <f>IFERROR(IF((LEN(Sheet1!AA113)-LEN(SUBSTITUTE(Sheet1!AA113,", ","")))/2=1,VLOOKUP(LEFT(Sheet1!AA113,FIND(", ",Sheet1!AA113)-1),Sheet1!$A$1:$B$40,2,FALSE)&amp;","&amp;VLOOKUP(RIGHT(Sheet1!AA113,LEN(Sheet1!AA113)-FIND(", ",Sheet1!AA113)-1),Sheet1!$A$1:$B$40,2,FALSE),""),"")</f>
        <v/>
      </c>
      <c r="N67" s="6" t="str">
        <f t="shared" si="8"/>
        <v/>
      </c>
    </row>
    <row r="68" spans="1:14">
      <c r="A68" s="5" t="str">
        <f>IFERROR(IF((LEN(Sheet1!N114)-LEN(SUBSTITUTE(Sheet1!N114,", ","")))/2=0,VLOOKUP(Sheet1!N114,Sheet1!$A$1:$B$40,2,FALSE),""),"")</f>
        <v/>
      </c>
      <c r="B68" s="6" t="str">
        <f>IFERROR(IF((LEN(Sheet1!N114)-LEN(SUBSTITUTE(Sheet1!N114,", ","")))/2=1,VLOOKUP(LEFT(Sheet1!N114,FIND(", ",Sheet1!N114)-1),Sheet1!$A$1:$B$40,2,FALSE)&amp;","&amp;VLOOKUP(RIGHT(Sheet1!N114,LEN(Sheet1!N114)-FIND(", ",Sheet1!N114)-1),Sheet1!$A$1:$B$40,2,FALSE),""),"")</f>
        <v/>
      </c>
      <c r="C68" s="6" t="str">
        <f>IF((LEN(Sheet1!N114)-LEN(SUBSTITUTE(Sheet1!N114,", ","")))/2=2,VLOOKUP(LEFT(Sheet1!N114,FIND(", ",Sheet1!N114)-1),Sheet1!$A$1:$B$40,2,FALSE)&amp;","&amp;VLOOKUP(MID(Sheet1!N114,FIND("#",SUBSTITUTE(Sheet1!N114,", ","#",1))+2,FIND("#",SUBSTITUTE(Sheet1!N114,", ","#",2))-(FIND("#",SUBSTITUTE(Sheet1!N114,", ","#",1))+2)),Sheet1!$A$1:$B$40,2,FALSE)&amp;","&amp;VLOOKUP(RIGHT(Sheet1!N114,LEN(Sheet1!N114)-FIND("#",SUBSTITUTE(Sheet1!N114,", ","#",2))-1),Sheet1!$A$1:$B$40,2,FALSE),"")</f>
        <v/>
      </c>
      <c r="D68" s="6" t="str">
        <f>IF((LEN(Sheet1!N114)-LEN(SUBSTITUTE(Sheet1!N114,", ","")))/2=3,VLOOKUP(LEFT(Sheet1!N114,FIND(", ",Sheet1!N114)-1),Sheet1!$A$1:$B$40,2,FALSE)&amp;","&amp;VLOOKUP(MID(Sheet1!N114,FIND("#",SUBSTITUTE(Sheet1!N114,", ","#",1))+2,FIND("#",SUBSTITUTE(Sheet1!N114,", ","#",2))-(FIND("#",SUBSTITUTE(Sheet1!N114,", ","#",1))+2)),Sheet1!$A$1:$B$40,2,FALSE)&amp;","&amp;VLOOKUP(MID(Sheet1!N114,FIND("#",SUBSTITUTE(Sheet1!N114,", ","#",2))+2,FIND("#",SUBSTITUTE(Sheet1!N114,", ","#",3))-(FIND("#",SUBSTITUTE(Sheet1!N114,", ","#",2))+2)),Sheet1!$A$1:$B$40,2,FALSE)&amp;","&amp;VLOOKUP(RIGHT(Sheet1!N114,LEN(Sheet1!N114)-FIND("#",SUBSTITUTE(Sheet1!N114,", ","#",3))-1),Sheet1!$A$1:$B$40,2,FALSE),"")</f>
        <v/>
      </c>
      <c r="E68" s="6" t="str">
        <f t="shared" si="9"/>
        <v/>
      </c>
      <c r="F68" s="6" t="str">
        <f>IFERROR(IF((LEN(Sheet1!V114)-LEN(SUBSTITUTE(Sheet1!V114,", ","")))/2=0,VLOOKUP(Sheet1!V114,Sheet1!$A$1:$B$40,2,FALSE),""),"")</f>
        <v/>
      </c>
      <c r="G68" s="6" t="str">
        <f>IFERROR(IF((LEN(Sheet1!V114)-LEN(SUBSTITUTE(Sheet1!V114,", ","")))/2=1,VLOOKUP(LEFT(Sheet1!V114,FIND(", ",Sheet1!V114)-1),Sheet1!$A$1:$B$40,2,FALSE)&amp;","&amp;VLOOKUP(RIGHT(Sheet1!V114,LEN(Sheet1!V114)-FIND(", ",Sheet1!V114)-1),Sheet1!$A$1:$B$40,2,FALSE),""),"")</f>
        <v/>
      </c>
      <c r="H68" s="6" t="str">
        <f>IF((LEN(Sheet1!V114)-LEN(SUBSTITUTE(Sheet1!V114,", ","")))/2=2,VLOOKUP(LEFT(Sheet1!V114,FIND(", ",Sheet1!V114)-1),Sheet1!$A$1:$B$40,2,FALSE)&amp;","&amp;VLOOKUP(MID(Sheet1!V114,FIND("#",SUBSTITUTE(Sheet1!V114,", ","#",1))+2,FIND("#",SUBSTITUTE(Sheet1!V114,", ","#",2))-(FIND("#",SUBSTITUTE(Sheet1!V114,", ","#",1))+2)),Sheet1!$A$1:$B$40,2,FALSE)&amp;","&amp;VLOOKUP(RIGHT(Sheet1!V114,LEN(Sheet1!V114)-FIND("#",SUBSTITUTE(Sheet1!V114,", ","#",2))-1),Sheet1!$A$1:$B$40,2,FALSE),"")</f>
        <v/>
      </c>
      <c r="I68" s="6" t="str">
        <f>IF((LEN(Sheet1!V114)-LEN(SUBSTITUTE(Sheet1!V114,", ","")))/2=3,VLOOKUP(LEFT(Sheet1!V114,FIND(", ",Sheet1!V114)-1),Sheet1!$A$1:$B$40,2,FALSE)&amp;","&amp;VLOOKUP(MID(Sheet1!V114,FIND("#",SUBSTITUTE(Sheet1!V114,", ","#",1))+2,FIND("#",SUBSTITUTE(Sheet1!V114,", ","#",2))-(FIND("#",SUBSTITUTE(Sheet1!V114,", ","#",1))+2)),Sheet1!$A$1:$B$40,2,FALSE)&amp;","&amp;VLOOKUP(MID(Sheet1!V114,FIND("#",SUBSTITUTE(Sheet1!V114,", ","#",2))+2,FIND("#",SUBSTITUTE(Sheet1!V114,", ","#",3))-(FIND("#",SUBSTITUTE(Sheet1!V114,", ","#",2))+2)),Sheet1!$A$1:$B$40,2,FALSE)&amp;","&amp;VLOOKUP(RIGHT(Sheet1!V114,LEN(Sheet1!V114)-FIND("#",SUBSTITUTE(Sheet1!V114,", ","#",3))-1),Sheet1!$A$1:$B$40,2,FALSE),"")</f>
        <v/>
      </c>
      <c r="J68" s="6" t="str">
        <f>IF((LEN(Sheet1!V114)-LEN(SUBSTITUTE(Sheet1!V114,", ","")))/2=4,VLOOKUP(LEFT(Sheet1!V114,FIND(", ",Sheet1!V114)-1),Sheet1!$A$1:$B$40,2,FALSE)&amp;","&amp;VLOOKUP(MID(Sheet1!V114,FIND("#",SUBSTITUTE(Sheet1!V114,", ","#",1))+2,FIND("#",SUBSTITUTE(Sheet1!V114,", ","#",2))-(FIND("#",SUBSTITUTE(Sheet1!V114,", ","#",1))+2)),Sheet1!$A$1:$B$40,2,FALSE)&amp;","&amp;VLOOKUP(MID(Sheet1!V114,FIND("#",SUBSTITUTE(Sheet1!V114,", ","#",2))+2,FIND("#",SUBSTITUTE(Sheet1!V114,", ","#",3))-(FIND("#",SUBSTITUTE(Sheet1!V114,", ","#",2))+2)),Sheet1!$A$1:$B$40,2,FALSE)&amp;","&amp;VLOOKUP(MID(Sheet1!V114,FIND("#",SUBSTITUTE(Sheet1!V114,", ","#",3))+2,FIND("#",SUBSTITUTE(Sheet1!V114,", ","#",4))-(FIND("#",SUBSTITUTE(Sheet1!V114,", ","#",3))+2)),Sheet1!$A$1:$B$40,2,FALSE)&amp;","&amp;VLOOKUP(RIGHT(Sheet1!V114,LEN(Sheet1!V114)-FIND("#",SUBSTITUTE(Sheet1!V114,", ","#",4))-1),Sheet1!$A$1:$B$40,2,FALSE),"")</f>
        <v/>
      </c>
      <c r="K68" s="6" t="str">
        <f t="shared" si="10"/>
        <v/>
      </c>
      <c r="L68" s="6" t="str">
        <f>IFERROR(IF((LEN(Sheet1!AA114)-LEN(SUBSTITUTE(Sheet1!AA114,", ","")))/2=0,VLOOKUP(Sheet1!AA114,Sheet1!$A$1:$B$40,2,FALSE),""),"")</f>
        <v/>
      </c>
      <c r="M68" s="6" t="str">
        <f>IFERROR(IF((LEN(Sheet1!AA114)-LEN(SUBSTITUTE(Sheet1!AA114,", ","")))/2=1,VLOOKUP(LEFT(Sheet1!AA114,FIND(", ",Sheet1!AA114)-1),Sheet1!$A$1:$B$40,2,FALSE)&amp;","&amp;VLOOKUP(RIGHT(Sheet1!AA114,LEN(Sheet1!AA114)-FIND(", ",Sheet1!AA114)-1),Sheet1!$A$1:$B$40,2,FALSE),""),"")</f>
        <v/>
      </c>
      <c r="N68" s="6" t="str">
        <f t="shared" si="8"/>
        <v/>
      </c>
    </row>
    <row r="69" spans="1:14">
      <c r="A69" s="5" t="str">
        <f>IFERROR(IF((LEN(Sheet1!N115)-LEN(SUBSTITUTE(Sheet1!N115,", ","")))/2=0,VLOOKUP(Sheet1!N115,Sheet1!$A$1:$B$40,2,FALSE),""),"")</f>
        <v/>
      </c>
      <c r="B69" s="6" t="str">
        <f>IFERROR(IF((LEN(Sheet1!N115)-LEN(SUBSTITUTE(Sheet1!N115,", ","")))/2=1,VLOOKUP(LEFT(Sheet1!N115,FIND(", ",Sheet1!N115)-1),Sheet1!$A$1:$B$40,2,FALSE)&amp;","&amp;VLOOKUP(RIGHT(Sheet1!N115,LEN(Sheet1!N115)-FIND(", ",Sheet1!N115)-1),Sheet1!$A$1:$B$40,2,FALSE),""),"")</f>
        <v/>
      </c>
      <c r="C69" s="6" t="str">
        <f>IF((LEN(Sheet1!N115)-LEN(SUBSTITUTE(Sheet1!N115,", ","")))/2=2,VLOOKUP(LEFT(Sheet1!N115,FIND(", ",Sheet1!N115)-1),Sheet1!$A$1:$B$40,2,FALSE)&amp;","&amp;VLOOKUP(MID(Sheet1!N115,FIND("#",SUBSTITUTE(Sheet1!N115,", ","#",1))+2,FIND("#",SUBSTITUTE(Sheet1!N115,", ","#",2))-(FIND("#",SUBSTITUTE(Sheet1!N115,", ","#",1))+2)),Sheet1!$A$1:$B$40,2,FALSE)&amp;","&amp;VLOOKUP(RIGHT(Sheet1!N115,LEN(Sheet1!N115)-FIND("#",SUBSTITUTE(Sheet1!N115,", ","#",2))-1),Sheet1!$A$1:$B$40,2,FALSE),"")</f>
        <v/>
      </c>
      <c r="D69" s="6" t="str">
        <f>IF((LEN(Sheet1!N115)-LEN(SUBSTITUTE(Sheet1!N115,", ","")))/2=3,VLOOKUP(LEFT(Sheet1!N115,FIND(", ",Sheet1!N115)-1),Sheet1!$A$1:$B$40,2,FALSE)&amp;","&amp;VLOOKUP(MID(Sheet1!N115,FIND("#",SUBSTITUTE(Sheet1!N115,", ","#",1))+2,FIND("#",SUBSTITUTE(Sheet1!N115,", ","#",2))-(FIND("#",SUBSTITUTE(Sheet1!N115,", ","#",1))+2)),Sheet1!$A$1:$B$40,2,FALSE)&amp;","&amp;VLOOKUP(MID(Sheet1!N115,FIND("#",SUBSTITUTE(Sheet1!N115,", ","#",2))+2,FIND("#",SUBSTITUTE(Sheet1!N115,", ","#",3))-(FIND("#",SUBSTITUTE(Sheet1!N115,", ","#",2))+2)),Sheet1!$A$1:$B$40,2,FALSE)&amp;","&amp;VLOOKUP(RIGHT(Sheet1!N115,LEN(Sheet1!N115)-FIND("#",SUBSTITUTE(Sheet1!N115,", ","#",3))-1),Sheet1!$A$1:$B$40,2,FALSE),"")</f>
        <v/>
      </c>
      <c r="E69" s="6" t="str">
        <f t="shared" si="9"/>
        <v/>
      </c>
      <c r="F69" s="6" t="str">
        <f>IFERROR(IF((LEN(Sheet1!V115)-LEN(SUBSTITUTE(Sheet1!V115,", ","")))/2=0,VLOOKUP(Sheet1!V115,Sheet1!$A$1:$B$40,2,FALSE),""),"")</f>
        <v/>
      </c>
      <c r="G69" s="6" t="str">
        <f>IFERROR(IF((LEN(Sheet1!V115)-LEN(SUBSTITUTE(Sheet1!V115,", ","")))/2=1,VLOOKUP(LEFT(Sheet1!V115,FIND(", ",Sheet1!V115)-1),Sheet1!$A$1:$B$40,2,FALSE)&amp;","&amp;VLOOKUP(RIGHT(Sheet1!V115,LEN(Sheet1!V115)-FIND(", ",Sheet1!V115)-1),Sheet1!$A$1:$B$40,2,FALSE),""),"")</f>
        <v/>
      </c>
      <c r="H69" s="6" t="str">
        <f>IF((LEN(Sheet1!V115)-LEN(SUBSTITUTE(Sheet1!V115,", ","")))/2=2,VLOOKUP(LEFT(Sheet1!V115,FIND(", ",Sheet1!V115)-1),Sheet1!$A$1:$B$40,2,FALSE)&amp;","&amp;VLOOKUP(MID(Sheet1!V115,FIND("#",SUBSTITUTE(Sheet1!V115,", ","#",1))+2,FIND("#",SUBSTITUTE(Sheet1!V115,", ","#",2))-(FIND("#",SUBSTITUTE(Sheet1!V115,", ","#",1))+2)),Sheet1!$A$1:$B$40,2,FALSE)&amp;","&amp;VLOOKUP(RIGHT(Sheet1!V115,LEN(Sheet1!V115)-FIND("#",SUBSTITUTE(Sheet1!V115,", ","#",2))-1),Sheet1!$A$1:$B$40,2,FALSE),"")</f>
        <v/>
      </c>
      <c r="I69" s="6" t="str">
        <f>IF((LEN(Sheet1!V115)-LEN(SUBSTITUTE(Sheet1!V115,", ","")))/2=3,VLOOKUP(LEFT(Sheet1!V115,FIND(", ",Sheet1!V115)-1),Sheet1!$A$1:$B$40,2,FALSE)&amp;","&amp;VLOOKUP(MID(Sheet1!V115,FIND("#",SUBSTITUTE(Sheet1!V115,", ","#",1))+2,FIND("#",SUBSTITUTE(Sheet1!V115,", ","#",2))-(FIND("#",SUBSTITUTE(Sheet1!V115,", ","#",1))+2)),Sheet1!$A$1:$B$40,2,FALSE)&amp;","&amp;VLOOKUP(MID(Sheet1!V115,FIND("#",SUBSTITUTE(Sheet1!V115,", ","#",2))+2,FIND("#",SUBSTITUTE(Sheet1!V115,", ","#",3))-(FIND("#",SUBSTITUTE(Sheet1!V115,", ","#",2))+2)),Sheet1!$A$1:$B$40,2,FALSE)&amp;","&amp;VLOOKUP(RIGHT(Sheet1!V115,LEN(Sheet1!V115)-FIND("#",SUBSTITUTE(Sheet1!V115,", ","#",3))-1),Sheet1!$A$1:$B$40,2,FALSE),"")</f>
        <v/>
      </c>
      <c r="J69" s="6" t="str">
        <f>IF((LEN(Sheet1!V115)-LEN(SUBSTITUTE(Sheet1!V115,", ","")))/2=4,VLOOKUP(LEFT(Sheet1!V115,FIND(", ",Sheet1!V115)-1),Sheet1!$A$1:$B$40,2,FALSE)&amp;","&amp;VLOOKUP(MID(Sheet1!V115,FIND("#",SUBSTITUTE(Sheet1!V115,", ","#",1))+2,FIND("#",SUBSTITUTE(Sheet1!V115,", ","#",2))-(FIND("#",SUBSTITUTE(Sheet1!V115,", ","#",1))+2)),Sheet1!$A$1:$B$40,2,FALSE)&amp;","&amp;VLOOKUP(MID(Sheet1!V115,FIND("#",SUBSTITUTE(Sheet1!V115,", ","#",2))+2,FIND("#",SUBSTITUTE(Sheet1!V115,", ","#",3))-(FIND("#",SUBSTITUTE(Sheet1!V115,", ","#",2))+2)),Sheet1!$A$1:$B$40,2,FALSE)&amp;","&amp;VLOOKUP(MID(Sheet1!V115,FIND("#",SUBSTITUTE(Sheet1!V115,", ","#",3))+2,FIND("#",SUBSTITUTE(Sheet1!V115,", ","#",4))-(FIND("#",SUBSTITUTE(Sheet1!V115,", ","#",3))+2)),Sheet1!$A$1:$B$40,2,FALSE)&amp;","&amp;VLOOKUP(RIGHT(Sheet1!V115,LEN(Sheet1!V115)-FIND("#",SUBSTITUTE(Sheet1!V115,", ","#",4))-1),Sheet1!$A$1:$B$40,2,FALSE),"")</f>
        <v/>
      </c>
      <c r="K69" s="6" t="str">
        <f t="shared" si="10"/>
        <v/>
      </c>
      <c r="L69" s="6" t="str">
        <f>IFERROR(IF((LEN(Sheet1!AA115)-LEN(SUBSTITUTE(Sheet1!AA115,", ","")))/2=0,VLOOKUP(Sheet1!AA115,Sheet1!$A$1:$B$40,2,FALSE),""),"")</f>
        <v/>
      </c>
      <c r="M69" s="6" t="str">
        <f>IFERROR(IF((LEN(Sheet1!AA115)-LEN(SUBSTITUTE(Sheet1!AA115,", ","")))/2=1,VLOOKUP(LEFT(Sheet1!AA115,FIND(", ",Sheet1!AA115)-1),Sheet1!$A$1:$B$40,2,FALSE)&amp;","&amp;VLOOKUP(RIGHT(Sheet1!AA115,LEN(Sheet1!AA115)-FIND(", ",Sheet1!AA115)-1),Sheet1!$A$1:$B$40,2,FALSE),""),"")</f>
        <v/>
      </c>
      <c r="N69" s="6" t="str">
        <f t="shared" si="8"/>
        <v/>
      </c>
    </row>
    <row r="70" spans="1:14">
      <c r="A70" s="5" t="str">
        <f>IFERROR(IF((LEN(Sheet1!N116)-LEN(SUBSTITUTE(Sheet1!N116,", ","")))/2=0,VLOOKUP(Sheet1!N116,Sheet1!$A$1:$B$40,2,FALSE),""),"")</f>
        <v/>
      </c>
      <c r="B70" s="6" t="str">
        <f>IFERROR(IF((LEN(Sheet1!N116)-LEN(SUBSTITUTE(Sheet1!N116,", ","")))/2=1,VLOOKUP(LEFT(Sheet1!N116,FIND(", ",Sheet1!N116)-1),Sheet1!$A$1:$B$40,2,FALSE)&amp;","&amp;VLOOKUP(RIGHT(Sheet1!N116,LEN(Sheet1!N116)-FIND(", ",Sheet1!N116)-1),Sheet1!$A$1:$B$40,2,FALSE),""),"")</f>
        <v/>
      </c>
      <c r="C70" s="6" t="str">
        <f>IF((LEN(Sheet1!N116)-LEN(SUBSTITUTE(Sheet1!N116,", ","")))/2=2,VLOOKUP(LEFT(Sheet1!N116,FIND(", ",Sheet1!N116)-1),Sheet1!$A$1:$B$40,2,FALSE)&amp;","&amp;VLOOKUP(MID(Sheet1!N116,FIND("#",SUBSTITUTE(Sheet1!N116,", ","#",1))+2,FIND("#",SUBSTITUTE(Sheet1!N116,", ","#",2))-(FIND("#",SUBSTITUTE(Sheet1!N116,", ","#",1))+2)),Sheet1!$A$1:$B$40,2,FALSE)&amp;","&amp;VLOOKUP(RIGHT(Sheet1!N116,LEN(Sheet1!N116)-FIND("#",SUBSTITUTE(Sheet1!N116,", ","#",2))-1),Sheet1!$A$1:$B$40,2,FALSE),"")</f>
        <v/>
      </c>
      <c r="D70" s="6" t="str">
        <f>IF((LEN(Sheet1!N116)-LEN(SUBSTITUTE(Sheet1!N116,", ","")))/2=3,VLOOKUP(LEFT(Sheet1!N116,FIND(", ",Sheet1!N116)-1),Sheet1!$A$1:$B$40,2,FALSE)&amp;","&amp;VLOOKUP(MID(Sheet1!N116,FIND("#",SUBSTITUTE(Sheet1!N116,", ","#",1))+2,FIND("#",SUBSTITUTE(Sheet1!N116,", ","#",2))-(FIND("#",SUBSTITUTE(Sheet1!N116,", ","#",1))+2)),Sheet1!$A$1:$B$40,2,FALSE)&amp;","&amp;VLOOKUP(MID(Sheet1!N116,FIND("#",SUBSTITUTE(Sheet1!N116,", ","#",2))+2,FIND("#",SUBSTITUTE(Sheet1!N116,", ","#",3))-(FIND("#",SUBSTITUTE(Sheet1!N116,", ","#",2))+2)),Sheet1!$A$1:$B$40,2,FALSE)&amp;","&amp;VLOOKUP(RIGHT(Sheet1!N116,LEN(Sheet1!N116)-FIND("#",SUBSTITUTE(Sheet1!N116,", ","#",3))-1),Sheet1!$A$1:$B$40,2,FALSE),"")</f>
        <v/>
      </c>
      <c r="E70" s="6" t="str">
        <f t="shared" si="9"/>
        <v/>
      </c>
      <c r="F70" s="6" t="str">
        <f>IFERROR(IF((LEN(Sheet1!V116)-LEN(SUBSTITUTE(Sheet1!V116,", ","")))/2=0,VLOOKUP(Sheet1!V116,Sheet1!$A$1:$B$40,2,FALSE),""),"")</f>
        <v/>
      </c>
      <c r="G70" s="6" t="str">
        <f>IFERROR(IF((LEN(Sheet1!V116)-LEN(SUBSTITUTE(Sheet1!V116,", ","")))/2=1,VLOOKUP(LEFT(Sheet1!V116,FIND(", ",Sheet1!V116)-1),Sheet1!$A$1:$B$40,2,FALSE)&amp;","&amp;VLOOKUP(RIGHT(Sheet1!V116,LEN(Sheet1!V116)-FIND(", ",Sheet1!V116)-1),Sheet1!$A$1:$B$40,2,FALSE),""),"")</f>
        <v/>
      </c>
      <c r="H70" s="6" t="str">
        <f>IF((LEN(Sheet1!V116)-LEN(SUBSTITUTE(Sheet1!V116,", ","")))/2=2,VLOOKUP(LEFT(Sheet1!V116,FIND(", ",Sheet1!V116)-1),Sheet1!$A$1:$B$40,2,FALSE)&amp;","&amp;VLOOKUP(MID(Sheet1!V116,FIND("#",SUBSTITUTE(Sheet1!V116,", ","#",1))+2,FIND("#",SUBSTITUTE(Sheet1!V116,", ","#",2))-(FIND("#",SUBSTITUTE(Sheet1!V116,", ","#",1))+2)),Sheet1!$A$1:$B$40,2,FALSE)&amp;","&amp;VLOOKUP(RIGHT(Sheet1!V116,LEN(Sheet1!V116)-FIND("#",SUBSTITUTE(Sheet1!V116,", ","#",2))-1),Sheet1!$A$1:$B$40,2,FALSE),"")</f>
        <v/>
      </c>
      <c r="I70" s="6" t="str">
        <f>IF((LEN(Sheet1!V116)-LEN(SUBSTITUTE(Sheet1!V116,", ","")))/2=3,VLOOKUP(LEFT(Sheet1!V116,FIND(", ",Sheet1!V116)-1),Sheet1!$A$1:$B$40,2,FALSE)&amp;","&amp;VLOOKUP(MID(Sheet1!V116,FIND("#",SUBSTITUTE(Sheet1!V116,", ","#",1))+2,FIND("#",SUBSTITUTE(Sheet1!V116,", ","#",2))-(FIND("#",SUBSTITUTE(Sheet1!V116,", ","#",1))+2)),Sheet1!$A$1:$B$40,2,FALSE)&amp;","&amp;VLOOKUP(MID(Sheet1!V116,FIND("#",SUBSTITUTE(Sheet1!V116,", ","#",2))+2,FIND("#",SUBSTITUTE(Sheet1!V116,", ","#",3))-(FIND("#",SUBSTITUTE(Sheet1!V116,", ","#",2))+2)),Sheet1!$A$1:$B$40,2,FALSE)&amp;","&amp;VLOOKUP(RIGHT(Sheet1!V116,LEN(Sheet1!V116)-FIND("#",SUBSTITUTE(Sheet1!V116,", ","#",3))-1),Sheet1!$A$1:$B$40,2,FALSE),"")</f>
        <v/>
      </c>
      <c r="J70" s="6" t="str">
        <f>IF((LEN(Sheet1!V116)-LEN(SUBSTITUTE(Sheet1!V116,", ","")))/2=4,VLOOKUP(LEFT(Sheet1!V116,FIND(", ",Sheet1!V116)-1),Sheet1!$A$1:$B$40,2,FALSE)&amp;","&amp;VLOOKUP(MID(Sheet1!V116,FIND("#",SUBSTITUTE(Sheet1!V116,", ","#",1))+2,FIND("#",SUBSTITUTE(Sheet1!V116,", ","#",2))-(FIND("#",SUBSTITUTE(Sheet1!V116,", ","#",1))+2)),Sheet1!$A$1:$B$40,2,FALSE)&amp;","&amp;VLOOKUP(MID(Sheet1!V116,FIND("#",SUBSTITUTE(Sheet1!V116,", ","#",2))+2,FIND("#",SUBSTITUTE(Sheet1!V116,", ","#",3))-(FIND("#",SUBSTITUTE(Sheet1!V116,", ","#",2))+2)),Sheet1!$A$1:$B$40,2,FALSE)&amp;","&amp;VLOOKUP(MID(Sheet1!V116,FIND("#",SUBSTITUTE(Sheet1!V116,", ","#",3))+2,FIND("#",SUBSTITUTE(Sheet1!V116,", ","#",4))-(FIND("#",SUBSTITUTE(Sheet1!V116,", ","#",3))+2)),Sheet1!$A$1:$B$40,2,FALSE)&amp;","&amp;VLOOKUP(RIGHT(Sheet1!V116,LEN(Sheet1!V116)-FIND("#",SUBSTITUTE(Sheet1!V116,", ","#",4))-1),Sheet1!$A$1:$B$40,2,FALSE),"")</f>
        <v/>
      </c>
      <c r="K70" s="6" t="str">
        <f t="shared" si="10"/>
        <v/>
      </c>
      <c r="L70" s="6" t="str">
        <f>IFERROR(IF((LEN(Sheet1!AA116)-LEN(SUBSTITUTE(Sheet1!AA116,", ","")))/2=0,VLOOKUP(Sheet1!AA116,Sheet1!$A$1:$B$40,2,FALSE),""),"")</f>
        <v/>
      </c>
      <c r="M70" s="6" t="str">
        <f>IFERROR(IF((LEN(Sheet1!AA116)-LEN(SUBSTITUTE(Sheet1!AA116,", ","")))/2=1,VLOOKUP(LEFT(Sheet1!AA116,FIND(", ",Sheet1!AA116)-1),Sheet1!$A$1:$B$40,2,FALSE)&amp;","&amp;VLOOKUP(RIGHT(Sheet1!AA116,LEN(Sheet1!AA116)-FIND(", ",Sheet1!AA116)-1),Sheet1!$A$1:$B$40,2,FALSE),""),"")</f>
        <v/>
      </c>
      <c r="N70" s="6" t="str">
        <f t="shared" si="8"/>
        <v/>
      </c>
    </row>
    <row r="71" spans="1:14">
      <c r="A71" s="5" t="str">
        <f>IFERROR(IF((LEN(Sheet1!N117)-LEN(SUBSTITUTE(Sheet1!N117,", ","")))/2=0,VLOOKUP(Sheet1!N117,Sheet1!$A$1:$B$40,2,FALSE),""),"")</f>
        <v/>
      </c>
      <c r="B71" s="6" t="str">
        <f>IFERROR(IF((LEN(Sheet1!N117)-LEN(SUBSTITUTE(Sheet1!N117,", ","")))/2=1,VLOOKUP(LEFT(Sheet1!N117,FIND(", ",Sheet1!N117)-1),Sheet1!$A$1:$B$40,2,FALSE)&amp;","&amp;VLOOKUP(RIGHT(Sheet1!N117,LEN(Sheet1!N117)-FIND(", ",Sheet1!N117)-1),Sheet1!$A$1:$B$40,2,FALSE),""),"")</f>
        <v/>
      </c>
      <c r="C71" s="6" t="str">
        <f>IF((LEN(Sheet1!N117)-LEN(SUBSTITUTE(Sheet1!N117,", ","")))/2=2,VLOOKUP(LEFT(Sheet1!N117,FIND(", ",Sheet1!N117)-1),Sheet1!$A$1:$B$40,2,FALSE)&amp;","&amp;VLOOKUP(MID(Sheet1!N117,FIND("#",SUBSTITUTE(Sheet1!N117,", ","#",1))+2,FIND("#",SUBSTITUTE(Sheet1!N117,", ","#",2))-(FIND("#",SUBSTITUTE(Sheet1!N117,", ","#",1))+2)),Sheet1!$A$1:$B$40,2,FALSE)&amp;","&amp;VLOOKUP(RIGHT(Sheet1!N117,LEN(Sheet1!N117)-FIND("#",SUBSTITUTE(Sheet1!N117,", ","#",2))-1),Sheet1!$A$1:$B$40,2,FALSE),"")</f>
        <v/>
      </c>
      <c r="D71" s="6" t="str">
        <f>IF((LEN(Sheet1!N117)-LEN(SUBSTITUTE(Sheet1!N117,", ","")))/2=3,VLOOKUP(LEFT(Sheet1!N117,FIND(", ",Sheet1!N117)-1),Sheet1!$A$1:$B$40,2,FALSE)&amp;","&amp;VLOOKUP(MID(Sheet1!N117,FIND("#",SUBSTITUTE(Sheet1!N117,", ","#",1))+2,FIND("#",SUBSTITUTE(Sheet1!N117,", ","#",2))-(FIND("#",SUBSTITUTE(Sheet1!N117,", ","#",1))+2)),Sheet1!$A$1:$B$40,2,FALSE)&amp;","&amp;VLOOKUP(MID(Sheet1!N117,FIND("#",SUBSTITUTE(Sheet1!N117,", ","#",2))+2,FIND("#",SUBSTITUTE(Sheet1!N117,", ","#",3))-(FIND("#",SUBSTITUTE(Sheet1!N117,", ","#",2))+2)),Sheet1!$A$1:$B$40,2,FALSE)&amp;","&amp;VLOOKUP(RIGHT(Sheet1!N117,LEN(Sheet1!N117)-FIND("#",SUBSTITUTE(Sheet1!N117,", ","#",3))-1),Sheet1!$A$1:$B$40,2,FALSE),"")</f>
        <v/>
      </c>
      <c r="E71" s="6" t="str">
        <f t="shared" si="9"/>
        <v/>
      </c>
      <c r="F71" s="6" t="str">
        <f>IFERROR(IF((LEN(Sheet1!V117)-LEN(SUBSTITUTE(Sheet1!V117,", ","")))/2=0,VLOOKUP(Sheet1!V117,Sheet1!$A$1:$B$40,2,FALSE),""),"")</f>
        <v/>
      </c>
      <c r="G71" s="6" t="str">
        <f>IFERROR(IF((LEN(Sheet1!V117)-LEN(SUBSTITUTE(Sheet1!V117,", ","")))/2=1,VLOOKUP(LEFT(Sheet1!V117,FIND(", ",Sheet1!V117)-1),Sheet1!$A$1:$B$40,2,FALSE)&amp;","&amp;VLOOKUP(RIGHT(Sheet1!V117,LEN(Sheet1!V117)-FIND(", ",Sheet1!V117)-1),Sheet1!$A$1:$B$40,2,FALSE),""),"")</f>
        <v/>
      </c>
      <c r="H71" s="6" t="str">
        <f>IF((LEN(Sheet1!V117)-LEN(SUBSTITUTE(Sheet1!V117,", ","")))/2=2,VLOOKUP(LEFT(Sheet1!V117,FIND(", ",Sheet1!V117)-1),Sheet1!$A$1:$B$40,2,FALSE)&amp;","&amp;VLOOKUP(MID(Sheet1!V117,FIND("#",SUBSTITUTE(Sheet1!V117,", ","#",1))+2,FIND("#",SUBSTITUTE(Sheet1!V117,", ","#",2))-(FIND("#",SUBSTITUTE(Sheet1!V117,", ","#",1))+2)),Sheet1!$A$1:$B$40,2,FALSE)&amp;","&amp;VLOOKUP(RIGHT(Sheet1!V117,LEN(Sheet1!V117)-FIND("#",SUBSTITUTE(Sheet1!V117,", ","#",2))-1),Sheet1!$A$1:$B$40,2,FALSE),"")</f>
        <v/>
      </c>
      <c r="I71" s="6" t="str">
        <f>IF((LEN(Sheet1!V117)-LEN(SUBSTITUTE(Sheet1!V117,", ","")))/2=3,VLOOKUP(LEFT(Sheet1!V117,FIND(", ",Sheet1!V117)-1),Sheet1!$A$1:$B$40,2,FALSE)&amp;","&amp;VLOOKUP(MID(Sheet1!V117,FIND("#",SUBSTITUTE(Sheet1!V117,", ","#",1))+2,FIND("#",SUBSTITUTE(Sheet1!V117,", ","#",2))-(FIND("#",SUBSTITUTE(Sheet1!V117,", ","#",1))+2)),Sheet1!$A$1:$B$40,2,FALSE)&amp;","&amp;VLOOKUP(MID(Sheet1!V117,FIND("#",SUBSTITUTE(Sheet1!V117,", ","#",2))+2,FIND("#",SUBSTITUTE(Sheet1!V117,", ","#",3))-(FIND("#",SUBSTITUTE(Sheet1!V117,", ","#",2))+2)),Sheet1!$A$1:$B$40,2,FALSE)&amp;","&amp;VLOOKUP(RIGHT(Sheet1!V117,LEN(Sheet1!V117)-FIND("#",SUBSTITUTE(Sheet1!V117,", ","#",3))-1),Sheet1!$A$1:$B$40,2,FALSE),"")</f>
        <v/>
      </c>
      <c r="J71" s="6" t="str">
        <f>IF((LEN(Sheet1!V117)-LEN(SUBSTITUTE(Sheet1!V117,", ","")))/2=4,VLOOKUP(LEFT(Sheet1!V117,FIND(", ",Sheet1!V117)-1),Sheet1!$A$1:$B$40,2,FALSE)&amp;","&amp;VLOOKUP(MID(Sheet1!V117,FIND("#",SUBSTITUTE(Sheet1!V117,", ","#",1))+2,FIND("#",SUBSTITUTE(Sheet1!V117,", ","#",2))-(FIND("#",SUBSTITUTE(Sheet1!V117,", ","#",1))+2)),Sheet1!$A$1:$B$40,2,FALSE)&amp;","&amp;VLOOKUP(MID(Sheet1!V117,FIND("#",SUBSTITUTE(Sheet1!V117,", ","#",2))+2,FIND("#",SUBSTITUTE(Sheet1!V117,", ","#",3))-(FIND("#",SUBSTITUTE(Sheet1!V117,", ","#",2))+2)),Sheet1!$A$1:$B$40,2,FALSE)&amp;","&amp;VLOOKUP(MID(Sheet1!V117,FIND("#",SUBSTITUTE(Sheet1!V117,", ","#",3))+2,FIND("#",SUBSTITUTE(Sheet1!V117,", ","#",4))-(FIND("#",SUBSTITUTE(Sheet1!V117,", ","#",3))+2)),Sheet1!$A$1:$B$40,2,FALSE)&amp;","&amp;VLOOKUP(RIGHT(Sheet1!V117,LEN(Sheet1!V117)-FIND("#",SUBSTITUTE(Sheet1!V117,", ","#",4))-1),Sheet1!$A$1:$B$40,2,FALSE),"")</f>
        <v/>
      </c>
      <c r="K71" s="6" t="str">
        <f t="shared" si="10"/>
        <v/>
      </c>
      <c r="L71" s="6" t="str">
        <f>IFERROR(IF((LEN(Sheet1!AA117)-LEN(SUBSTITUTE(Sheet1!AA117,", ","")))/2=0,VLOOKUP(Sheet1!AA117,Sheet1!$A$1:$B$40,2,FALSE),""),"")</f>
        <v/>
      </c>
      <c r="M71" s="6" t="str">
        <f>IFERROR(IF((LEN(Sheet1!AA117)-LEN(SUBSTITUTE(Sheet1!AA117,", ","")))/2=1,VLOOKUP(LEFT(Sheet1!AA117,FIND(", ",Sheet1!AA117)-1),Sheet1!$A$1:$B$40,2,FALSE)&amp;","&amp;VLOOKUP(RIGHT(Sheet1!AA117,LEN(Sheet1!AA117)-FIND(", ",Sheet1!AA117)-1),Sheet1!$A$1:$B$40,2,FALSE),""),"")</f>
        <v/>
      </c>
      <c r="N71" s="6" t="str">
        <f t="shared" si="8"/>
        <v/>
      </c>
    </row>
    <row r="72" spans="1:14">
      <c r="A72" s="5" t="str">
        <f>IFERROR(IF((LEN(Sheet1!N118)-LEN(SUBSTITUTE(Sheet1!N118,", ","")))/2=0,VLOOKUP(Sheet1!N118,Sheet1!$A$1:$B$40,2,FALSE),""),"")</f>
        <v/>
      </c>
      <c r="B72" s="6" t="str">
        <f>IFERROR(IF((LEN(Sheet1!N118)-LEN(SUBSTITUTE(Sheet1!N118,", ","")))/2=1,VLOOKUP(LEFT(Sheet1!N118,FIND(", ",Sheet1!N118)-1),Sheet1!$A$1:$B$40,2,FALSE)&amp;","&amp;VLOOKUP(RIGHT(Sheet1!N118,LEN(Sheet1!N118)-FIND(", ",Sheet1!N118)-1),Sheet1!$A$1:$B$40,2,FALSE),""),"")</f>
        <v/>
      </c>
      <c r="C72" s="6" t="str">
        <f>IF((LEN(Sheet1!N118)-LEN(SUBSTITUTE(Sheet1!N118,", ","")))/2=2,VLOOKUP(LEFT(Sheet1!N118,FIND(", ",Sheet1!N118)-1),Sheet1!$A$1:$B$40,2,FALSE)&amp;","&amp;VLOOKUP(MID(Sheet1!N118,FIND("#",SUBSTITUTE(Sheet1!N118,", ","#",1))+2,FIND("#",SUBSTITUTE(Sheet1!N118,", ","#",2))-(FIND("#",SUBSTITUTE(Sheet1!N118,", ","#",1))+2)),Sheet1!$A$1:$B$40,2,FALSE)&amp;","&amp;VLOOKUP(RIGHT(Sheet1!N118,LEN(Sheet1!N118)-FIND("#",SUBSTITUTE(Sheet1!N118,", ","#",2))-1),Sheet1!$A$1:$B$40,2,FALSE),"")</f>
        <v/>
      </c>
      <c r="D72" s="6" t="str">
        <f>IF((LEN(Sheet1!N118)-LEN(SUBSTITUTE(Sheet1!N118,", ","")))/2=3,VLOOKUP(LEFT(Sheet1!N118,FIND(", ",Sheet1!N118)-1),Sheet1!$A$1:$B$40,2,FALSE)&amp;","&amp;VLOOKUP(MID(Sheet1!N118,FIND("#",SUBSTITUTE(Sheet1!N118,", ","#",1))+2,FIND("#",SUBSTITUTE(Sheet1!N118,", ","#",2))-(FIND("#",SUBSTITUTE(Sheet1!N118,", ","#",1))+2)),Sheet1!$A$1:$B$40,2,FALSE)&amp;","&amp;VLOOKUP(MID(Sheet1!N118,FIND("#",SUBSTITUTE(Sheet1!N118,", ","#",2))+2,FIND("#",SUBSTITUTE(Sheet1!N118,", ","#",3))-(FIND("#",SUBSTITUTE(Sheet1!N118,", ","#",2))+2)),Sheet1!$A$1:$B$40,2,FALSE)&amp;","&amp;VLOOKUP(RIGHT(Sheet1!N118,LEN(Sheet1!N118)-FIND("#",SUBSTITUTE(Sheet1!N118,", ","#",3))-1),Sheet1!$A$1:$B$40,2,FALSE),"")</f>
        <v/>
      </c>
      <c r="E72" s="6" t="str">
        <f t="shared" si="9"/>
        <v/>
      </c>
      <c r="F72" s="6" t="str">
        <f>IFERROR(IF((LEN(Sheet1!V118)-LEN(SUBSTITUTE(Sheet1!V118,", ","")))/2=0,VLOOKUP(Sheet1!V118,Sheet1!$A$1:$B$40,2,FALSE),""),"")</f>
        <v/>
      </c>
      <c r="G72" s="6" t="str">
        <f>IFERROR(IF((LEN(Sheet1!V118)-LEN(SUBSTITUTE(Sheet1!V118,", ","")))/2=1,VLOOKUP(LEFT(Sheet1!V118,FIND(", ",Sheet1!V118)-1),Sheet1!$A$1:$B$40,2,FALSE)&amp;","&amp;VLOOKUP(RIGHT(Sheet1!V118,LEN(Sheet1!V118)-FIND(", ",Sheet1!V118)-1),Sheet1!$A$1:$B$40,2,FALSE),""),"")</f>
        <v/>
      </c>
      <c r="H72" s="6" t="str">
        <f>IF((LEN(Sheet1!V118)-LEN(SUBSTITUTE(Sheet1!V118,", ","")))/2=2,VLOOKUP(LEFT(Sheet1!V118,FIND(", ",Sheet1!V118)-1),Sheet1!$A$1:$B$40,2,FALSE)&amp;","&amp;VLOOKUP(MID(Sheet1!V118,FIND("#",SUBSTITUTE(Sheet1!V118,", ","#",1))+2,FIND("#",SUBSTITUTE(Sheet1!V118,", ","#",2))-(FIND("#",SUBSTITUTE(Sheet1!V118,", ","#",1))+2)),Sheet1!$A$1:$B$40,2,FALSE)&amp;","&amp;VLOOKUP(RIGHT(Sheet1!V118,LEN(Sheet1!V118)-FIND("#",SUBSTITUTE(Sheet1!V118,", ","#",2))-1),Sheet1!$A$1:$B$40,2,FALSE),"")</f>
        <v/>
      </c>
      <c r="I72" s="6" t="str">
        <f>IF((LEN(Sheet1!V118)-LEN(SUBSTITUTE(Sheet1!V118,", ","")))/2=3,VLOOKUP(LEFT(Sheet1!V118,FIND(", ",Sheet1!V118)-1),Sheet1!$A$1:$B$40,2,FALSE)&amp;","&amp;VLOOKUP(MID(Sheet1!V118,FIND("#",SUBSTITUTE(Sheet1!V118,", ","#",1))+2,FIND("#",SUBSTITUTE(Sheet1!V118,", ","#",2))-(FIND("#",SUBSTITUTE(Sheet1!V118,", ","#",1))+2)),Sheet1!$A$1:$B$40,2,FALSE)&amp;","&amp;VLOOKUP(MID(Sheet1!V118,FIND("#",SUBSTITUTE(Sheet1!V118,", ","#",2))+2,FIND("#",SUBSTITUTE(Sheet1!V118,", ","#",3))-(FIND("#",SUBSTITUTE(Sheet1!V118,", ","#",2))+2)),Sheet1!$A$1:$B$40,2,FALSE)&amp;","&amp;VLOOKUP(RIGHT(Sheet1!V118,LEN(Sheet1!V118)-FIND("#",SUBSTITUTE(Sheet1!V118,", ","#",3))-1),Sheet1!$A$1:$B$40,2,FALSE),"")</f>
        <v/>
      </c>
      <c r="J72" s="6" t="str">
        <f>IF((LEN(Sheet1!V118)-LEN(SUBSTITUTE(Sheet1!V118,", ","")))/2=4,VLOOKUP(LEFT(Sheet1!V118,FIND(", ",Sheet1!V118)-1),Sheet1!$A$1:$B$40,2,FALSE)&amp;","&amp;VLOOKUP(MID(Sheet1!V118,FIND("#",SUBSTITUTE(Sheet1!V118,", ","#",1))+2,FIND("#",SUBSTITUTE(Sheet1!V118,", ","#",2))-(FIND("#",SUBSTITUTE(Sheet1!V118,", ","#",1))+2)),Sheet1!$A$1:$B$40,2,FALSE)&amp;","&amp;VLOOKUP(MID(Sheet1!V118,FIND("#",SUBSTITUTE(Sheet1!V118,", ","#",2))+2,FIND("#",SUBSTITUTE(Sheet1!V118,", ","#",3))-(FIND("#",SUBSTITUTE(Sheet1!V118,", ","#",2))+2)),Sheet1!$A$1:$B$40,2,FALSE)&amp;","&amp;VLOOKUP(MID(Sheet1!V118,FIND("#",SUBSTITUTE(Sheet1!V118,", ","#",3))+2,FIND("#",SUBSTITUTE(Sheet1!V118,", ","#",4))-(FIND("#",SUBSTITUTE(Sheet1!V118,", ","#",3))+2)),Sheet1!$A$1:$B$40,2,FALSE)&amp;","&amp;VLOOKUP(RIGHT(Sheet1!V118,LEN(Sheet1!V118)-FIND("#",SUBSTITUTE(Sheet1!V118,", ","#",4))-1),Sheet1!$A$1:$B$40,2,FALSE),"")</f>
        <v/>
      </c>
      <c r="K72" s="6" t="str">
        <f t="shared" si="10"/>
        <v/>
      </c>
      <c r="L72" s="6" t="str">
        <f>IFERROR(IF((LEN(Sheet1!AA118)-LEN(SUBSTITUTE(Sheet1!AA118,", ","")))/2=0,VLOOKUP(Sheet1!AA118,Sheet1!$A$1:$B$40,2,FALSE),""),"")</f>
        <v/>
      </c>
      <c r="M72" s="6" t="str">
        <f>IFERROR(IF((LEN(Sheet1!AA118)-LEN(SUBSTITUTE(Sheet1!AA118,", ","")))/2=1,VLOOKUP(LEFT(Sheet1!AA118,FIND(", ",Sheet1!AA118)-1),Sheet1!$A$1:$B$40,2,FALSE)&amp;","&amp;VLOOKUP(RIGHT(Sheet1!AA118,LEN(Sheet1!AA118)-FIND(", ",Sheet1!AA118)-1),Sheet1!$A$1:$B$40,2,FALSE),""),"")</f>
        <v/>
      </c>
      <c r="N72" s="6" t="str">
        <f t="shared" si="8"/>
        <v/>
      </c>
    </row>
    <row r="73" spans="1:14">
      <c r="A73" s="5" t="str">
        <f>IFERROR(IF((LEN(Sheet1!N119)-LEN(SUBSTITUTE(Sheet1!N119,", ","")))/2=0,VLOOKUP(Sheet1!N119,Sheet1!$A$1:$B$40,2,FALSE),""),"")</f>
        <v/>
      </c>
      <c r="B73" s="6" t="str">
        <f>IFERROR(IF((LEN(Sheet1!N119)-LEN(SUBSTITUTE(Sheet1!N119,", ","")))/2=1,VLOOKUP(LEFT(Sheet1!N119,FIND(", ",Sheet1!N119)-1),Sheet1!$A$1:$B$40,2,FALSE)&amp;","&amp;VLOOKUP(RIGHT(Sheet1!N119,LEN(Sheet1!N119)-FIND(", ",Sheet1!N119)-1),Sheet1!$A$1:$B$40,2,FALSE),""),"")</f>
        <v/>
      </c>
      <c r="C73" s="6" t="str">
        <f>IF((LEN(Sheet1!N119)-LEN(SUBSTITUTE(Sheet1!N119,", ","")))/2=2,VLOOKUP(LEFT(Sheet1!N119,FIND(", ",Sheet1!N119)-1),Sheet1!$A$1:$B$40,2,FALSE)&amp;","&amp;VLOOKUP(MID(Sheet1!N119,FIND("#",SUBSTITUTE(Sheet1!N119,", ","#",1))+2,FIND("#",SUBSTITUTE(Sheet1!N119,", ","#",2))-(FIND("#",SUBSTITUTE(Sheet1!N119,", ","#",1))+2)),Sheet1!$A$1:$B$40,2,FALSE)&amp;","&amp;VLOOKUP(RIGHT(Sheet1!N119,LEN(Sheet1!N119)-FIND("#",SUBSTITUTE(Sheet1!N119,", ","#",2))-1),Sheet1!$A$1:$B$40,2,FALSE),"")</f>
        <v/>
      </c>
      <c r="D73" s="6" t="str">
        <f>IF((LEN(Sheet1!N119)-LEN(SUBSTITUTE(Sheet1!N119,", ","")))/2=3,VLOOKUP(LEFT(Sheet1!N119,FIND(", ",Sheet1!N119)-1),Sheet1!$A$1:$B$40,2,FALSE)&amp;","&amp;VLOOKUP(MID(Sheet1!N119,FIND("#",SUBSTITUTE(Sheet1!N119,", ","#",1))+2,FIND("#",SUBSTITUTE(Sheet1!N119,", ","#",2))-(FIND("#",SUBSTITUTE(Sheet1!N119,", ","#",1))+2)),Sheet1!$A$1:$B$40,2,FALSE)&amp;","&amp;VLOOKUP(MID(Sheet1!N119,FIND("#",SUBSTITUTE(Sheet1!N119,", ","#",2))+2,FIND("#",SUBSTITUTE(Sheet1!N119,", ","#",3))-(FIND("#",SUBSTITUTE(Sheet1!N119,", ","#",2))+2)),Sheet1!$A$1:$B$40,2,FALSE)&amp;","&amp;VLOOKUP(RIGHT(Sheet1!N119,LEN(Sheet1!N119)-FIND("#",SUBSTITUTE(Sheet1!N119,", ","#",3))-1),Sheet1!$A$1:$B$40,2,FALSE),"")</f>
        <v/>
      </c>
      <c r="E73" s="6" t="str">
        <f t="shared" si="9"/>
        <v/>
      </c>
      <c r="F73" s="6" t="str">
        <f>IFERROR(IF((LEN(Sheet1!V119)-LEN(SUBSTITUTE(Sheet1!V119,", ","")))/2=0,VLOOKUP(Sheet1!V119,Sheet1!$A$1:$B$40,2,FALSE),""),"")</f>
        <v/>
      </c>
      <c r="G73" s="6" t="str">
        <f>IFERROR(IF((LEN(Sheet1!V119)-LEN(SUBSTITUTE(Sheet1!V119,", ","")))/2=1,VLOOKUP(LEFT(Sheet1!V119,FIND(", ",Sheet1!V119)-1),Sheet1!$A$1:$B$40,2,FALSE)&amp;","&amp;VLOOKUP(RIGHT(Sheet1!V119,LEN(Sheet1!V119)-FIND(", ",Sheet1!V119)-1),Sheet1!$A$1:$B$40,2,FALSE),""),"")</f>
        <v/>
      </c>
      <c r="H73" s="6" t="str">
        <f>IF((LEN(Sheet1!V119)-LEN(SUBSTITUTE(Sheet1!V119,", ","")))/2=2,VLOOKUP(LEFT(Sheet1!V119,FIND(", ",Sheet1!V119)-1),Sheet1!$A$1:$B$40,2,FALSE)&amp;","&amp;VLOOKUP(MID(Sheet1!V119,FIND("#",SUBSTITUTE(Sheet1!V119,", ","#",1))+2,FIND("#",SUBSTITUTE(Sheet1!V119,", ","#",2))-(FIND("#",SUBSTITUTE(Sheet1!V119,", ","#",1))+2)),Sheet1!$A$1:$B$40,2,FALSE)&amp;","&amp;VLOOKUP(RIGHT(Sheet1!V119,LEN(Sheet1!V119)-FIND("#",SUBSTITUTE(Sheet1!V119,", ","#",2))-1),Sheet1!$A$1:$B$40,2,FALSE),"")</f>
        <v/>
      </c>
      <c r="I73" s="6" t="str">
        <f>IF((LEN(Sheet1!V119)-LEN(SUBSTITUTE(Sheet1!V119,", ","")))/2=3,VLOOKUP(LEFT(Sheet1!V119,FIND(", ",Sheet1!V119)-1),Sheet1!$A$1:$B$40,2,FALSE)&amp;","&amp;VLOOKUP(MID(Sheet1!V119,FIND("#",SUBSTITUTE(Sheet1!V119,", ","#",1))+2,FIND("#",SUBSTITUTE(Sheet1!V119,", ","#",2))-(FIND("#",SUBSTITUTE(Sheet1!V119,", ","#",1))+2)),Sheet1!$A$1:$B$40,2,FALSE)&amp;","&amp;VLOOKUP(MID(Sheet1!V119,FIND("#",SUBSTITUTE(Sheet1!V119,", ","#",2))+2,FIND("#",SUBSTITUTE(Sheet1!V119,", ","#",3))-(FIND("#",SUBSTITUTE(Sheet1!V119,", ","#",2))+2)),Sheet1!$A$1:$B$40,2,FALSE)&amp;","&amp;VLOOKUP(RIGHT(Sheet1!V119,LEN(Sheet1!V119)-FIND("#",SUBSTITUTE(Sheet1!V119,", ","#",3))-1),Sheet1!$A$1:$B$40,2,FALSE),"")</f>
        <v/>
      </c>
      <c r="J73" s="6" t="str">
        <f>IF((LEN(Sheet1!V119)-LEN(SUBSTITUTE(Sheet1!V119,", ","")))/2=4,VLOOKUP(LEFT(Sheet1!V119,FIND(", ",Sheet1!V119)-1),Sheet1!$A$1:$B$40,2,FALSE)&amp;","&amp;VLOOKUP(MID(Sheet1!V119,FIND("#",SUBSTITUTE(Sheet1!V119,", ","#",1))+2,FIND("#",SUBSTITUTE(Sheet1!V119,", ","#",2))-(FIND("#",SUBSTITUTE(Sheet1!V119,", ","#",1))+2)),Sheet1!$A$1:$B$40,2,FALSE)&amp;","&amp;VLOOKUP(MID(Sheet1!V119,FIND("#",SUBSTITUTE(Sheet1!V119,", ","#",2))+2,FIND("#",SUBSTITUTE(Sheet1!V119,", ","#",3))-(FIND("#",SUBSTITUTE(Sheet1!V119,", ","#",2))+2)),Sheet1!$A$1:$B$40,2,FALSE)&amp;","&amp;VLOOKUP(MID(Sheet1!V119,FIND("#",SUBSTITUTE(Sheet1!V119,", ","#",3))+2,FIND("#",SUBSTITUTE(Sheet1!V119,", ","#",4))-(FIND("#",SUBSTITUTE(Sheet1!V119,", ","#",3))+2)),Sheet1!$A$1:$B$40,2,FALSE)&amp;","&amp;VLOOKUP(RIGHT(Sheet1!V119,LEN(Sheet1!V119)-FIND("#",SUBSTITUTE(Sheet1!V119,", ","#",4))-1),Sheet1!$A$1:$B$40,2,FALSE),"")</f>
        <v/>
      </c>
      <c r="K73" s="6" t="str">
        <f t="shared" si="10"/>
        <v/>
      </c>
      <c r="L73" s="6" t="str">
        <f>IFERROR(IF((LEN(Sheet1!AA119)-LEN(SUBSTITUTE(Sheet1!AA119,", ","")))/2=0,VLOOKUP(Sheet1!AA119,Sheet1!$A$1:$B$40,2,FALSE),""),"")</f>
        <v/>
      </c>
      <c r="M73" s="6" t="str">
        <f>IFERROR(IF((LEN(Sheet1!AA119)-LEN(SUBSTITUTE(Sheet1!AA119,", ","")))/2=1,VLOOKUP(LEFT(Sheet1!AA119,FIND(", ",Sheet1!AA119)-1),Sheet1!$A$1:$B$40,2,FALSE)&amp;","&amp;VLOOKUP(RIGHT(Sheet1!AA119,LEN(Sheet1!AA119)-FIND(", ",Sheet1!AA119)-1),Sheet1!$A$1:$B$40,2,FALSE),""),"")</f>
        <v/>
      </c>
      <c r="N73" s="6" t="str">
        <f t="shared" si="8"/>
        <v/>
      </c>
    </row>
    <row r="74" spans="1:14">
      <c r="A74" s="5" t="str">
        <f>IFERROR(IF((LEN(Sheet1!N120)-LEN(SUBSTITUTE(Sheet1!N120,", ","")))/2=0,VLOOKUP(Sheet1!N120,Sheet1!$A$1:$B$40,2,FALSE),""),"")</f>
        <v/>
      </c>
      <c r="B74" s="6" t="str">
        <f>IFERROR(IF((LEN(Sheet1!N120)-LEN(SUBSTITUTE(Sheet1!N120,", ","")))/2=1,VLOOKUP(LEFT(Sheet1!N120,FIND(", ",Sheet1!N120)-1),Sheet1!$A$1:$B$40,2,FALSE)&amp;","&amp;VLOOKUP(RIGHT(Sheet1!N120,LEN(Sheet1!N120)-FIND(", ",Sheet1!N120)-1),Sheet1!$A$1:$B$40,2,FALSE),""),"")</f>
        <v/>
      </c>
      <c r="C74" s="6" t="str">
        <f>IF((LEN(Sheet1!N120)-LEN(SUBSTITUTE(Sheet1!N120,", ","")))/2=2,VLOOKUP(LEFT(Sheet1!N120,FIND(", ",Sheet1!N120)-1),Sheet1!$A$1:$B$40,2,FALSE)&amp;","&amp;VLOOKUP(MID(Sheet1!N120,FIND("#",SUBSTITUTE(Sheet1!N120,", ","#",1))+2,FIND("#",SUBSTITUTE(Sheet1!N120,", ","#",2))-(FIND("#",SUBSTITUTE(Sheet1!N120,", ","#",1))+2)),Sheet1!$A$1:$B$40,2,FALSE)&amp;","&amp;VLOOKUP(RIGHT(Sheet1!N120,LEN(Sheet1!N120)-FIND("#",SUBSTITUTE(Sheet1!N120,", ","#",2))-1),Sheet1!$A$1:$B$40,2,FALSE),"")</f>
        <v/>
      </c>
      <c r="D74" s="6" t="str">
        <f>IF((LEN(Sheet1!N120)-LEN(SUBSTITUTE(Sheet1!N120,", ","")))/2=3,VLOOKUP(LEFT(Sheet1!N120,FIND(", ",Sheet1!N120)-1),Sheet1!$A$1:$B$40,2,FALSE)&amp;","&amp;VLOOKUP(MID(Sheet1!N120,FIND("#",SUBSTITUTE(Sheet1!N120,", ","#",1))+2,FIND("#",SUBSTITUTE(Sheet1!N120,", ","#",2))-(FIND("#",SUBSTITUTE(Sheet1!N120,", ","#",1))+2)),Sheet1!$A$1:$B$40,2,FALSE)&amp;","&amp;VLOOKUP(MID(Sheet1!N120,FIND("#",SUBSTITUTE(Sheet1!N120,", ","#",2))+2,FIND("#",SUBSTITUTE(Sheet1!N120,", ","#",3))-(FIND("#",SUBSTITUTE(Sheet1!N120,", ","#",2))+2)),Sheet1!$A$1:$B$40,2,FALSE)&amp;","&amp;VLOOKUP(RIGHT(Sheet1!N120,LEN(Sheet1!N120)-FIND("#",SUBSTITUTE(Sheet1!N120,", ","#",3))-1),Sheet1!$A$1:$B$40,2,FALSE),"")</f>
        <v/>
      </c>
      <c r="E74" s="6" t="str">
        <f t="shared" si="9"/>
        <v/>
      </c>
      <c r="F74" s="6" t="str">
        <f>IFERROR(IF((LEN(Sheet1!V120)-LEN(SUBSTITUTE(Sheet1!V120,", ","")))/2=0,VLOOKUP(Sheet1!V120,Sheet1!$A$1:$B$40,2,FALSE),""),"")</f>
        <v/>
      </c>
      <c r="G74" s="6" t="str">
        <f>IFERROR(IF((LEN(Sheet1!V120)-LEN(SUBSTITUTE(Sheet1!V120,", ","")))/2=1,VLOOKUP(LEFT(Sheet1!V120,FIND(", ",Sheet1!V120)-1),Sheet1!$A$1:$B$40,2,FALSE)&amp;","&amp;VLOOKUP(RIGHT(Sheet1!V120,LEN(Sheet1!V120)-FIND(", ",Sheet1!V120)-1),Sheet1!$A$1:$B$40,2,FALSE),""),"")</f>
        <v/>
      </c>
      <c r="H74" s="6" t="str">
        <f>IF((LEN(Sheet1!V120)-LEN(SUBSTITUTE(Sheet1!V120,", ","")))/2=2,VLOOKUP(LEFT(Sheet1!V120,FIND(", ",Sheet1!V120)-1),Sheet1!$A$1:$B$40,2,FALSE)&amp;","&amp;VLOOKUP(MID(Sheet1!V120,FIND("#",SUBSTITUTE(Sheet1!V120,", ","#",1))+2,FIND("#",SUBSTITUTE(Sheet1!V120,", ","#",2))-(FIND("#",SUBSTITUTE(Sheet1!V120,", ","#",1))+2)),Sheet1!$A$1:$B$40,2,FALSE)&amp;","&amp;VLOOKUP(RIGHT(Sheet1!V120,LEN(Sheet1!V120)-FIND("#",SUBSTITUTE(Sheet1!V120,", ","#",2))-1),Sheet1!$A$1:$B$40,2,FALSE),"")</f>
        <v/>
      </c>
      <c r="I74" s="6" t="str">
        <f>IF((LEN(Sheet1!V120)-LEN(SUBSTITUTE(Sheet1!V120,", ","")))/2=3,VLOOKUP(LEFT(Sheet1!V120,FIND(", ",Sheet1!V120)-1),Sheet1!$A$1:$B$40,2,FALSE)&amp;","&amp;VLOOKUP(MID(Sheet1!V120,FIND("#",SUBSTITUTE(Sheet1!V120,", ","#",1))+2,FIND("#",SUBSTITUTE(Sheet1!V120,", ","#",2))-(FIND("#",SUBSTITUTE(Sheet1!V120,", ","#",1))+2)),Sheet1!$A$1:$B$40,2,FALSE)&amp;","&amp;VLOOKUP(MID(Sheet1!V120,FIND("#",SUBSTITUTE(Sheet1!V120,", ","#",2))+2,FIND("#",SUBSTITUTE(Sheet1!V120,", ","#",3))-(FIND("#",SUBSTITUTE(Sheet1!V120,", ","#",2))+2)),Sheet1!$A$1:$B$40,2,FALSE)&amp;","&amp;VLOOKUP(RIGHT(Sheet1!V120,LEN(Sheet1!V120)-FIND("#",SUBSTITUTE(Sheet1!V120,", ","#",3))-1),Sheet1!$A$1:$B$40,2,FALSE),"")</f>
        <v/>
      </c>
      <c r="J74" s="6" t="str">
        <f>IF((LEN(Sheet1!V120)-LEN(SUBSTITUTE(Sheet1!V120,", ","")))/2=4,VLOOKUP(LEFT(Sheet1!V120,FIND(", ",Sheet1!V120)-1),Sheet1!$A$1:$B$40,2,FALSE)&amp;","&amp;VLOOKUP(MID(Sheet1!V120,FIND("#",SUBSTITUTE(Sheet1!V120,", ","#",1))+2,FIND("#",SUBSTITUTE(Sheet1!V120,", ","#",2))-(FIND("#",SUBSTITUTE(Sheet1!V120,", ","#",1))+2)),Sheet1!$A$1:$B$40,2,FALSE)&amp;","&amp;VLOOKUP(MID(Sheet1!V120,FIND("#",SUBSTITUTE(Sheet1!V120,", ","#",2))+2,FIND("#",SUBSTITUTE(Sheet1!V120,", ","#",3))-(FIND("#",SUBSTITUTE(Sheet1!V120,", ","#",2))+2)),Sheet1!$A$1:$B$40,2,FALSE)&amp;","&amp;VLOOKUP(MID(Sheet1!V120,FIND("#",SUBSTITUTE(Sheet1!V120,", ","#",3))+2,FIND("#",SUBSTITUTE(Sheet1!V120,", ","#",4))-(FIND("#",SUBSTITUTE(Sheet1!V120,", ","#",3))+2)),Sheet1!$A$1:$B$40,2,FALSE)&amp;","&amp;VLOOKUP(RIGHT(Sheet1!V120,LEN(Sheet1!V120)-FIND("#",SUBSTITUTE(Sheet1!V120,", ","#",4))-1),Sheet1!$A$1:$B$40,2,FALSE),"")</f>
        <v/>
      </c>
      <c r="K74" s="6" t="str">
        <f t="shared" si="10"/>
        <v/>
      </c>
      <c r="L74" s="6" t="str">
        <f>IFERROR(IF((LEN(Sheet1!AA120)-LEN(SUBSTITUTE(Sheet1!AA120,", ","")))/2=0,VLOOKUP(Sheet1!AA120,Sheet1!$A$1:$B$40,2,FALSE),""),"")</f>
        <v/>
      </c>
      <c r="M74" s="6" t="str">
        <f>IFERROR(IF((LEN(Sheet1!AA120)-LEN(SUBSTITUTE(Sheet1!AA120,", ","")))/2=1,VLOOKUP(LEFT(Sheet1!AA120,FIND(", ",Sheet1!AA120)-1),Sheet1!$A$1:$B$40,2,FALSE)&amp;","&amp;VLOOKUP(RIGHT(Sheet1!AA120,LEN(Sheet1!AA120)-FIND(", ",Sheet1!AA120)-1),Sheet1!$A$1:$B$40,2,FALSE),""),"")</f>
        <v/>
      </c>
      <c r="N74" s="6" t="str">
        <f t="shared" si="8"/>
        <v/>
      </c>
    </row>
    <row r="75" spans="1:14">
      <c r="A75" s="5" t="str">
        <f>IFERROR(IF((LEN(Sheet1!N121)-LEN(SUBSTITUTE(Sheet1!N121,", ","")))/2=0,VLOOKUP(Sheet1!N121,Sheet1!$A$1:$B$40,2,FALSE),""),"")</f>
        <v/>
      </c>
      <c r="B75" s="6" t="str">
        <f>IFERROR(IF((LEN(Sheet1!N121)-LEN(SUBSTITUTE(Sheet1!N121,", ","")))/2=1,VLOOKUP(LEFT(Sheet1!N121,FIND(", ",Sheet1!N121)-1),Sheet1!$A$1:$B$40,2,FALSE)&amp;","&amp;VLOOKUP(RIGHT(Sheet1!N121,LEN(Sheet1!N121)-FIND(", ",Sheet1!N121)-1),Sheet1!$A$1:$B$40,2,FALSE),""),"")</f>
        <v/>
      </c>
      <c r="C75" s="6" t="str">
        <f>IF((LEN(Sheet1!N121)-LEN(SUBSTITUTE(Sheet1!N121,", ","")))/2=2,VLOOKUP(LEFT(Sheet1!N121,FIND(", ",Sheet1!N121)-1),Sheet1!$A$1:$B$40,2,FALSE)&amp;","&amp;VLOOKUP(MID(Sheet1!N121,FIND("#",SUBSTITUTE(Sheet1!N121,", ","#",1))+2,FIND("#",SUBSTITUTE(Sheet1!N121,", ","#",2))-(FIND("#",SUBSTITUTE(Sheet1!N121,", ","#",1))+2)),Sheet1!$A$1:$B$40,2,FALSE)&amp;","&amp;VLOOKUP(RIGHT(Sheet1!N121,LEN(Sheet1!N121)-FIND("#",SUBSTITUTE(Sheet1!N121,", ","#",2))-1),Sheet1!$A$1:$B$40,2,FALSE),"")</f>
        <v/>
      </c>
      <c r="D75" s="6" t="str">
        <f>IF((LEN(Sheet1!N121)-LEN(SUBSTITUTE(Sheet1!N121,", ","")))/2=3,VLOOKUP(LEFT(Sheet1!N121,FIND(", ",Sheet1!N121)-1),Sheet1!$A$1:$B$40,2,FALSE)&amp;","&amp;VLOOKUP(MID(Sheet1!N121,FIND("#",SUBSTITUTE(Sheet1!N121,", ","#",1))+2,FIND("#",SUBSTITUTE(Sheet1!N121,", ","#",2))-(FIND("#",SUBSTITUTE(Sheet1!N121,", ","#",1))+2)),Sheet1!$A$1:$B$40,2,FALSE)&amp;","&amp;VLOOKUP(MID(Sheet1!N121,FIND("#",SUBSTITUTE(Sheet1!N121,", ","#",2))+2,FIND("#",SUBSTITUTE(Sheet1!N121,", ","#",3))-(FIND("#",SUBSTITUTE(Sheet1!N121,", ","#",2))+2)),Sheet1!$A$1:$B$40,2,FALSE)&amp;","&amp;VLOOKUP(RIGHT(Sheet1!N121,LEN(Sheet1!N121)-FIND("#",SUBSTITUTE(Sheet1!N121,", ","#",3))-1),Sheet1!$A$1:$B$40,2,FALSE),"")</f>
        <v/>
      </c>
      <c r="E75" s="6" t="str">
        <f t="shared" si="9"/>
        <v/>
      </c>
      <c r="F75" s="6" t="str">
        <f>IFERROR(IF((LEN(Sheet1!V121)-LEN(SUBSTITUTE(Sheet1!V121,", ","")))/2=0,VLOOKUP(Sheet1!V121,Sheet1!$A$1:$B$40,2,FALSE),""),"")</f>
        <v/>
      </c>
      <c r="G75" s="6" t="str">
        <f>IFERROR(IF((LEN(Sheet1!V121)-LEN(SUBSTITUTE(Sheet1!V121,", ","")))/2=1,VLOOKUP(LEFT(Sheet1!V121,FIND(", ",Sheet1!V121)-1),Sheet1!$A$1:$B$40,2,FALSE)&amp;","&amp;VLOOKUP(RIGHT(Sheet1!V121,LEN(Sheet1!V121)-FIND(", ",Sheet1!V121)-1),Sheet1!$A$1:$B$40,2,FALSE),""),"")</f>
        <v/>
      </c>
      <c r="H75" s="6" t="str">
        <f>IF((LEN(Sheet1!V121)-LEN(SUBSTITUTE(Sheet1!V121,", ","")))/2=2,VLOOKUP(LEFT(Sheet1!V121,FIND(", ",Sheet1!V121)-1),Sheet1!$A$1:$B$40,2,FALSE)&amp;","&amp;VLOOKUP(MID(Sheet1!V121,FIND("#",SUBSTITUTE(Sheet1!V121,", ","#",1))+2,FIND("#",SUBSTITUTE(Sheet1!V121,", ","#",2))-(FIND("#",SUBSTITUTE(Sheet1!V121,", ","#",1))+2)),Sheet1!$A$1:$B$40,2,FALSE)&amp;","&amp;VLOOKUP(RIGHT(Sheet1!V121,LEN(Sheet1!V121)-FIND("#",SUBSTITUTE(Sheet1!V121,", ","#",2))-1),Sheet1!$A$1:$B$40,2,FALSE),"")</f>
        <v/>
      </c>
      <c r="I75" s="6" t="str">
        <f>IF((LEN(Sheet1!V121)-LEN(SUBSTITUTE(Sheet1!V121,", ","")))/2=3,VLOOKUP(LEFT(Sheet1!V121,FIND(", ",Sheet1!V121)-1),Sheet1!$A$1:$B$40,2,FALSE)&amp;","&amp;VLOOKUP(MID(Sheet1!V121,FIND("#",SUBSTITUTE(Sheet1!V121,", ","#",1))+2,FIND("#",SUBSTITUTE(Sheet1!V121,", ","#",2))-(FIND("#",SUBSTITUTE(Sheet1!V121,", ","#",1))+2)),Sheet1!$A$1:$B$40,2,FALSE)&amp;","&amp;VLOOKUP(MID(Sheet1!V121,FIND("#",SUBSTITUTE(Sheet1!V121,", ","#",2))+2,FIND("#",SUBSTITUTE(Sheet1!V121,", ","#",3))-(FIND("#",SUBSTITUTE(Sheet1!V121,", ","#",2))+2)),Sheet1!$A$1:$B$40,2,FALSE)&amp;","&amp;VLOOKUP(RIGHT(Sheet1!V121,LEN(Sheet1!V121)-FIND("#",SUBSTITUTE(Sheet1!V121,", ","#",3))-1),Sheet1!$A$1:$B$40,2,FALSE),"")</f>
        <v/>
      </c>
      <c r="J75" s="6" t="str">
        <f>IF((LEN(Sheet1!V121)-LEN(SUBSTITUTE(Sheet1!V121,", ","")))/2=4,VLOOKUP(LEFT(Sheet1!V121,FIND(", ",Sheet1!V121)-1),Sheet1!$A$1:$B$40,2,FALSE)&amp;","&amp;VLOOKUP(MID(Sheet1!V121,FIND("#",SUBSTITUTE(Sheet1!V121,", ","#",1))+2,FIND("#",SUBSTITUTE(Sheet1!V121,", ","#",2))-(FIND("#",SUBSTITUTE(Sheet1!V121,", ","#",1))+2)),Sheet1!$A$1:$B$40,2,FALSE)&amp;","&amp;VLOOKUP(MID(Sheet1!V121,FIND("#",SUBSTITUTE(Sheet1!V121,", ","#",2))+2,FIND("#",SUBSTITUTE(Sheet1!V121,", ","#",3))-(FIND("#",SUBSTITUTE(Sheet1!V121,", ","#",2))+2)),Sheet1!$A$1:$B$40,2,FALSE)&amp;","&amp;VLOOKUP(MID(Sheet1!V121,FIND("#",SUBSTITUTE(Sheet1!V121,", ","#",3))+2,FIND("#",SUBSTITUTE(Sheet1!V121,", ","#",4))-(FIND("#",SUBSTITUTE(Sheet1!V121,", ","#",3))+2)),Sheet1!$A$1:$B$40,2,FALSE)&amp;","&amp;VLOOKUP(RIGHT(Sheet1!V121,LEN(Sheet1!V121)-FIND("#",SUBSTITUTE(Sheet1!V121,", ","#",4))-1),Sheet1!$A$1:$B$40,2,FALSE),"")</f>
        <v/>
      </c>
      <c r="K75" s="6" t="str">
        <f t="shared" si="10"/>
        <v/>
      </c>
      <c r="L75" s="6" t="str">
        <f>IFERROR(IF((LEN(Sheet1!AA121)-LEN(SUBSTITUTE(Sheet1!AA121,", ","")))/2=0,VLOOKUP(Sheet1!AA121,Sheet1!$A$1:$B$40,2,FALSE),""),"")</f>
        <v/>
      </c>
      <c r="M75" s="6" t="str">
        <f>IFERROR(IF((LEN(Sheet1!AA121)-LEN(SUBSTITUTE(Sheet1!AA121,", ","")))/2=1,VLOOKUP(LEFT(Sheet1!AA121,FIND(", ",Sheet1!AA121)-1),Sheet1!$A$1:$B$40,2,FALSE)&amp;","&amp;VLOOKUP(RIGHT(Sheet1!AA121,LEN(Sheet1!AA121)-FIND(", ",Sheet1!AA121)-1),Sheet1!$A$1:$B$40,2,FALSE),""),"")</f>
        <v/>
      </c>
      <c r="N75" s="6" t="str">
        <f t="shared" si="8"/>
        <v/>
      </c>
    </row>
    <row r="76" spans="1:14">
      <c r="A76" s="5" t="str">
        <f>IFERROR(IF((LEN(Sheet1!N122)-LEN(SUBSTITUTE(Sheet1!N122,", ","")))/2=0,VLOOKUP(Sheet1!N122,Sheet1!$A$1:$B$40,2,FALSE),""),"")</f>
        <v/>
      </c>
      <c r="B76" s="6" t="str">
        <f>IFERROR(IF((LEN(Sheet1!N122)-LEN(SUBSTITUTE(Sheet1!N122,", ","")))/2=1,VLOOKUP(LEFT(Sheet1!N122,FIND(", ",Sheet1!N122)-1),Sheet1!$A$1:$B$40,2,FALSE)&amp;","&amp;VLOOKUP(RIGHT(Sheet1!N122,LEN(Sheet1!N122)-FIND(", ",Sheet1!N122)-1),Sheet1!$A$1:$B$40,2,FALSE),""),"")</f>
        <v/>
      </c>
      <c r="C76" s="6" t="str">
        <f>IF((LEN(Sheet1!N122)-LEN(SUBSTITUTE(Sheet1!N122,", ","")))/2=2,VLOOKUP(LEFT(Sheet1!N122,FIND(", ",Sheet1!N122)-1),Sheet1!$A$1:$B$40,2,FALSE)&amp;","&amp;VLOOKUP(MID(Sheet1!N122,FIND("#",SUBSTITUTE(Sheet1!N122,", ","#",1))+2,FIND("#",SUBSTITUTE(Sheet1!N122,", ","#",2))-(FIND("#",SUBSTITUTE(Sheet1!N122,", ","#",1))+2)),Sheet1!$A$1:$B$40,2,FALSE)&amp;","&amp;VLOOKUP(RIGHT(Sheet1!N122,LEN(Sheet1!N122)-FIND("#",SUBSTITUTE(Sheet1!N122,", ","#",2))-1),Sheet1!$A$1:$B$40,2,FALSE),"")</f>
        <v/>
      </c>
      <c r="D76" s="6" t="str">
        <f>IF((LEN(Sheet1!N122)-LEN(SUBSTITUTE(Sheet1!N122,", ","")))/2=3,VLOOKUP(LEFT(Sheet1!N122,FIND(", ",Sheet1!N122)-1),Sheet1!$A$1:$B$40,2,FALSE)&amp;","&amp;VLOOKUP(MID(Sheet1!N122,FIND("#",SUBSTITUTE(Sheet1!N122,", ","#",1))+2,FIND("#",SUBSTITUTE(Sheet1!N122,", ","#",2))-(FIND("#",SUBSTITUTE(Sheet1!N122,", ","#",1))+2)),Sheet1!$A$1:$B$40,2,FALSE)&amp;","&amp;VLOOKUP(MID(Sheet1!N122,FIND("#",SUBSTITUTE(Sheet1!N122,", ","#",2))+2,FIND("#",SUBSTITUTE(Sheet1!N122,", ","#",3))-(FIND("#",SUBSTITUTE(Sheet1!N122,", ","#",2))+2)),Sheet1!$A$1:$B$40,2,FALSE)&amp;","&amp;VLOOKUP(RIGHT(Sheet1!N122,LEN(Sheet1!N122)-FIND("#",SUBSTITUTE(Sheet1!N122,", ","#",3))-1),Sheet1!$A$1:$B$40,2,FALSE),"")</f>
        <v/>
      </c>
      <c r="E76" s="6" t="str">
        <f t="shared" si="9"/>
        <v/>
      </c>
      <c r="F76" s="6" t="str">
        <f>IFERROR(IF((LEN(Sheet1!V122)-LEN(SUBSTITUTE(Sheet1!V122,", ","")))/2=0,VLOOKUP(Sheet1!V122,Sheet1!$A$1:$B$40,2,FALSE),""),"")</f>
        <v/>
      </c>
      <c r="G76" s="6" t="str">
        <f>IFERROR(IF((LEN(Sheet1!V122)-LEN(SUBSTITUTE(Sheet1!V122,", ","")))/2=1,VLOOKUP(LEFT(Sheet1!V122,FIND(", ",Sheet1!V122)-1),Sheet1!$A$1:$B$40,2,FALSE)&amp;","&amp;VLOOKUP(RIGHT(Sheet1!V122,LEN(Sheet1!V122)-FIND(", ",Sheet1!V122)-1),Sheet1!$A$1:$B$40,2,FALSE),""),"")</f>
        <v/>
      </c>
      <c r="H76" s="6" t="str">
        <f>IF((LEN(Sheet1!V122)-LEN(SUBSTITUTE(Sheet1!V122,", ","")))/2=2,VLOOKUP(LEFT(Sheet1!V122,FIND(", ",Sheet1!V122)-1),Sheet1!$A$1:$B$40,2,FALSE)&amp;","&amp;VLOOKUP(MID(Sheet1!V122,FIND("#",SUBSTITUTE(Sheet1!V122,", ","#",1))+2,FIND("#",SUBSTITUTE(Sheet1!V122,", ","#",2))-(FIND("#",SUBSTITUTE(Sheet1!V122,", ","#",1))+2)),Sheet1!$A$1:$B$40,2,FALSE)&amp;","&amp;VLOOKUP(RIGHT(Sheet1!V122,LEN(Sheet1!V122)-FIND("#",SUBSTITUTE(Sheet1!V122,", ","#",2))-1),Sheet1!$A$1:$B$40,2,FALSE),"")</f>
        <v/>
      </c>
      <c r="I76" s="6" t="str">
        <f>IF((LEN(Sheet1!V122)-LEN(SUBSTITUTE(Sheet1!V122,", ","")))/2=3,VLOOKUP(LEFT(Sheet1!V122,FIND(", ",Sheet1!V122)-1),Sheet1!$A$1:$B$40,2,FALSE)&amp;","&amp;VLOOKUP(MID(Sheet1!V122,FIND("#",SUBSTITUTE(Sheet1!V122,", ","#",1))+2,FIND("#",SUBSTITUTE(Sheet1!V122,", ","#",2))-(FIND("#",SUBSTITUTE(Sheet1!V122,", ","#",1))+2)),Sheet1!$A$1:$B$40,2,FALSE)&amp;","&amp;VLOOKUP(MID(Sheet1!V122,FIND("#",SUBSTITUTE(Sheet1!V122,", ","#",2))+2,FIND("#",SUBSTITUTE(Sheet1!V122,", ","#",3))-(FIND("#",SUBSTITUTE(Sheet1!V122,", ","#",2))+2)),Sheet1!$A$1:$B$40,2,FALSE)&amp;","&amp;VLOOKUP(RIGHT(Sheet1!V122,LEN(Sheet1!V122)-FIND("#",SUBSTITUTE(Sheet1!V122,", ","#",3))-1),Sheet1!$A$1:$B$40,2,FALSE),"")</f>
        <v/>
      </c>
      <c r="J76" s="6" t="str">
        <f>IF((LEN(Sheet1!V122)-LEN(SUBSTITUTE(Sheet1!V122,", ","")))/2=4,VLOOKUP(LEFT(Sheet1!V122,FIND(", ",Sheet1!V122)-1),Sheet1!$A$1:$B$40,2,FALSE)&amp;","&amp;VLOOKUP(MID(Sheet1!V122,FIND("#",SUBSTITUTE(Sheet1!V122,", ","#",1))+2,FIND("#",SUBSTITUTE(Sheet1!V122,", ","#",2))-(FIND("#",SUBSTITUTE(Sheet1!V122,", ","#",1))+2)),Sheet1!$A$1:$B$40,2,FALSE)&amp;","&amp;VLOOKUP(MID(Sheet1!V122,FIND("#",SUBSTITUTE(Sheet1!V122,", ","#",2))+2,FIND("#",SUBSTITUTE(Sheet1!V122,", ","#",3))-(FIND("#",SUBSTITUTE(Sheet1!V122,", ","#",2))+2)),Sheet1!$A$1:$B$40,2,FALSE)&amp;","&amp;VLOOKUP(MID(Sheet1!V122,FIND("#",SUBSTITUTE(Sheet1!V122,", ","#",3))+2,FIND("#",SUBSTITUTE(Sheet1!V122,", ","#",4))-(FIND("#",SUBSTITUTE(Sheet1!V122,", ","#",3))+2)),Sheet1!$A$1:$B$40,2,FALSE)&amp;","&amp;VLOOKUP(RIGHT(Sheet1!V122,LEN(Sheet1!V122)-FIND("#",SUBSTITUTE(Sheet1!V122,", ","#",4))-1),Sheet1!$A$1:$B$40,2,FALSE),"")</f>
        <v/>
      </c>
      <c r="K76" s="6" t="str">
        <f t="shared" si="10"/>
        <v/>
      </c>
      <c r="L76" s="6" t="str">
        <f>IFERROR(IF((LEN(Sheet1!AA122)-LEN(SUBSTITUTE(Sheet1!AA122,", ","")))/2=0,VLOOKUP(Sheet1!AA122,Sheet1!$A$1:$B$40,2,FALSE),""),"")</f>
        <v/>
      </c>
      <c r="M76" s="6" t="str">
        <f>IFERROR(IF((LEN(Sheet1!AA122)-LEN(SUBSTITUTE(Sheet1!AA122,", ","")))/2=1,VLOOKUP(LEFT(Sheet1!AA122,FIND(", ",Sheet1!AA122)-1),Sheet1!$A$1:$B$40,2,FALSE)&amp;","&amp;VLOOKUP(RIGHT(Sheet1!AA122,LEN(Sheet1!AA122)-FIND(", ",Sheet1!AA122)-1),Sheet1!$A$1:$B$40,2,FALSE),""),"")</f>
        <v/>
      </c>
      <c r="N76" s="6" t="str">
        <f t="shared" si="8"/>
        <v/>
      </c>
    </row>
    <row r="77" spans="1:14">
      <c r="A77" s="5" t="str">
        <f>IFERROR(IF((LEN(Sheet1!N123)-LEN(SUBSTITUTE(Sheet1!N123,", ","")))/2=0,VLOOKUP(Sheet1!N123,Sheet1!$A$1:$B$40,2,FALSE),""),"")</f>
        <v/>
      </c>
      <c r="B77" s="6" t="str">
        <f>IFERROR(IF((LEN(Sheet1!N123)-LEN(SUBSTITUTE(Sheet1!N123,", ","")))/2=1,VLOOKUP(LEFT(Sheet1!N123,FIND(", ",Sheet1!N123)-1),Sheet1!$A$1:$B$40,2,FALSE)&amp;","&amp;VLOOKUP(RIGHT(Sheet1!N123,LEN(Sheet1!N123)-FIND(", ",Sheet1!N123)-1),Sheet1!$A$1:$B$40,2,FALSE),""),"")</f>
        <v/>
      </c>
      <c r="C77" s="6" t="str">
        <f>IF((LEN(Sheet1!N123)-LEN(SUBSTITUTE(Sheet1!N123,", ","")))/2=2,VLOOKUP(LEFT(Sheet1!N123,FIND(", ",Sheet1!N123)-1),Sheet1!$A$1:$B$40,2,FALSE)&amp;","&amp;VLOOKUP(MID(Sheet1!N123,FIND("#",SUBSTITUTE(Sheet1!N123,", ","#",1))+2,FIND("#",SUBSTITUTE(Sheet1!N123,", ","#",2))-(FIND("#",SUBSTITUTE(Sheet1!N123,", ","#",1))+2)),Sheet1!$A$1:$B$40,2,FALSE)&amp;","&amp;VLOOKUP(RIGHT(Sheet1!N123,LEN(Sheet1!N123)-FIND("#",SUBSTITUTE(Sheet1!N123,", ","#",2))-1),Sheet1!$A$1:$B$40,2,FALSE),"")</f>
        <v/>
      </c>
      <c r="D77" s="6" t="str">
        <f>IF((LEN(Sheet1!N123)-LEN(SUBSTITUTE(Sheet1!N123,", ","")))/2=3,VLOOKUP(LEFT(Sheet1!N123,FIND(", ",Sheet1!N123)-1),Sheet1!$A$1:$B$40,2,FALSE)&amp;","&amp;VLOOKUP(MID(Sheet1!N123,FIND("#",SUBSTITUTE(Sheet1!N123,", ","#",1))+2,FIND("#",SUBSTITUTE(Sheet1!N123,", ","#",2))-(FIND("#",SUBSTITUTE(Sheet1!N123,", ","#",1))+2)),Sheet1!$A$1:$B$40,2,FALSE)&amp;","&amp;VLOOKUP(MID(Sheet1!N123,FIND("#",SUBSTITUTE(Sheet1!N123,", ","#",2))+2,FIND("#",SUBSTITUTE(Sheet1!N123,", ","#",3))-(FIND("#",SUBSTITUTE(Sheet1!N123,", ","#",2))+2)),Sheet1!$A$1:$B$40,2,FALSE)&amp;","&amp;VLOOKUP(RIGHT(Sheet1!N123,LEN(Sheet1!N123)-FIND("#",SUBSTITUTE(Sheet1!N123,", ","#",3))-1),Sheet1!$A$1:$B$40,2,FALSE),"")</f>
        <v/>
      </c>
      <c r="E77" s="6" t="str">
        <f t="shared" si="9"/>
        <v/>
      </c>
      <c r="F77" s="6" t="str">
        <f>IFERROR(IF((LEN(Sheet1!V123)-LEN(SUBSTITUTE(Sheet1!V123,", ","")))/2=0,VLOOKUP(Sheet1!V123,Sheet1!$A$1:$B$40,2,FALSE),""),"")</f>
        <v/>
      </c>
      <c r="G77" s="6" t="str">
        <f>IFERROR(IF((LEN(Sheet1!V123)-LEN(SUBSTITUTE(Sheet1!V123,", ","")))/2=1,VLOOKUP(LEFT(Sheet1!V123,FIND(", ",Sheet1!V123)-1),Sheet1!$A$1:$B$40,2,FALSE)&amp;","&amp;VLOOKUP(RIGHT(Sheet1!V123,LEN(Sheet1!V123)-FIND(", ",Sheet1!V123)-1),Sheet1!$A$1:$B$40,2,FALSE),""),"")</f>
        <v/>
      </c>
      <c r="H77" s="6" t="str">
        <f>IF((LEN(Sheet1!V123)-LEN(SUBSTITUTE(Sheet1!V123,", ","")))/2=2,VLOOKUP(LEFT(Sheet1!V123,FIND(", ",Sheet1!V123)-1),Sheet1!$A$1:$B$40,2,FALSE)&amp;","&amp;VLOOKUP(MID(Sheet1!V123,FIND("#",SUBSTITUTE(Sheet1!V123,", ","#",1))+2,FIND("#",SUBSTITUTE(Sheet1!V123,", ","#",2))-(FIND("#",SUBSTITUTE(Sheet1!V123,", ","#",1))+2)),Sheet1!$A$1:$B$40,2,FALSE)&amp;","&amp;VLOOKUP(RIGHT(Sheet1!V123,LEN(Sheet1!V123)-FIND("#",SUBSTITUTE(Sheet1!V123,", ","#",2))-1),Sheet1!$A$1:$B$40,2,FALSE),"")</f>
        <v/>
      </c>
      <c r="I77" s="6" t="str">
        <f>IF((LEN(Sheet1!V123)-LEN(SUBSTITUTE(Sheet1!V123,", ","")))/2=3,VLOOKUP(LEFT(Sheet1!V123,FIND(", ",Sheet1!V123)-1),Sheet1!$A$1:$B$40,2,FALSE)&amp;","&amp;VLOOKUP(MID(Sheet1!V123,FIND("#",SUBSTITUTE(Sheet1!V123,", ","#",1))+2,FIND("#",SUBSTITUTE(Sheet1!V123,", ","#",2))-(FIND("#",SUBSTITUTE(Sheet1!V123,", ","#",1))+2)),Sheet1!$A$1:$B$40,2,FALSE)&amp;","&amp;VLOOKUP(MID(Sheet1!V123,FIND("#",SUBSTITUTE(Sheet1!V123,", ","#",2))+2,FIND("#",SUBSTITUTE(Sheet1!V123,", ","#",3))-(FIND("#",SUBSTITUTE(Sheet1!V123,", ","#",2))+2)),Sheet1!$A$1:$B$40,2,FALSE)&amp;","&amp;VLOOKUP(RIGHT(Sheet1!V123,LEN(Sheet1!V123)-FIND("#",SUBSTITUTE(Sheet1!V123,", ","#",3))-1),Sheet1!$A$1:$B$40,2,FALSE),"")</f>
        <v/>
      </c>
      <c r="J77" s="6" t="str">
        <f>IF((LEN(Sheet1!V123)-LEN(SUBSTITUTE(Sheet1!V123,", ","")))/2=4,VLOOKUP(LEFT(Sheet1!V123,FIND(", ",Sheet1!V123)-1),Sheet1!$A$1:$B$40,2,FALSE)&amp;","&amp;VLOOKUP(MID(Sheet1!V123,FIND("#",SUBSTITUTE(Sheet1!V123,", ","#",1))+2,FIND("#",SUBSTITUTE(Sheet1!V123,", ","#",2))-(FIND("#",SUBSTITUTE(Sheet1!V123,", ","#",1))+2)),Sheet1!$A$1:$B$40,2,FALSE)&amp;","&amp;VLOOKUP(MID(Sheet1!V123,FIND("#",SUBSTITUTE(Sheet1!V123,", ","#",2))+2,FIND("#",SUBSTITUTE(Sheet1!V123,", ","#",3))-(FIND("#",SUBSTITUTE(Sheet1!V123,", ","#",2))+2)),Sheet1!$A$1:$B$40,2,FALSE)&amp;","&amp;VLOOKUP(MID(Sheet1!V123,FIND("#",SUBSTITUTE(Sheet1!V123,", ","#",3))+2,FIND("#",SUBSTITUTE(Sheet1!V123,", ","#",4))-(FIND("#",SUBSTITUTE(Sheet1!V123,", ","#",3))+2)),Sheet1!$A$1:$B$40,2,FALSE)&amp;","&amp;VLOOKUP(RIGHT(Sheet1!V123,LEN(Sheet1!V123)-FIND("#",SUBSTITUTE(Sheet1!V123,", ","#",4))-1),Sheet1!$A$1:$B$40,2,FALSE),"")</f>
        <v/>
      </c>
      <c r="K77" s="6" t="str">
        <f t="shared" si="10"/>
        <v/>
      </c>
      <c r="L77" s="6" t="str">
        <f>IFERROR(IF((LEN(Sheet1!AA123)-LEN(SUBSTITUTE(Sheet1!AA123,", ","")))/2=0,VLOOKUP(Sheet1!AA123,Sheet1!$A$1:$B$40,2,FALSE),""),"")</f>
        <v/>
      </c>
      <c r="M77" s="6" t="str">
        <f>IFERROR(IF((LEN(Sheet1!AA123)-LEN(SUBSTITUTE(Sheet1!AA123,", ","")))/2=1,VLOOKUP(LEFT(Sheet1!AA123,FIND(", ",Sheet1!AA123)-1),Sheet1!$A$1:$B$40,2,FALSE)&amp;","&amp;VLOOKUP(RIGHT(Sheet1!AA123,LEN(Sheet1!AA123)-FIND(", ",Sheet1!AA123)-1),Sheet1!$A$1:$B$40,2,FALSE),""),"")</f>
        <v/>
      </c>
      <c r="N77" s="6" t="str">
        <f t="shared" si="8"/>
        <v/>
      </c>
    </row>
    <row r="78" spans="1:14">
      <c r="A78" s="5" t="str">
        <f>IFERROR(IF((LEN(Sheet1!N124)-LEN(SUBSTITUTE(Sheet1!N124,", ","")))/2=0,VLOOKUP(Sheet1!N124,Sheet1!$A$1:$B$40,2,FALSE),""),"")</f>
        <v/>
      </c>
      <c r="B78" s="6" t="str">
        <f>IFERROR(IF((LEN(Sheet1!N124)-LEN(SUBSTITUTE(Sheet1!N124,", ","")))/2=1,VLOOKUP(LEFT(Sheet1!N124,FIND(", ",Sheet1!N124)-1),Sheet1!$A$1:$B$40,2,FALSE)&amp;","&amp;VLOOKUP(RIGHT(Sheet1!N124,LEN(Sheet1!N124)-FIND(", ",Sheet1!N124)-1),Sheet1!$A$1:$B$40,2,FALSE),""),"")</f>
        <v/>
      </c>
      <c r="C78" s="6" t="str">
        <f>IF((LEN(Sheet1!N124)-LEN(SUBSTITUTE(Sheet1!N124,", ","")))/2=2,VLOOKUP(LEFT(Sheet1!N124,FIND(", ",Sheet1!N124)-1),Sheet1!$A$1:$B$40,2,FALSE)&amp;","&amp;VLOOKUP(MID(Sheet1!N124,FIND("#",SUBSTITUTE(Sheet1!N124,", ","#",1))+2,FIND("#",SUBSTITUTE(Sheet1!N124,", ","#",2))-(FIND("#",SUBSTITUTE(Sheet1!N124,", ","#",1))+2)),Sheet1!$A$1:$B$40,2,FALSE)&amp;","&amp;VLOOKUP(RIGHT(Sheet1!N124,LEN(Sheet1!N124)-FIND("#",SUBSTITUTE(Sheet1!N124,", ","#",2))-1),Sheet1!$A$1:$B$40,2,FALSE),"")</f>
        <v/>
      </c>
      <c r="D78" s="6" t="str">
        <f>IF((LEN(Sheet1!N124)-LEN(SUBSTITUTE(Sheet1!N124,", ","")))/2=3,VLOOKUP(LEFT(Sheet1!N124,FIND(", ",Sheet1!N124)-1),Sheet1!$A$1:$B$40,2,FALSE)&amp;","&amp;VLOOKUP(MID(Sheet1!N124,FIND("#",SUBSTITUTE(Sheet1!N124,", ","#",1))+2,FIND("#",SUBSTITUTE(Sheet1!N124,", ","#",2))-(FIND("#",SUBSTITUTE(Sheet1!N124,", ","#",1))+2)),Sheet1!$A$1:$B$40,2,FALSE)&amp;","&amp;VLOOKUP(MID(Sheet1!N124,FIND("#",SUBSTITUTE(Sheet1!N124,", ","#",2))+2,FIND("#",SUBSTITUTE(Sheet1!N124,", ","#",3))-(FIND("#",SUBSTITUTE(Sheet1!N124,", ","#",2))+2)),Sheet1!$A$1:$B$40,2,FALSE)&amp;","&amp;VLOOKUP(RIGHT(Sheet1!N124,LEN(Sheet1!N124)-FIND("#",SUBSTITUTE(Sheet1!N124,", ","#",3))-1),Sheet1!$A$1:$B$40,2,FALSE),"")</f>
        <v/>
      </c>
      <c r="E78" s="6" t="str">
        <f t="shared" si="9"/>
        <v/>
      </c>
      <c r="F78" s="6" t="str">
        <f>IFERROR(IF((LEN(Sheet1!V124)-LEN(SUBSTITUTE(Sheet1!V124,", ","")))/2=0,VLOOKUP(Sheet1!V124,Sheet1!$A$1:$B$40,2,FALSE),""),"")</f>
        <v/>
      </c>
      <c r="G78" s="6" t="str">
        <f>IFERROR(IF((LEN(Sheet1!V124)-LEN(SUBSTITUTE(Sheet1!V124,", ","")))/2=1,VLOOKUP(LEFT(Sheet1!V124,FIND(", ",Sheet1!V124)-1),Sheet1!$A$1:$B$40,2,FALSE)&amp;","&amp;VLOOKUP(RIGHT(Sheet1!V124,LEN(Sheet1!V124)-FIND(", ",Sheet1!V124)-1),Sheet1!$A$1:$B$40,2,FALSE),""),"")</f>
        <v/>
      </c>
      <c r="H78" s="6" t="str">
        <f>IF((LEN(Sheet1!V124)-LEN(SUBSTITUTE(Sheet1!V124,", ","")))/2=2,VLOOKUP(LEFT(Sheet1!V124,FIND(", ",Sheet1!V124)-1),Sheet1!$A$1:$B$40,2,FALSE)&amp;","&amp;VLOOKUP(MID(Sheet1!V124,FIND("#",SUBSTITUTE(Sheet1!V124,", ","#",1))+2,FIND("#",SUBSTITUTE(Sheet1!V124,", ","#",2))-(FIND("#",SUBSTITUTE(Sheet1!V124,", ","#",1))+2)),Sheet1!$A$1:$B$40,2,FALSE)&amp;","&amp;VLOOKUP(RIGHT(Sheet1!V124,LEN(Sheet1!V124)-FIND("#",SUBSTITUTE(Sheet1!V124,", ","#",2))-1),Sheet1!$A$1:$B$40,2,FALSE),"")</f>
        <v/>
      </c>
      <c r="I78" s="6" t="str">
        <f>IF((LEN(Sheet1!V124)-LEN(SUBSTITUTE(Sheet1!V124,", ","")))/2=3,VLOOKUP(LEFT(Sheet1!V124,FIND(", ",Sheet1!V124)-1),Sheet1!$A$1:$B$40,2,FALSE)&amp;","&amp;VLOOKUP(MID(Sheet1!V124,FIND("#",SUBSTITUTE(Sheet1!V124,", ","#",1))+2,FIND("#",SUBSTITUTE(Sheet1!V124,", ","#",2))-(FIND("#",SUBSTITUTE(Sheet1!V124,", ","#",1))+2)),Sheet1!$A$1:$B$40,2,FALSE)&amp;","&amp;VLOOKUP(MID(Sheet1!V124,FIND("#",SUBSTITUTE(Sheet1!V124,", ","#",2))+2,FIND("#",SUBSTITUTE(Sheet1!V124,", ","#",3))-(FIND("#",SUBSTITUTE(Sheet1!V124,", ","#",2))+2)),Sheet1!$A$1:$B$40,2,FALSE)&amp;","&amp;VLOOKUP(RIGHT(Sheet1!V124,LEN(Sheet1!V124)-FIND("#",SUBSTITUTE(Sheet1!V124,", ","#",3))-1),Sheet1!$A$1:$B$40,2,FALSE),"")</f>
        <v/>
      </c>
      <c r="J78" s="6" t="str">
        <f>IF((LEN(Sheet1!V124)-LEN(SUBSTITUTE(Sheet1!V124,", ","")))/2=4,VLOOKUP(LEFT(Sheet1!V124,FIND(", ",Sheet1!V124)-1),Sheet1!$A$1:$B$40,2,FALSE)&amp;","&amp;VLOOKUP(MID(Sheet1!V124,FIND("#",SUBSTITUTE(Sheet1!V124,", ","#",1))+2,FIND("#",SUBSTITUTE(Sheet1!V124,", ","#",2))-(FIND("#",SUBSTITUTE(Sheet1!V124,", ","#",1))+2)),Sheet1!$A$1:$B$40,2,FALSE)&amp;","&amp;VLOOKUP(MID(Sheet1!V124,FIND("#",SUBSTITUTE(Sheet1!V124,", ","#",2))+2,FIND("#",SUBSTITUTE(Sheet1!V124,", ","#",3))-(FIND("#",SUBSTITUTE(Sheet1!V124,", ","#",2))+2)),Sheet1!$A$1:$B$40,2,FALSE)&amp;","&amp;VLOOKUP(MID(Sheet1!V124,FIND("#",SUBSTITUTE(Sheet1!V124,", ","#",3))+2,FIND("#",SUBSTITUTE(Sheet1!V124,", ","#",4))-(FIND("#",SUBSTITUTE(Sheet1!V124,", ","#",3))+2)),Sheet1!$A$1:$B$40,2,FALSE)&amp;","&amp;VLOOKUP(RIGHT(Sheet1!V124,LEN(Sheet1!V124)-FIND("#",SUBSTITUTE(Sheet1!V124,", ","#",4))-1),Sheet1!$A$1:$B$40,2,FALSE),"")</f>
        <v/>
      </c>
      <c r="K78" s="6" t="str">
        <f t="shared" si="10"/>
        <v/>
      </c>
      <c r="L78" s="6" t="str">
        <f>IFERROR(IF((LEN(Sheet1!AA124)-LEN(SUBSTITUTE(Sheet1!AA124,", ","")))/2=0,VLOOKUP(Sheet1!AA124,Sheet1!$A$1:$B$40,2,FALSE),""),"")</f>
        <v/>
      </c>
      <c r="M78" s="6" t="str">
        <f>IFERROR(IF((LEN(Sheet1!AA124)-LEN(SUBSTITUTE(Sheet1!AA124,", ","")))/2=1,VLOOKUP(LEFT(Sheet1!AA124,FIND(", ",Sheet1!AA124)-1),Sheet1!$A$1:$B$40,2,FALSE)&amp;","&amp;VLOOKUP(RIGHT(Sheet1!AA124,LEN(Sheet1!AA124)-FIND(", ",Sheet1!AA124)-1),Sheet1!$A$1:$B$40,2,FALSE),""),"")</f>
        <v/>
      </c>
      <c r="N78" s="6" t="str">
        <f t="shared" si="8"/>
        <v/>
      </c>
    </row>
    <row r="79" spans="1:14">
      <c r="A79" s="5" t="str">
        <f>IFERROR(IF((LEN(Sheet1!N125)-LEN(SUBSTITUTE(Sheet1!N125,", ","")))/2=0,VLOOKUP(Sheet1!N125,Sheet1!$A$1:$B$40,2,FALSE),""),"")</f>
        <v/>
      </c>
      <c r="B79" s="6" t="str">
        <f>IFERROR(IF((LEN(Sheet1!N125)-LEN(SUBSTITUTE(Sheet1!N125,", ","")))/2=1,VLOOKUP(LEFT(Sheet1!N125,FIND(", ",Sheet1!N125)-1),Sheet1!$A$1:$B$40,2,FALSE)&amp;","&amp;VLOOKUP(RIGHT(Sheet1!N125,LEN(Sheet1!N125)-FIND(", ",Sheet1!N125)-1),Sheet1!$A$1:$B$40,2,FALSE),""),"")</f>
        <v/>
      </c>
      <c r="C79" s="6" t="str">
        <f>IF((LEN(Sheet1!N125)-LEN(SUBSTITUTE(Sheet1!N125,", ","")))/2=2,VLOOKUP(LEFT(Sheet1!N125,FIND(", ",Sheet1!N125)-1),Sheet1!$A$1:$B$40,2,FALSE)&amp;","&amp;VLOOKUP(MID(Sheet1!N125,FIND("#",SUBSTITUTE(Sheet1!N125,", ","#",1))+2,FIND("#",SUBSTITUTE(Sheet1!N125,", ","#",2))-(FIND("#",SUBSTITUTE(Sheet1!N125,", ","#",1))+2)),Sheet1!$A$1:$B$40,2,FALSE)&amp;","&amp;VLOOKUP(RIGHT(Sheet1!N125,LEN(Sheet1!N125)-FIND("#",SUBSTITUTE(Sheet1!N125,", ","#",2))-1),Sheet1!$A$1:$B$40,2,FALSE),"")</f>
        <v/>
      </c>
      <c r="D79" s="6" t="str">
        <f>IF((LEN(Sheet1!N125)-LEN(SUBSTITUTE(Sheet1!N125,", ","")))/2=3,VLOOKUP(LEFT(Sheet1!N125,FIND(", ",Sheet1!N125)-1),Sheet1!$A$1:$B$40,2,FALSE)&amp;","&amp;VLOOKUP(MID(Sheet1!N125,FIND("#",SUBSTITUTE(Sheet1!N125,", ","#",1))+2,FIND("#",SUBSTITUTE(Sheet1!N125,", ","#",2))-(FIND("#",SUBSTITUTE(Sheet1!N125,", ","#",1))+2)),Sheet1!$A$1:$B$40,2,FALSE)&amp;","&amp;VLOOKUP(MID(Sheet1!N125,FIND("#",SUBSTITUTE(Sheet1!N125,", ","#",2))+2,FIND("#",SUBSTITUTE(Sheet1!N125,", ","#",3))-(FIND("#",SUBSTITUTE(Sheet1!N125,", ","#",2))+2)),Sheet1!$A$1:$B$40,2,FALSE)&amp;","&amp;VLOOKUP(RIGHT(Sheet1!N125,LEN(Sheet1!N125)-FIND("#",SUBSTITUTE(Sheet1!N125,", ","#",3))-1),Sheet1!$A$1:$B$40,2,FALSE),"")</f>
        <v/>
      </c>
      <c r="E79" s="6" t="str">
        <f t="shared" si="9"/>
        <v/>
      </c>
      <c r="F79" s="6" t="str">
        <f>IFERROR(IF((LEN(Sheet1!V125)-LEN(SUBSTITUTE(Sheet1!V125,", ","")))/2=0,VLOOKUP(Sheet1!V125,Sheet1!$A$1:$B$40,2,FALSE),""),"")</f>
        <v/>
      </c>
      <c r="G79" s="6" t="str">
        <f>IFERROR(IF((LEN(Sheet1!V125)-LEN(SUBSTITUTE(Sheet1!V125,", ","")))/2=1,VLOOKUP(LEFT(Sheet1!V125,FIND(", ",Sheet1!V125)-1),Sheet1!$A$1:$B$40,2,FALSE)&amp;","&amp;VLOOKUP(RIGHT(Sheet1!V125,LEN(Sheet1!V125)-FIND(", ",Sheet1!V125)-1),Sheet1!$A$1:$B$40,2,FALSE),""),"")</f>
        <v/>
      </c>
      <c r="H79" s="6" t="str">
        <f>IF((LEN(Sheet1!V125)-LEN(SUBSTITUTE(Sheet1!V125,", ","")))/2=2,VLOOKUP(LEFT(Sheet1!V125,FIND(", ",Sheet1!V125)-1),Sheet1!$A$1:$B$40,2,FALSE)&amp;","&amp;VLOOKUP(MID(Sheet1!V125,FIND("#",SUBSTITUTE(Sheet1!V125,", ","#",1))+2,FIND("#",SUBSTITUTE(Sheet1!V125,", ","#",2))-(FIND("#",SUBSTITUTE(Sheet1!V125,", ","#",1))+2)),Sheet1!$A$1:$B$40,2,FALSE)&amp;","&amp;VLOOKUP(RIGHT(Sheet1!V125,LEN(Sheet1!V125)-FIND("#",SUBSTITUTE(Sheet1!V125,", ","#",2))-1),Sheet1!$A$1:$B$40,2,FALSE),"")</f>
        <v/>
      </c>
      <c r="I79" s="6" t="str">
        <f>IF((LEN(Sheet1!V125)-LEN(SUBSTITUTE(Sheet1!V125,", ","")))/2=3,VLOOKUP(LEFT(Sheet1!V125,FIND(", ",Sheet1!V125)-1),Sheet1!$A$1:$B$40,2,FALSE)&amp;","&amp;VLOOKUP(MID(Sheet1!V125,FIND("#",SUBSTITUTE(Sheet1!V125,", ","#",1))+2,FIND("#",SUBSTITUTE(Sheet1!V125,", ","#",2))-(FIND("#",SUBSTITUTE(Sheet1!V125,", ","#",1))+2)),Sheet1!$A$1:$B$40,2,FALSE)&amp;","&amp;VLOOKUP(MID(Sheet1!V125,FIND("#",SUBSTITUTE(Sheet1!V125,", ","#",2))+2,FIND("#",SUBSTITUTE(Sheet1!V125,", ","#",3))-(FIND("#",SUBSTITUTE(Sheet1!V125,", ","#",2))+2)),Sheet1!$A$1:$B$40,2,FALSE)&amp;","&amp;VLOOKUP(RIGHT(Sheet1!V125,LEN(Sheet1!V125)-FIND("#",SUBSTITUTE(Sheet1!V125,", ","#",3))-1),Sheet1!$A$1:$B$40,2,FALSE),"")</f>
        <v/>
      </c>
      <c r="J79" s="6" t="str">
        <f>IF((LEN(Sheet1!V125)-LEN(SUBSTITUTE(Sheet1!V125,", ","")))/2=4,VLOOKUP(LEFT(Sheet1!V125,FIND(", ",Sheet1!V125)-1),Sheet1!$A$1:$B$40,2,FALSE)&amp;","&amp;VLOOKUP(MID(Sheet1!V125,FIND("#",SUBSTITUTE(Sheet1!V125,", ","#",1))+2,FIND("#",SUBSTITUTE(Sheet1!V125,", ","#",2))-(FIND("#",SUBSTITUTE(Sheet1!V125,", ","#",1))+2)),Sheet1!$A$1:$B$40,2,FALSE)&amp;","&amp;VLOOKUP(MID(Sheet1!V125,FIND("#",SUBSTITUTE(Sheet1!V125,", ","#",2))+2,FIND("#",SUBSTITUTE(Sheet1!V125,", ","#",3))-(FIND("#",SUBSTITUTE(Sheet1!V125,", ","#",2))+2)),Sheet1!$A$1:$B$40,2,FALSE)&amp;","&amp;VLOOKUP(MID(Sheet1!V125,FIND("#",SUBSTITUTE(Sheet1!V125,", ","#",3))+2,FIND("#",SUBSTITUTE(Sheet1!V125,", ","#",4))-(FIND("#",SUBSTITUTE(Sheet1!V125,", ","#",3))+2)),Sheet1!$A$1:$B$40,2,FALSE)&amp;","&amp;VLOOKUP(RIGHT(Sheet1!V125,LEN(Sheet1!V125)-FIND("#",SUBSTITUTE(Sheet1!V125,", ","#",4))-1),Sheet1!$A$1:$B$40,2,FALSE),"")</f>
        <v/>
      </c>
      <c r="K79" s="6" t="str">
        <f t="shared" si="10"/>
        <v/>
      </c>
      <c r="L79" s="6" t="str">
        <f>IFERROR(IF((LEN(Sheet1!AA125)-LEN(SUBSTITUTE(Sheet1!AA125,", ","")))/2=0,VLOOKUP(Sheet1!AA125,Sheet1!$A$1:$B$40,2,FALSE),""),"")</f>
        <v/>
      </c>
      <c r="M79" s="6" t="str">
        <f>IFERROR(IF((LEN(Sheet1!AA125)-LEN(SUBSTITUTE(Sheet1!AA125,", ","")))/2=1,VLOOKUP(LEFT(Sheet1!AA125,FIND(", ",Sheet1!AA125)-1),Sheet1!$A$1:$B$40,2,FALSE)&amp;","&amp;VLOOKUP(RIGHT(Sheet1!AA125,LEN(Sheet1!AA125)-FIND(", ",Sheet1!AA125)-1),Sheet1!$A$1:$B$40,2,FALSE),""),"")</f>
        <v/>
      </c>
      <c r="N79" s="6" t="str">
        <f t="shared" si="8"/>
        <v/>
      </c>
    </row>
    <row r="80" spans="1:14">
      <c r="A80" s="5" t="str">
        <f>IFERROR(IF((LEN(Sheet1!N126)-LEN(SUBSTITUTE(Sheet1!N126,", ","")))/2=0,VLOOKUP(Sheet1!N126,Sheet1!$A$1:$B$40,2,FALSE),""),"")</f>
        <v/>
      </c>
      <c r="B80" s="6" t="str">
        <f>IFERROR(IF((LEN(Sheet1!N126)-LEN(SUBSTITUTE(Sheet1!N126,", ","")))/2=1,VLOOKUP(LEFT(Sheet1!N126,FIND(", ",Sheet1!N126)-1),Sheet1!$A$1:$B$40,2,FALSE)&amp;","&amp;VLOOKUP(RIGHT(Sheet1!N126,LEN(Sheet1!N126)-FIND(", ",Sheet1!N126)-1),Sheet1!$A$1:$B$40,2,FALSE),""),"")</f>
        <v/>
      </c>
      <c r="C80" s="6" t="str">
        <f>IF((LEN(Sheet1!N126)-LEN(SUBSTITUTE(Sheet1!N126,", ","")))/2=2,VLOOKUP(LEFT(Sheet1!N126,FIND(", ",Sheet1!N126)-1),Sheet1!$A$1:$B$40,2,FALSE)&amp;","&amp;VLOOKUP(MID(Sheet1!N126,FIND("#",SUBSTITUTE(Sheet1!N126,", ","#",1))+2,FIND("#",SUBSTITUTE(Sheet1!N126,", ","#",2))-(FIND("#",SUBSTITUTE(Sheet1!N126,", ","#",1))+2)),Sheet1!$A$1:$B$40,2,FALSE)&amp;","&amp;VLOOKUP(RIGHT(Sheet1!N126,LEN(Sheet1!N126)-FIND("#",SUBSTITUTE(Sheet1!N126,", ","#",2))-1),Sheet1!$A$1:$B$40,2,FALSE),"")</f>
        <v/>
      </c>
      <c r="D80" s="6" t="str">
        <f>IF((LEN(Sheet1!N126)-LEN(SUBSTITUTE(Sheet1!N126,", ","")))/2=3,VLOOKUP(LEFT(Sheet1!N126,FIND(", ",Sheet1!N126)-1),Sheet1!$A$1:$B$40,2,FALSE)&amp;","&amp;VLOOKUP(MID(Sheet1!N126,FIND("#",SUBSTITUTE(Sheet1!N126,", ","#",1))+2,FIND("#",SUBSTITUTE(Sheet1!N126,", ","#",2))-(FIND("#",SUBSTITUTE(Sheet1!N126,", ","#",1))+2)),Sheet1!$A$1:$B$40,2,FALSE)&amp;","&amp;VLOOKUP(MID(Sheet1!N126,FIND("#",SUBSTITUTE(Sheet1!N126,", ","#",2))+2,FIND("#",SUBSTITUTE(Sheet1!N126,", ","#",3))-(FIND("#",SUBSTITUTE(Sheet1!N126,", ","#",2))+2)),Sheet1!$A$1:$B$40,2,FALSE)&amp;","&amp;VLOOKUP(RIGHT(Sheet1!N126,LEN(Sheet1!N126)-FIND("#",SUBSTITUTE(Sheet1!N126,", ","#",3))-1),Sheet1!$A$1:$B$40,2,FALSE),"")</f>
        <v/>
      </c>
      <c r="E80" s="6" t="str">
        <f t="shared" si="9"/>
        <v/>
      </c>
      <c r="F80" s="6" t="str">
        <f>IFERROR(IF((LEN(Sheet1!V126)-LEN(SUBSTITUTE(Sheet1!V126,", ","")))/2=0,VLOOKUP(Sheet1!V126,Sheet1!$A$1:$B$40,2,FALSE),""),"")</f>
        <v/>
      </c>
      <c r="G80" s="6" t="str">
        <f>IFERROR(IF((LEN(Sheet1!V126)-LEN(SUBSTITUTE(Sheet1!V126,", ","")))/2=1,VLOOKUP(LEFT(Sheet1!V126,FIND(", ",Sheet1!V126)-1),Sheet1!$A$1:$B$40,2,FALSE)&amp;","&amp;VLOOKUP(RIGHT(Sheet1!V126,LEN(Sheet1!V126)-FIND(", ",Sheet1!V126)-1),Sheet1!$A$1:$B$40,2,FALSE),""),"")</f>
        <v/>
      </c>
      <c r="H80" s="6" t="str">
        <f>IF((LEN(Sheet1!V126)-LEN(SUBSTITUTE(Sheet1!V126,", ","")))/2=2,VLOOKUP(LEFT(Sheet1!V126,FIND(", ",Sheet1!V126)-1),Sheet1!$A$1:$B$40,2,FALSE)&amp;","&amp;VLOOKUP(MID(Sheet1!V126,FIND("#",SUBSTITUTE(Sheet1!V126,", ","#",1))+2,FIND("#",SUBSTITUTE(Sheet1!V126,", ","#",2))-(FIND("#",SUBSTITUTE(Sheet1!V126,", ","#",1))+2)),Sheet1!$A$1:$B$40,2,FALSE)&amp;","&amp;VLOOKUP(RIGHT(Sheet1!V126,LEN(Sheet1!V126)-FIND("#",SUBSTITUTE(Sheet1!V126,", ","#",2))-1),Sheet1!$A$1:$B$40,2,FALSE),"")</f>
        <v/>
      </c>
      <c r="I80" s="6" t="str">
        <f>IF((LEN(Sheet1!V126)-LEN(SUBSTITUTE(Sheet1!V126,", ","")))/2=3,VLOOKUP(LEFT(Sheet1!V126,FIND(", ",Sheet1!V126)-1),Sheet1!$A$1:$B$40,2,FALSE)&amp;","&amp;VLOOKUP(MID(Sheet1!V126,FIND("#",SUBSTITUTE(Sheet1!V126,", ","#",1))+2,FIND("#",SUBSTITUTE(Sheet1!V126,", ","#",2))-(FIND("#",SUBSTITUTE(Sheet1!V126,", ","#",1))+2)),Sheet1!$A$1:$B$40,2,FALSE)&amp;","&amp;VLOOKUP(MID(Sheet1!V126,FIND("#",SUBSTITUTE(Sheet1!V126,", ","#",2))+2,FIND("#",SUBSTITUTE(Sheet1!V126,", ","#",3))-(FIND("#",SUBSTITUTE(Sheet1!V126,", ","#",2))+2)),Sheet1!$A$1:$B$40,2,FALSE)&amp;","&amp;VLOOKUP(RIGHT(Sheet1!V126,LEN(Sheet1!V126)-FIND("#",SUBSTITUTE(Sheet1!V126,", ","#",3))-1),Sheet1!$A$1:$B$40,2,FALSE),"")</f>
        <v/>
      </c>
      <c r="J80" s="6" t="str">
        <f>IF((LEN(Sheet1!V126)-LEN(SUBSTITUTE(Sheet1!V126,", ","")))/2=4,VLOOKUP(LEFT(Sheet1!V126,FIND(", ",Sheet1!V126)-1),Sheet1!$A$1:$B$40,2,FALSE)&amp;","&amp;VLOOKUP(MID(Sheet1!V126,FIND("#",SUBSTITUTE(Sheet1!V126,", ","#",1))+2,FIND("#",SUBSTITUTE(Sheet1!V126,", ","#",2))-(FIND("#",SUBSTITUTE(Sheet1!V126,", ","#",1))+2)),Sheet1!$A$1:$B$40,2,FALSE)&amp;","&amp;VLOOKUP(MID(Sheet1!V126,FIND("#",SUBSTITUTE(Sheet1!V126,", ","#",2))+2,FIND("#",SUBSTITUTE(Sheet1!V126,", ","#",3))-(FIND("#",SUBSTITUTE(Sheet1!V126,", ","#",2))+2)),Sheet1!$A$1:$B$40,2,FALSE)&amp;","&amp;VLOOKUP(MID(Sheet1!V126,FIND("#",SUBSTITUTE(Sheet1!V126,", ","#",3))+2,FIND("#",SUBSTITUTE(Sheet1!V126,", ","#",4))-(FIND("#",SUBSTITUTE(Sheet1!V126,", ","#",3))+2)),Sheet1!$A$1:$B$40,2,FALSE)&amp;","&amp;VLOOKUP(RIGHT(Sheet1!V126,LEN(Sheet1!V126)-FIND("#",SUBSTITUTE(Sheet1!V126,", ","#",4))-1),Sheet1!$A$1:$B$40,2,FALSE),"")</f>
        <v/>
      </c>
      <c r="K80" s="6" t="str">
        <f t="shared" si="10"/>
        <v/>
      </c>
      <c r="L80" s="6" t="str">
        <f>IFERROR(IF((LEN(Sheet1!AA126)-LEN(SUBSTITUTE(Sheet1!AA126,", ","")))/2=0,VLOOKUP(Sheet1!AA126,Sheet1!$A$1:$B$40,2,FALSE),""),"")</f>
        <v/>
      </c>
      <c r="M80" s="6" t="str">
        <f>IFERROR(IF((LEN(Sheet1!AA126)-LEN(SUBSTITUTE(Sheet1!AA126,", ","")))/2=1,VLOOKUP(LEFT(Sheet1!AA126,FIND(", ",Sheet1!AA126)-1),Sheet1!$A$1:$B$40,2,FALSE)&amp;","&amp;VLOOKUP(RIGHT(Sheet1!AA126,LEN(Sheet1!AA126)-FIND(", ",Sheet1!AA126)-1),Sheet1!$A$1:$B$40,2,FALSE),""),"")</f>
        <v/>
      </c>
      <c r="N80" s="6" t="str">
        <f t="shared" si="8"/>
        <v/>
      </c>
    </row>
    <row r="81" spans="1:14">
      <c r="A81" s="5" t="str">
        <f>IFERROR(IF((LEN(Sheet1!N127)-LEN(SUBSTITUTE(Sheet1!N127,", ","")))/2=0,VLOOKUP(Sheet1!N127,Sheet1!$A$1:$B$40,2,FALSE),""),"")</f>
        <v/>
      </c>
      <c r="B81" s="6" t="str">
        <f>IFERROR(IF((LEN(Sheet1!N127)-LEN(SUBSTITUTE(Sheet1!N127,", ","")))/2=1,VLOOKUP(LEFT(Sheet1!N127,FIND(", ",Sheet1!N127)-1),Sheet1!$A$1:$B$40,2,FALSE)&amp;","&amp;VLOOKUP(RIGHT(Sheet1!N127,LEN(Sheet1!N127)-FIND(", ",Sheet1!N127)-1),Sheet1!$A$1:$B$40,2,FALSE),""),"")</f>
        <v/>
      </c>
      <c r="C81" s="6" t="str">
        <f>IF((LEN(Sheet1!N127)-LEN(SUBSTITUTE(Sheet1!N127,", ","")))/2=2,VLOOKUP(LEFT(Sheet1!N127,FIND(", ",Sheet1!N127)-1),Sheet1!$A$1:$B$40,2,FALSE)&amp;","&amp;VLOOKUP(MID(Sheet1!N127,FIND("#",SUBSTITUTE(Sheet1!N127,", ","#",1))+2,FIND("#",SUBSTITUTE(Sheet1!N127,", ","#",2))-(FIND("#",SUBSTITUTE(Sheet1!N127,", ","#",1))+2)),Sheet1!$A$1:$B$40,2,FALSE)&amp;","&amp;VLOOKUP(RIGHT(Sheet1!N127,LEN(Sheet1!N127)-FIND("#",SUBSTITUTE(Sheet1!N127,", ","#",2))-1),Sheet1!$A$1:$B$40,2,FALSE),"")</f>
        <v/>
      </c>
      <c r="D81" s="6" t="str">
        <f>IF((LEN(Sheet1!N127)-LEN(SUBSTITUTE(Sheet1!N127,", ","")))/2=3,VLOOKUP(LEFT(Sheet1!N127,FIND(", ",Sheet1!N127)-1),Sheet1!$A$1:$B$40,2,FALSE)&amp;","&amp;VLOOKUP(MID(Sheet1!N127,FIND("#",SUBSTITUTE(Sheet1!N127,", ","#",1))+2,FIND("#",SUBSTITUTE(Sheet1!N127,", ","#",2))-(FIND("#",SUBSTITUTE(Sheet1!N127,", ","#",1))+2)),Sheet1!$A$1:$B$40,2,FALSE)&amp;","&amp;VLOOKUP(MID(Sheet1!N127,FIND("#",SUBSTITUTE(Sheet1!N127,", ","#",2))+2,FIND("#",SUBSTITUTE(Sheet1!N127,", ","#",3))-(FIND("#",SUBSTITUTE(Sheet1!N127,", ","#",2))+2)),Sheet1!$A$1:$B$40,2,FALSE)&amp;","&amp;VLOOKUP(RIGHT(Sheet1!N127,LEN(Sheet1!N127)-FIND("#",SUBSTITUTE(Sheet1!N127,", ","#",3))-1),Sheet1!$A$1:$B$40,2,FALSE),"")</f>
        <v/>
      </c>
      <c r="E81" s="6" t="str">
        <f t="shared" si="9"/>
        <v/>
      </c>
      <c r="F81" s="6" t="str">
        <f>IFERROR(IF((LEN(Sheet1!V127)-LEN(SUBSTITUTE(Sheet1!V127,", ","")))/2=0,VLOOKUP(Sheet1!V127,Sheet1!$A$1:$B$40,2,FALSE),""),"")</f>
        <v/>
      </c>
      <c r="G81" s="6" t="str">
        <f>IFERROR(IF((LEN(Sheet1!V127)-LEN(SUBSTITUTE(Sheet1!V127,", ","")))/2=1,VLOOKUP(LEFT(Sheet1!V127,FIND(", ",Sheet1!V127)-1),Sheet1!$A$1:$B$40,2,FALSE)&amp;","&amp;VLOOKUP(RIGHT(Sheet1!V127,LEN(Sheet1!V127)-FIND(", ",Sheet1!V127)-1),Sheet1!$A$1:$B$40,2,FALSE),""),"")</f>
        <v/>
      </c>
      <c r="H81" s="6" t="str">
        <f>IF((LEN(Sheet1!V127)-LEN(SUBSTITUTE(Sheet1!V127,", ","")))/2=2,VLOOKUP(LEFT(Sheet1!V127,FIND(", ",Sheet1!V127)-1),Sheet1!$A$1:$B$40,2,FALSE)&amp;","&amp;VLOOKUP(MID(Sheet1!V127,FIND("#",SUBSTITUTE(Sheet1!V127,", ","#",1))+2,FIND("#",SUBSTITUTE(Sheet1!V127,", ","#",2))-(FIND("#",SUBSTITUTE(Sheet1!V127,", ","#",1))+2)),Sheet1!$A$1:$B$40,2,FALSE)&amp;","&amp;VLOOKUP(RIGHT(Sheet1!V127,LEN(Sheet1!V127)-FIND("#",SUBSTITUTE(Sheet1!V127,", ","#",2))-1),Sheet1!$A$1:$B$40,2,FALSE),"")</f>
        <v/>
      </c>
      <c r="I81" s="6" t="str">
        <f>IF((LEN(Sheet1!V127)-LEN(SUBSTITUTE(Sheet1!V127,", ","")))/2=3,VLOOKUP(LEFT(Sheet1!V127,FIND(", ",Sheet1!V127)-1),Sheet1!$A$1:$B$40,2,FALSE)&amp;","&amp;VLOOKUP(MID(Sheet1!V127,FIND("#",SUBSTITUTE(Sheet1!V127,", ","#",1))+2,FIND("#",SUBSTITUTE(Sheet1!V127,", ","#",2))-(FIND("#",SUBSTITUTE(Sheet1!V127,", ","#",1))+2)),Sheet1!$A$1:$B$40,2,FALSE)&amp;","&amp;VLOOKUP(MID(Sheet1!V127,FIND("#",SUBSTITUTE(Sheet1!V127,", ","#",2))+2,FIND("#",SUBSTITUTE(Sheet1!V127,", ","#",3))-(FIND("#",SUBSTITUTE(Sheet1!V127,", ","#",2))+2)),Sheet1!$A$1:$B$40,2,FALSE)&amp;","&amp;VLOOKUP(RIGHT(Sheet1!V127,LEN(Sheet1!V127)-FIND("#",SUBSTITUTE(Sheet1!V127,", ","#",3))-1),Sheet1!$A$1:$B$40,2,FALSE),"")</f>
        <v/>
      </c>
      <c r="J81" s="6" t="str">
        <f>IF((LEN(Sheet1!V127)-LEN(SUBSTITUTE(Sheet1!V127,", ","")))/2=4,VLOOKUP(LEFT(Sheet1!V127,FIND(", ",Sheet1!V127)-1),Sheet1!$A$1:$B$40,2,FALSE)&amp;","&amp;VLOOKUP(MID(Sheet1!V127,FIND("#",SUBSTITUTE(Sheet1!V127,", ","#",1))+2,FIND("#",SUBSTITUTE(Sheet1!V127,", ","#",2))-(FIND("#",SUBSTITUTE(Sheet1!V127,", ","#",1))+2)),Sheet1!$A$1:$B$40,2,FALSE)&amp;","&amp;VLOOKUP(MID(Sheet1!V127,FIND("#",SUBSTITUTE(Sheet1!V127,", ","#",2))+2,FIND("#",SUBSTITUTE(Sheet1!V127,", ","#",3))-(FIND("#",SUBSTITUTE(Sheet1!V127,", ","#",2))+2)),Sheet1!$A$1:$B$40,2,FALSE)&amp;","&amp;VLOOKUP(MID(Sheet1!V127,FIND("#",SUBSTITUTE(Sheet1!V127,", ","#",3))+2,FIND("#",SUBSTITUTE(Sheet1!V127,", ","#",4))-(FIND("#",SUBSTITUTE(Sheet1!V127,", ","#",3))+2)),Sheet1!$A$1:$B$40,2,FALSE)&amp;","&amp;VLOOKUP(RIGHT(Sheet1!V127,LEN(Sheet1!V127)-FIND("#",SUBSTITUTE(Sheet1!V127,", ","#",4))-1),Sheet1!$A$1:$B$40,2,FALSE),"")</f>
        <v/>
      </c>
      <c r="K81" s="6" t="str">
        <f t="shared" si="10"/>
        <v/>
      </c>
      <c r="L81" s="6" t="str">
        <f>IFERROR(IF((LEN(Sheet1!AA127)-LEN(SUBSTITUTE(Sheet1!AA127,", ","")))/2=0,VLOOKUP(Sheet1!AA127,Sheet1!$A$1:$B$40,2,FALSE),""),"")</f>
        <v/>
      </c>
      <c r="M81" s="6" t="str">
        <f>IFERROR(IF((LEN(Sheet1!AA127)-LEN(SUBSTITUTE(Sheet1!AA127,", ","")))/2=1,VLOOKUP(LEFT(Sheet1!AA127,FIND(", ",Sheet1!AA127)-1),Sheet1!$A$1:$B$40,2,FALSE)&amp;","&amp;VLOOKUP(RIGHT(Sheet1!AA127,LEN(Sheet1!AA127)-FIND(", ",Sheet1!AA127)-1),Sheet1!$A$1:$B$40,2,FALSE),""),"")</f>
        <v/>
      </c>
      <c r="N81" s="6" t="str">
        <f t="shared" ref="N81:N101" si="11">L81&amp;M81</f>
        <v/>
      </c>
    </row>
    <row r="82" spans="1:14">
      <c r="A82" s="5" t="str">
        <f>IFERROR(IF((LEN(Sheet1!N128)-LEN(SUBSTITUTE(Sheet1!N128,", ","")))/2=0,VLOOKUP(Sheet1!N128,Sheet1!$A$1:$B$40,2,FALSE),""),"")</f>
        <v/>
      </c>
      <c r="B82" s="6" t="str">
        <f>IFERROR(IF((LEN(Sheet1!N128)-LEN(SUBSTITUTE(Sheet1!N128,", ","")))/2=1,VLOOKUP(LEFT(Sheet1!N128,FIND(", ",Sheet1!N128)-1),Sheet1!$A$1:$B$40,2,FALSE)&amp;","&amp;VLOOKUP(RIGHT(Sheet1!N128,LEN(Sheet1!N128)-FIND(", ",Sheet1!N128)-1),Sheet1!$A$1:$B$40,2,FALSE),""),"")</f>
        <v/>
      </c>
      <c r="C82" s="6" t="str">
        <f>IF((LEN(Sheet1!N128)-LEN(SUBSTITUTE(Sheet1!N128,", ","")))/2=2,VLOOKUP(LEFT(Sheet1!N128,FIND(", ",Sheet1!N128)-1),Sheet1!$A$1:$B$40,2,FALSE)&amp;","&amp;VLOOKUP(MID(Sheet1!N128,FIND("#",SUBSTITUTE(Sheet1!N128,", ","#",1))+2,FIND("#",SUBSTITUTE(Sheet1!N128,", ","#",2))-(FIND("#",SUBSTITUTE(Sheet1!N128,", ","#",1))+2)),Sheet1!$A$1:$B$40,2,FALSE)&amp;","&amp;VLOOKUP(RIGHT(Sheet1!N128,LEN(Sheet1!N128)-FIND("#",SUBSTITUTE(Sheet1!N128,", ","#",2))-1),Sheet1!$A$1:$B$40,2,FALSE),"")</f>
        <v/>
      </c>
      <c r="D82" s="6" t="str">
        <f>IF((LEN(Sheet1!N128)-LEN(SUBSTITUTE(Sheet1!N128,", ","")))/2=3,VLOOKUP(LEFT(Sheet1!N128,FIND(", ",Sheet1!N128)-1),Sheet1!$A$1:$B$40,2,FALSE)&amp;","&amp;VLOOKUP(MID(Sheet1!N128,FIND("#",SUBSTITUTE(Sheet1!N128,", ","#",1))+2,FIND("#",SUBSTITUTE(Sheet1!N128,", ","#",2))-(FIND("#",SUBSTITUTE(Sheet1!N128,", ","#",1))+2)),Sheet1!$A$1:$B$40,2,FALSE)&amp;","&amp;VLOOKUP(MID(Sheet1!N128,FIND("#",SUBSTITUTE(Sheet1!N128,", ","#",2))+2,FIND("#",SUBSTITUTE(Sheet1!N128,", ","#",3))-(FIND("#",SUBSTITUTE(Sheet1!N128,", ","#",2))+2)),Sheet1!$A$1:$B$40,2,FALSE)&amp;","&amp;VLOOKUP(RIGHT(Sheet1!N128,LEN(Sheet1!N128)-FIND("#",SUBSTITUTE(Sheet1!N128,", ","#",3))-1),Sheet1!$A$1:$B$40,2,FALSE),"")</f>
        <v/>
      </c>
      <c r="E82" s="6" t="str">
        <f t="shared" ref="E82:E101" si="12">A82&amp;B82&amp;C82&amp;D82</f>
        <v/>
      </c>
      <c r="F82" s="6" t="str">
        <f>IFERROR(IF((LEN(Sheet1!V128)-LEN(SUBSTITUTE(Sheet1!V128,", ","")))/2=0,VLOOKUP(Sheet1!V128,Sheet1!$A$1:$B$40,2,FALSE),""),"")</f>
        <v/>
      </c>
      <c r="G82" s="6" t="str">
        <f>IFERROR(IF((LEN(Sheet1!V128)-LEN(SUBSTITUTE(Sheet1!V128,", ","")))/2=1,VLOOKUP(LEFT(Sheet1!V128,FIND(", ",Sheet1!V128)-1),Sheet1!$A$1:$B$40,2,FALSE)&amp;","&amp;VLOOKUP(RIGHT(Sheet1!V128,LEN(Sheet1!V128)-FIND(", ",Sheet1!V128)-1),Sheet1!$A$1:$B$40,2,FALSE),""),"")</f>
        <v/>
      </c>
      <c r="H82" s="6" t="str">
        <f>IF((LEN(Sheet1!V128)-LEN(SUBSTITUTE(Sheet1!V128,", ","")))/2=2,VLOOKUP(LEFT(Sheet1!V128,FIND(", ",Sheet1!V128)-1),Sheet1!$A$1:$B$40,2,FALSE)&amp;","&amp;VLOOKUP(MID(Sheet1!V128,FIND("#",SUBSTITUTE(Sheet1!V128,", ","#",1))+2,FIND("#",SUBSTITUTE(Sheet1!V128,", ","#",2))-(FIND("#",SUBSTITUTE(Sheet1!V128,", ","#",1))+2)),Sheet1!$A$1:$B$40,2,FALSE)&amp;","&amp;VLOOKUP(RIGHT(Sheet1!V128,LEN(Sheet1!V128)-FIND("#",SUBSTITUTE(Sheet1!V128,", ","#",2))-1),Sheet1!$A$1:$B$40,2,FALSE),"")</f>
        <v/>
      </c>
      <c r="I82" s="6" t="str">
        <f>IF((LEN(Sheet1!V128)-LEN(SUBSTITUTE(Sheet1!V128,", ","")))/2=3,VLOOKUP(LEFT(Sheet1!V128,FIND(", ",Sheet1!V128)-1),Sheet1!$A$1:$B$40,2,FALSE)&amp;","&amp;VLOOKUP(MID(Sheet1!V128,FIND("#",SUBSTITUTE(Sheet1!V128,", ","#",1))+2,FIND("#",SUBSTITUTE(Sheet1!V128,", ","#",2))-(FIND("#",SUBSTITUTE(Sheet1!V128,", ","#",1))+2)),Sheet1!$A$1:$B$40,2,FALSE)&amp;","&amp;VLOOKUP(MID(Sheet1!V128,FIND("#",SUBSTITUTE(Sheet1!V128,", ","#",2))+2,FIND("#",SUBSTITUTE(Sheet1!V128,", ","#",3))-(FIND("#",SUBSTITUTE(Sheet1!V128,", ","#",2))+2)),Sheet1!$A$1:$B$40,2,FALSE)&amp;","&amp;VLOOKUP(RIGHT(Sheet1!V128,LEN(Sheet1!V128)-FIND("#",SUBSTITUTE(Sheet1!V128,", ","#",3))-1),Sheet1!$A$1:$B$40,2,FALSE),"")</f>
        <v/>
      </c>
      <c r="J82" s="6" t="str">
        <f>IF((LEN(Sheet1!V128)-LEN(SUBSTITUTE(Sheet1!V128,", ","")))/2=4,VLOOKUP(LEFT(Sheet1!V128,FIND(", ",Sheet1!V128)-1),Sheet1!$A$1:$B$40,2,FALSE)&amp;","&amp;VLOOKUP(MID(Sheet1!V128,FIND("#",SUBSTITUTE(Sheet1!V128,", ","#",1))+2,FIND("#",SUBSTITUTE(Sheet1!V128,", ","#",2))-(FIND("#",SUBSTITUTE(Sheet1!V128,", ","#",1))+2)),Sheet1!$A$1:$B$40,2,FALSE)&amp;","&amp;VLOOKUP(MID(Sheet1!V128,FIND("#",SUBSTITUTE(Sheet1!V128,", ","#",2))+2,FIND("#",SUBSTITUTE(Sheet1!V128,", ","#",3))-(FIND("#",SUBSTITUTE(Sheet1!V128,", ","#",2))+2)),Sheet1!$A$1:$B$40,2,FALSE)&amp;","&amp;VLOOKUP(MID(Sheet1!V128,FIND("#",SUBSTITUTE(Sheet1!V128,", ","#",3))+2,FIND("#",SUBSTITUTE(Sheet1!V128,", ","#",4))-(FIND("#",SUBSTITUTE(Sheet1!V128,", ","#",3))+2)),Sheet1!$A$1:$B$40,2,FALSE)&amp;","&amp;VLOOKUP(RIGHT(Sheet1!V128,LEN(Sheet1!V128)-FIND("#",SUBSTITUTE(Sheet1!V128,", ","#",4))-1),Sheet1!$A$1:$B$40,2,FALSE),"")</f>
        <v/>
      </c>
      <c r="K82" s="6" t="str">
        <f t="shared" si="10"/>
        <v/>
      </c>
      <c r="L82" s="6" t="str">
        <f>IFERROR(IF((LEN(Sheet1!AA128)-LEN(SUBSTITUTE(Sheet1!AA128,", ","")))/2=0,VLOOKUP(Sheet1!AA128,Sheet1!$A$1:$B$40,2,FALSE),""),"")</f>
        <v/>
      </c>
      <c r="M82" s="6" t="str">
        <f>IFERROR(IF((LEN(Sheet1!AA128)-LEN(SUBSTITUTE(Sheet1!AA128,", ","")))/2=1,VLOOKUP(LEFT(Sheet1!AA128,FIND(", ",Sheet1!AA128)-1),Sheet1!$A$1:$B$40,2,FALSE)&amp;","&amp;VLOOKUP(RIGHT(Sheet1!AA128,LEN(Sheet1!AA128)-FIND(", ",Sheet1!AA128)-1),Sheet1!$A$1:$B$40,2,FALSE),""),"")</f>
        <v/>
      </c>
      <c r="N82" s="6" t="str">
        <f t="shared" si="11"/>
        <v/>
      </c>
    </row>
    <row r="83" spans="1:14">
      <c r="A83" s="5" t="str">
        <f>IFERROR(IF((LEN(Sheet1!N129)-LEN(SUBSTITUTE(Sheet1!N129,", ","")))/2=0,VLOOKUP(Sheet1!N129,Sheet1!$A$1:$B$40,2,FALSE),""),"")</f>
        <v/>
      </c>
      <c r="B83" s="6" t="str">
        <f>IFERROR(IF((LEN(Sheet1!N129)-LEN(SUBSTITUTE(Sheet1!N129,", ","")))/2=1,VLOOKUP(LEFT(Sheet1!N129,FIND(", ",Sheet1!N129)-1),Sheet1!$A$1:$B$40,2,FALSE)&amp;","&amp;VLOOKUP(RIGHT(Sheet1!N129,LEN(Sheet1!N129)-FIND(", ",Sheet1!N129)-1),Sheet1!$A$1:$B$40,2,FALSE),""),"")</f>
        <v/>
      </c>
      <c r="C83" s="6" t="str">
        <f>IF((LEN(Sheet1!N129)-LEN(SUBSTITUTE(Sheet1!N129,", ","")))/2=2,VLOOKUP(LEFT(Sheet1!N129,FIND(", ",Sheet1!N129)-1),Sheet1!$A$1:$B$40,2,FALSE)&amp;","&amp;VLOOKUP(MID(Sheet1!N129,FIND("#",SUBSTITUTE(Sheet1!N129,", ","#",1))+2,FIND("#",SUBSTITUTE(Sheet1!N129,", ","#",2))-(FIND("#",SUBSTITUTE(Sheet1!N129,", ","#",1))+2)),Sheet1!$A$1:$B$40,2,FALSE)&amp;","&amp;VLOOKUP(RIGHT(Sheet1!N129,LEN(Sheet1!N129)-FIND("#",SUBSTITUTE(Sheet1!N129,", ","#",2))-1),Sheet1!$A$1:$B$40,2,FALSE),"")</f>
        <v/>
      </c>
      <c r="D83" s="6" t="str">
        <f>IF((LEN(Sheet1!N129)-LEN(SUBSTITUTE(Sheet1!N129,", ","")))/2=3,VLOOKUP(LEFT(Sheet1!N129,FIND(", ",Sheet1!N129)-1),Sheet1!$A$1:$B$40,2,FALSE)&amp;","&amp;VLOOKUP(MID(Sheet1!N129,FIND("#",SUBSTITUTE(Sheet1!N129,", ","#",1))+2,FIND("#",SUBSTITUTE(Sheet1!N129,", ","#",2))-(FIND("#",SUBSTITUTE(Sheet1!N129,", ","#",1))+2)),Sheet1!$A$1:$B$40,2,FALSE)&amp;","&amp;VLOOKUP(MID(Sheet1!N129,FIND("#",SUBSTITUTE(Sheet1!N129,", ","#",2))+2,FIND("#",SUBSTITUTE(Sheet1!N129,", ","#",3))-(FIND("#",SUBSTITUTE(Sheet1!N129,", ","#",2))+2)),Sheet1!$A$1:$B$40,2,FALSE)&amp;","&amp;VLOOKUP(RIGHT(Sheet1!N129,LEN(Sheet1!N129)-FIND("#",SUBSTITUTE(Sheet1!N129,", ","#",3))-1),Sheet1!$A$1:$B$40,2,FALSE),"")</f>
        <v/>
      </c>
      <c r="E83" s="6" t="str">
        <f t="shared" si="12"/>
        <v/>
      </c>
      <c r="F83" s="6" t="str">
        <f>IFERROR(IF((LEN(Sheet1!V129)-LEN(SUBSTITUTE(Sheet1!V129,", ","")))/2=0,VLOOKUP(Sheet1!V129,Sheet1!$A$1:$B$40,2,FALSE),""),"")</f>
        <v/>
      </c>
      <c r="G83" s="6" t="str">
        <f>IFERROR(IF((LEN(Sheet1!V129)-LEN(SUBSTITUTE(Sheet1!V129,", ","")))/2=1,VLOOKUP(LEFT(Sheet1!V129,FIND(", ",Sheet1!V129)-1),Sheet1!$A$1:$B$40,2,FALSE)&amp;","&amp;VLOOKUP(RIGHT(Sheet1!V129,LEN(Sheet1!V129)-FIND(", ",Sheet1!V129)-1),Sheet1!$A$1:$B$40,2,FALSE),""),"")</f>
        <v/>
      </c>
      <c r="H83" s="6" t="str">
        <f>IF((LEN(Sheet1!V129)-LEN(SUBSTITUTE(Sheet1!V129,", ","")))/2=2,VLOOKUP(LEFT(Sheet1!V129,FIND(", ",Sheet1!V129)-1),Sheet1!$A$1:$B$40,2,FALSE)&amp;","&amp;VLOOKUP(MID(Sheet1!V129,FIND("#",SUBSTITUTE(Sheet1!V129,", ","#",1))+2,FIND("#",SUBSTITUTE(Sheet1!V129,", ","#",2))-(FIND("#",SUBSTITUTE(Sheet1!V129,", ","#",1))+2)),Sheet1!$A$1:$B$40,2,FALSE)&amp;","&amp;VLOOKUP(RIGHT(Sheet1!V129,LEN(Sheet1!V129)-FIND("#",SUBSTITUTE(Sheet1!V129,", ","#",2))-1),Sheet1!$A$1:$B$40,2,FALSE),"")</f>
        <v/>
      </c>
      <c r="I83" s="6" t="str">
        <f>IF((LEN(Sheet1!V129)-LEN(SUBSTITUTE(Sheet1!V129,", ","")))/2=3,VLOOKUP(LEFT(Sheet1!V129,FIND(", ",Sheet1!V129)-1),Sheet1!$A$1:$B$40,2,FALSE)&amp;","&amp;VLOOKUP(MID(Sheet1!V129,FIND("#",SUBSTITUTE(Sheet1!V129,", ","#",1))+2,FIND("#",SUBSTITUTE(Sheet1!V129,", ","#",2))-(FIND("#",SUBSTITUTE(Sheet1!V129,", ","#",1))+2)),Sheet1!$A$1:$B$40,2,FALSE)&amp;","&amp;VLOOKUP(MID(Sheet1!V129,FIND("#",SUBSTITUTE(Sheet1!V129,", ","#",2))+2,FIND("#",SUBSTITUTE(Sheet1!V129,", ","#",3))-(FIND("#",SUBSTITUTE(Sheet1!V129,", ","#",2))+2)),Sheet1!$A$1:$B$40,2,FALSE)&amp;","&amp;VLOOKUP(RIGHT(Sheet1!V129,LEN(Sheet1!V129)-FIND("#",SUBSTITUTE(Sheet1!V129,", ","#",3))-1),Sheet1!$A$1:$B$40,2,FALSE),"")</f>
        <v/>
      </c>
      <c r="J83" s="6" t="str">
        <f>IF((LEN(Sheet1!V129)-LEN(SUBSTITUTE(Sheet1!V129,", ","")))/2=4,VLOOKUP(LEFT(Sheet1!V129,FIND(", ",Sheet1!V129)-1),Sheet1!$A$1:$B$40,2,FALSE)&amp;","&amp;VLOOKUP(MID(Sheet1!V129,FIND("#",SUBSTITUTE(Sheet1!V129,", ","#",1))+2,FIND("#",SUBSTITUTE(Sheet1!V129,", ","#",2))-(FIND("#",SUBSTITUTE(Sheet1!V129,", ","#",1))+2)),Sheet1!$A$1:$B$40,2,FALSE)&amp;","&amp;VLOOKUP(MID(Sheet1!V129,FIND("#",SUBSTITUTE(Sheet1!V129,", ","#",2))+2,FIND("#",SUBSTITUTE(Sheet1!V129,", ","#",3))-(FIND("#",SUBSTITUTE(Sheet1!V129,", ","#",2))+2)),Sheet1!$A$1:$B$40,2,FALSE)&amp;","&amp;VLOOKUP(MID(Sheet1!V129,FIND("#",SUBSTITUTE(Sheet1!V129,", ","#",3))+2,FIND("#",SUBSTITUTE(Sheet1!V129,", ","#",4))-(FIND("#",SUBSTITUTE(Sheet1!V129,", ","#",3))+2)),Sheet1!$A$1:$B$40,2,FALSE)&amp;","&amp;VLOOKUP(RIGHT(Sheet1!V129,LEN(Sheet1!V129)-FIND("#",SUBSTITUTE(Sheet1!V129,", ","#",4))-1),Sheet1!$A$1:$B$40,2,FALSE),"")</f>
        <v/>
      </c>
      <c r="K83" s="6" t="str">
        <f t="shared" si="10"/>
        <v/>
      </c>
      <c r="L83" s="6" t="str">
        <f>IFERROR(IF((LEN(Sheet1!AA129)-LEN(SUBSTITUTE(Sheet1!AA129,", ","")))/2=0,VLOOKUP(Sheet1!AA129,Sheet1!$A$1:$B$40,2,FALSE),""),"")</f>
        <v/>
      </c>
      <c r="M83" s="6" t="str">
        <f>IFERROR(IF((LEN(Sheet1!AA129)-LEN(SUBSTITUTE(Sheet1!AA129,", ","")))/2=1,VLOOKUP(LEFT(Sheet1!AA129,FIND(", ",Sheet1!AA129)-1),Sheet1!$A$1:$B$40,2,FALSE)&amp;","&amp;VLOOKUP(RIGHT(Sheet1!AA129,LEN(Sheet1!AA129)-FIND(", ",Sheet1!AA129)-1),Sheet1!$A$1:$B$40,2,FALSE),""),"")</f>
        <v/>
      </c>
      <c r="N83" s="6" t="str">
        <f t="shared" si="11"/>
        <v/>
      </c>
    </row>
    <row r="84" spans="1:14">
      <c r="A84" s="5" t="str">
        <f>IFERROR(IF((LEN(Sheet1!N130)-LEN(SUBSTITUTE(Sheet1!N130,", ","")))/2=0,VLOOKUP(Sheet1!N130,Sheet1!$A$1:$B$40,2,FALSE),""),"")</f>
        <v/>
      </c>
      <c r="B84" s="6" t="str">
        <f>IFERROR(IF((LEN(Sheet1!N130)-LEN(SUBSTITUTE(Sheet1!N130,", ","")))/2=1,VLOOKUP(LEFT(Sheet1!N130,FIND(", ",Sheet1!N130)-1),Sheet1!$A$1:$B$40,2,FALSE)&amp;","&amp;VLOOKUP(RIGHT(Sheet1!N130,LEN(Sheet1!N130)-FIND(", ",Sheet1!N130)-1),Sheet1!$A$1:$B$40,2,FALSE),""),"")</f>
        <v/>
      </c>
      <c r="C84" s="6" t="str">
        <f>IF((LEN(Sheet1!N130)-LEN(SUBSTITUTE(Sheet1!N130,", ","")))/2=2,VLOOKUP(LEFT(Sheet1!N130,FIND(", ",Sheet1!N130)-1),Sheet1!$A$1:$B$40,2,FALSE)&amp;","&amp;VLOOKUP(MID(Sheet1!N130,FIND("#",SUBSTITUTE(Sheet1!N130,", ","#",1))+2,FIND("#",SUBSTITUTE(Sheet1!N130,", ","#",2))-(FIND("#",SUBSTITUTE(Sheet1!N130,", ","#",1))+2)),Sheet1!$A$1:$B$40,2,FALSE)&amp;","&amp;VLOOKUP(RIGHT(Sheet1!N130,LEN(Sheet1!N130)-FIND("#",SUBSTITUTE(Sheet1!N130,", ","#",2))-1),Sheet1!$A$1:$B$40,2,FALSE),"")</f>
        <v/>
      </c>
      <c r="D84" s="6" t="str">
        <f>IF((LEN(Sheet1!N130)-LEN(SUBSTITUTE(Sheet1!N130,", ","")))/2=3,VLOOKUP(LEFT(Sheet1!N130,FIND(", ",Sheet1!N130)-1),Sheet1!$A$1:$B$40,2,FALSE)&amp;","&amp;VLOOKUP(MID(Sheet1!N130,FIND("#",SUBSTITUTE(Sheet1!N130,", ","#",1))+2,FIND("#",SUBSTITUTE(Sheet1!N130,", ","#",2))-(FIND("#",SUBSTITUTE(Sheet1!N130,", ","#",1))+2)),Sheet1!$A$1:$B$40,2,FALSE)&amp;","&amp;VLOOKUP(MID(Sheet1!N130,FIND("#",SUBSTITUTE(Sheet1!N130,", ","#",2))+2,FIND("#",SUBSTITUTE(Sheet1!N130,", ","#",3))-(FIND("#",SUBSTITUTE(Sheet1!N130,", ","#",2))+2)),Sheet1!$A$1:$B$40,2,FALSE)&amp;","&amp;VLOOKUP(RIGHT(Sheet1!N130,LEN(Sheet1!N130)-FIND("#",SUBSTITUTE(Sheet1!N130,", ","#",3))-1),Sheet1!$A$1:$B$40,2,FALSE),"")</f>
        <v/>
      </c>
      <c r="E84" s="6" t="str">
        <f t="shared" si="12"/>
        <v/>
      </c>
      <c r="F84" s="6" t="str">
        <f>IFERROR(IF((LEN(Sheet1!V130)-LEN(SUBSTITUTE(Sheet1!V130,", ","")))/2=0,VLOOKUP(Sheet1!V130,Sheet1!$A$1:$B$40,2,FALSE),""),"")</f>
        <v/>
      </c>
      <c r="G84" s="6" t="str">
        <f>IFERROR(IF((LEN(Sheet1!V130)-LEN(SUBSTITUTE(Sheet1!V130,", ","")))/2=1,VLOOKUP(LEFT(Sheet1!V130,FIND(", ",Sheet1!V130)-1),Sheet1!$A$1:$B$40,2,FALSE)&amp;","&amp;VLOOKUP(RIGHT(Sheet1!V130,LEN(Sheet1!V130)-FIND(", ",Sheet1!V130)-1),Sheet1!$A$1:$B$40,2,FALSE),""),"")</f>
        <v/>
      </c>
      <c r="H84" s="6" t="str">
        <f>IF((LEN(Sheet1!V130)-LEN(SUBSTITUTE(Sheet1!V130,", ","")))/2=2,VLOOKUP(LEFT(Sheet1!V130,FIND(", ",Sheet1!V130)-1),Sheet1!$A$1:$B$40,2,FALSE)&amp;","&amp;VLOOKUP(MID(Sheet1!V130,FIND("#",SUBSTITUTE(Sheet1!V130,", ","#",1))+2,FIND("#",SUBSTITUTE(Sheet1!V130,", ","#",2))-(FIND("#",SUBSTITUTE(Sheet1!V130,", ","#",1))+2)),Sheet1!$A$1:$B$40,2,FALSE)&amp;","&amp;VLOOKUP(RIGHT(Sheet1!V130,LEN(Sheet1!V130)-FIND("#",SUBSTITUTE(Sheet1!V130,", ","#",2))-1),Sheet1!$A$1:$B$40,2,FALSE),"")</f>
        <v/>
      </c>
      <c r="I84" s="6" t="str">
        <f>IF((LEN(Sheet1!V130)-LEN(SUBSTITUTE(Sheet1!V130,", ","")))/2=3,VLOOKUP(LEFT(Sheet1!V130,FIND(", ",Sheet1!V130)-1),Sheet1!$A$1:$B$40,2,FALSE)&amp;","&amp;VLOOKUP(MID(Sheet1!V130,FIND("#",SUBSTITUTE(Sheet1!V130,", ","#",1))+2,FIND("#",SUBSTITUTE(Sheet1!V130,", ","#",2))-(FIND("#",SUBSTITUTE(Sheet1!V130,", ","#",1))+2)),Sheet1!$A$1:$B$40,2,FALSE)&amp;","&amp;VLOOKUP(MID(Sheet1!V130,FIND("#",SUBSTITUTE(Sheet1!V130,", ","#",2))+2,FIND("#",SUBSTITUTE(Sheet1!V130,", ","#",3))-(FIND("#",SUBSTITUTE(Sheet1!V130,", ","#",2))+2)),Sheet1!$A$1:$B$40,2,FALSE)&amp;","&amp;VLOOKUP(RIGHT(Sheet1!V130,LEN(Sheet1!V130)-FIND("#",SUBSTITUTE(Sheet1!V130,", ","#",3))-1),Sheet1!$A$1:$B$40,2,FALSE),"")</f>
        <v/>
      </c>
      <c r="J84" s="6" t="str">
        <f>IF((LEN(Sheet1!V130)-LEN(SUBSTITUTE(Sheet1!V130,", ","")))/2=4,VLOOKUP(LEFT(Sheet1!V130,FIND(", ",Sheet1!V130)-1),Sheet1!$A$1:$B$40,2,FALSE)&amp;","&amp;VLOOKUP(MID(Sheet1!V130,FIND("#",SUBSTITUTE(Sheet1!V130,", ","#",1))+2,FIND("#",SUBSTITUTE(Sheet1!V130,", ","#",2))-(FIND("#",SUBSTITUTE(Sheet1!V130,", ","#",1))+2)),Sheet1!$A$1:$B$40,2,FALSE)&amp;","&amp;VLOOKUP(MID(Sheet1!V130,FIND("#",SUBSTITUTE(Sheet1!V130,", ","#",2))+2,FIND("#",SUBSTITUTE(Sheet1!V130,", ","#",3))-(FIND("#",SUBSTITUTE(Sheet1!V130,", ","#",2))+2)),Sheet1!$A$1:$B$40,2,FALSE)&amp;","&amp;VLOOKUP(MID(Sheet1!V130,FIND("#",SUBSTITUTE(Sheet1!V130,", ","#",3))+2,FIND("#",SUBSTITUTE(Sheet1!V130,", ","#",4))-(FIND("#",SUBSTITUTE(Sheet1!V130,", ","#",3))+2)),Sheet1!$A$1:$B$40,2,FALSE)&amp;","&amp;VLOOKUP(RIGHT(Sheet1!V130,LEN(Sheet1!V130)-FIND("#",SUBSTITUTE(Sheet1!V130,", ","#",4))-1),Sheet1!$A$1:$B$40,2,FALSE),"")</f>
        <v/>
      </c>
      <c r="K84" s="6" t="str">
        <f t="shared" si="10"/>
        <v/>
      </c>
      <c r="L84" s="6" t="str">
        <f>IFERROR(IF((LEN(Sheet1!AA130)-LEN(SUBSTITUTE(Sheet1!AA130,", ","")))/2=0,VLOOKUP(Sheet1!AA130,Sheet1!$A$1:$B$40,2,FALSE),""),"")</f>
        <v/>
      </c>
      <c r="M84" s="6" t="str">
        <f>IFERROR(IF((LEN(Sheet1!AA130)-LEN(SUBSTITUTE(Sheet1!AA130,", ","")))/2=1,VLOOKUP(LEFT(Sheet1!AA130,FIND(", ",Sheet1!AA130)-1),Sheet1!$A$1:$B$40,2,FALSE)&amp;","&amp;VLOOKUP(RIGHT(Sheet1!AA130,LEN(Sheet1!AA130)-FIND(", ",Sheet1!AA130)-1),Sheet1!$A$1:$B$40,2,FALSE),""),"")</f>
        <v/>
      </c>
      <c r="N84" s="6" t="str">
        <f t="shared" si="11"/>
        <v/>
      </c>
    </row>
    <row r="85" spans="1:14">
      <c r="A85" s="5" t="str">
        <f>IFERROR(IF((LEN(Sheet1!N131)-LEN(SUBSTITUTE(Sheet1!N131,", ","")))/2=0,VLOOKUP(Sheet1!N131,Sheet1!$A$1:$B$40,2,FALSE),""),"")</f>
        <v/>
      </c>
      <c r="B85" s="6" t="str">
        <f>IFERROR(IF((LEN(Sheet1!N131)-LEN(SUBSTITUTE(Sheet1!N131,", ","")))/2=1,VLOOKUP(LEFT(Sheet1!N131,FIND(", ",Sheet1!N131)-1),Sheet1!$A$1:$B$40,2,FALSE)&amp;","&amp;VLOOKUP(RIGHT(Sheet1!N131,LEN(Sheet1!N131)-FIND(", ",Sheet1!N131)-1),Sheet1!$A$1:$B$40,2,FALSE),""),"")</f>
        <v/>
      </c>
      <c r="C85" s="6" t="str">
        <f>IF((LEN(Sheet1!N131)-LEN(SUBSTITUTE(Sheet1!N131,", ","")))/2=2,VLOOKUP(LEFT(Sheet1!N131,FIND(", ",Sheet1!N131)-1),Sheet1!$A$1:$B$40,2,FALSE)&amp;","&amp;VLOOKUP(MID(Sheet1!N131,FIND("#",SUBSTITUTE(Sheet1!N131,", ","#",1))+2,FIND("#",SUBSTITUTE(Sheet1!N131,", ","#",2))-(FIND("#",SUBSTITUTE(Sheet1!N131,", ","#",1))+2)),Sheet1!$A$1:$B$40,2,FALSE)&amp;","&amp;VLOOKUP(RIGHT(Sheet1!N131,LEN(Sheet1!N131)-FIND("#",SUBSTITUTE(Sheet1!N131,", ","#",2))-1),Sheet1!$A$1:$B$40,2,FALSE),"")</f>
        <v/>
      </c>
      <c r="D85" s="6" t="str">
        <f>IF((LEN(Sheet1!N131)-LEN(SUBSTITUTE(Sheet1!N131,", ","")))/2=3,VLOOKUP(LEFT(Sheet1!N131,FIND(", ",Sheet1!N131)-1),Sheet1!$A$1:$B$40,2,FALSE)&amp;","&amp;VLOOKUP(MID(Sheet1!N131,FIND("#",SUBSTITUTE(Sheet1!N131,", ","#",1))+2,FIND("#",SUBSTITUTE(Sheet1!N131,", ","#",2))-(FIND("#",SUBSTITUTE(Sheet1!N131,", ","#",1))+2)),Sheet1!$A$1:$B$40,2,FALSE)&amp;","&amp;VLOOKUP(MID(Sheet1!N131,FIND("#",SUBSTITUTE(Sheet1!N131,", ","#",2))+2,FIND("#",SUBSTITUTE(Sheet1!N131,", ","#",3))-(FIND("#",SUBSTITUTE(Sheet1!N131,", ","#",2))+2)),Sheet1!$A$1:$B$40,2,FALSE)&amp;","&amp;VLOOKUP(RIGHT(Sheet1!N131,LEN(Sheet1!N131)-FIND("#",SUBSTITUTE(Sheet1!N131,", ","#",3))-1),Sheet1!$A$1:$B$40,2,FALSE),"")</f>
        <v/>
      </c>
      <c r="E85" s="6" t="str">
        <f t="shared" si="12"/>
        <v/>
      </c>
      <c r="F85" s="6" t="str">
        <f>IFERROR(IF((LEN(Sheet1!V131)-LEN(SUBSTITUTE(Sheet1!V131,", ","")))/2=0,VLOOKUP(Sheet1!V131,Sheet1!$A$1:$B$40,2,FALSE),""),"")</f>
        <v/>
      </c>
      <c r="G85" s="6" t="str">
        <f>IFERROR(IF((LEN(Sheet1!V131)-LEN(SUBSTITUTE(Sheet1!V131,", ","")))/2=1,VLOOKUP(LEFT(Sheet1!V131,FIND(", ",Sheet1!V131)-1),Sheet1!$A$1:$B$40,2,FALSE)&amp;","&amp;VLOOKUP(RIGHT(Sheet1!V131,LEN(Sheet1!V131)-FIND(", ",Sheet1!V131)-1),Sheet1!$A$1:$B$40,2,FALSE),""),"")</f>
        <v/>
      </c>
      <c r="H85" s="6" t="str">
        <f>IF((LEN(Sheet1!V131)-LEN(SUBSTITUTE(Sheet1!V131,", ","")))/2=2,VLOOKUP(LEFT(Sheet1!V131,FIND(", ",Sheet1!V131)-1),Sheet1!$A$1:$B$40,2,FALSE)&amp;","&amp;VLOOKUP(MID(Sheet1!V131,FIND("#",SUBSTITUTE(Sheet1!V131,", ","#",1))+2,FIND("#",SUBSTITUTE(Sheet1!V131,", ","#",2))-(FIND("#",SUBSTITUTE(Sheet1!V131,", ","#",1))+2)),Sheet1!$A$1:$B$40,2,FALSE)&amp;","&amp;VLOOKUP(RIGHT(Sheet1!V131,LEN(Sheet1!V131)-FIND("#",SUBSTITUTE(Sheet1!V131,", ","#",2))-1),Sheet1!$A$1:$B$40,2,FALSE),"")</f>
        <v/>
      </c>
      <c r="I85" s="6" t="str">
        <f>IF((LEN(Sheet1!V131)-LEN(SUBSTITUTE(Sheet1!V131,", ","")))/2=3,VLOOKUP(LEFT(Sheet1!V131,FIND(", ",Sheet1!V131)-1),Sheet1!$A$1:$B$40,2,FALSE)&amp;","&amp;VLOOKUP(MID(Sheet1!V131,FIND("#",SUBSTITUTE(Sheet1!V131,", ","#",1))+2,FIND("#",SUBSTITUTE(Sheet1!V131,", ","#",2))-(FIND("#",SUBSTITUTE(Sheet1!V131,", ","#",1))+2)),Sheet1!$A$1:$B$40,2,FALSE)&amp;","&amp;VLOOKUP(MID(Sheet1!V131,FIND("#",SUBSTITUTE(Sheet1!V131,", ","#",2))+2,FIND("#",SUBSTITUTE(Sheet1!V131,", ","#",3))-(FIND("#",SUBSTITUTE(Sheet1!V131,", ","#",2))+2)),Sheet1!$A$1:$B$40,2,FALSE)&amp;","&amp;VLOOKUP(RIGHT(Sheet1!V131,LEN(Sheet1!V131)-FIND("#",SUBSTITUTE(Sheet1!V131,", ","#",3))-1),Sheet1!$A$1:$B$40,2,FALSE),"")</f>
        <v/>
      </c>
      <c r="J85" s="6" t="str">
        <f>IF((LEN(Sheet1!V131)-LEN(SUBSTITUTE(Sheet1!V131,", ","")))/2=4,VLOOKUP(LEFT(Sheet1!V131,FIND(", ",Sheet1!V131)-1),Sheet1!$A$1:$B$40,2,FALSE)&amp;","&amp;VLOOKUP(MID(Sheet1!V131,FIND("#",SUBSTITUTE(Sheet1!V131,", ","#",1))+2,FIND("#",SUBSTITUTE(Sheet1!V131,", ","#",2))-(FIND("#",SUBSTITUTE(Sheet1!V131,", ","#",1))+2)),Sheet1!$A$1:$B$40,2,FALSE)&amp;","&amp;VLOOKUP(MID(Sheet1!V131,FIND("#",SUBSTITUTE(Sheet1!V131,", ","#",2))+2,FIND("#",SUBSTITUTE(Sheet1!V131,", ","#",3))-(FIND("#",SUBSTITUTE(Sheet1!V131,", ","#",2))+2)),Sheet1!$A$1:$B$40,2,FALSE)&amp;","&amp;VLOOKUP(MID(Sheet1!V131,FIND("#",SUBSTITUTE(Sheet1!V131,", ","#",3))+2,FIND("#",SUBSTITUTE(Sheet1!V131,", ","#",4))-(FIND("#",SUBSTITUTE(Sheet1!V131,", ","#",3))+2)),Sheet1!$A$1:$B$40,2,FALSE)&amp;","&amp;VLOOKUP(RIGHT(Sheet1!V131,LEN(Sheet1!V131)-FIND("#",SUBSTITUTE(Sheet1!V131,", ","#",4))-1),Sheet1!$A$1:$B$40,2,FALSE),"")</f>
        <v/>
      </c>
      <c r="K85" s="6" t="str">
        <f t="shared" si="10"/>
        <v/>
      </c>
      <c r="L85" s="6" t="str">
        <f>IFERROR(IF((LEN(Sheet1!AA131)-LEN(SUBSTITUTE(Sheet1!AA131,", ","")))/2=0,VLOOKUP(Sheet1!AA131,Sheet1!$A$1:$B$40,2,FALSE),""),"")</f>
        <v/>
      </c>
      <c r="M85" s="6" t="str">
        <f>IFERROR(IF((LEN(Sheet1!AA131)-LEN(SUBSTITUTE(Sheet1!AA131,", ","")))/2=1,VLOOKUP(LEFT(Sheet1!AA131,FIND(", ",Sheet1!AA131)-1),Sheet1!$A$1:$B$40,2,FALSE)&amp;","&amp;VLOOKUP(RIGHT(Sheet1!AA131,LEN(Sheet1!AA131)-FIND(", ",Sheet1!AA131)-1),Sheet1!$A$1:$B$40,2,FALSE),""),"")</f>
        <v/>
      </c>
      <c r="N85" s="6" t="str">
        <f t="shared" si="11"/>
        <v/>
      </c>
    </row>
    <row r="86" spans="1:14">
      <c r="A86" s="5" t="str">
        <f>IFERROR(IF((LEN(Sheet1!N132)-LEN(SUBSTITUTE(Sheet1!N132,", ","")))/2=0,VLOOKUP(Sheet1!N132,Sheet1!$A$1:$B$40,2,FALSE),""),"")</f>
        <v/>
      </c>
      <c r="B86" s="6" t="str">
        <f>IFERROR(IF((LEN(Sheet1!N132)-LEN(SUBSTITUTE(Sheet1!N132,", ","")))/2=1,VLOOKUP(LEFT(Sheet1!N132,FIND(", ",Sheet1!N132)-1),Sheet1!$A$1:$B$40,2,FALSE)&amp;","&amp;VLOOKUP(RIGHT(Sheet1!N132,LEN(Sheet1!N132)-FIND(", ",Sheet1!N132)-1),Sheet1!$A$1:$B$40,2,FALSE),""),"")</f>
        <v/>
      </c>
      <c r="C86" s="6" t="str">
        <f>IF((LEN(Sheet1!N132)-LEN(SUBSTITUTE(Sheet1!N132,", ","")))/2=2,VLOOKUP(LEFT(Sheet1!N132,FIND(", ",Sheet1!N132)-1),Sheet1!$A$1:$B$40,2,FALSE)&amp;","&amp;VLOOKUP(MID(Sheet1!N132,FIND("#",SUBSTITUTE(Sheet1!N132,", ","#",1))+2,FIND("#",SUBSTITUTE(Sheet1!N132,", ","#",2))-(FIND("#",SUBSTITUTE(Sheet1!N132,", ","#",1))+2)),Sheet1!$A$1:$B$40,2,FALSE)&amp;","&amp;VLOOKUP(RIGHT(Sheet1!N132,LEN(Sheet1!N132)-FIND("#",SUBSTITUTE(Sheet1!N132,", ","#",2))-1),Sheet1!$A$1:$B$40,2,FALSE),"")</f>
        <v/>
      </c>
      <c r="D86" s="6" t="str">
        <f>IF((LEN(Sheet1!N132)-LEN(SUBSTITUTE(Sheet1!N132,", ","")))/2=3,VLOOKUP(LEFT(Sheet1!N132,FIND(", ",Sheet1!N132)-1),Sheet1!$A$1:$B$40,2,FALSE)&amp;","&amp;VLOOKUP(MID(Sheet1!N132,FIND("#",SUBSTITUTE(Sheet1!N132,", ","#",1))+2,FIND("#",SUBSTITUTE(Sheet1!N132,", ","#",2))-(FIND("#",SUBSTITUTE(Sheet1!N132,", ","#",1))+2)),Sheet1!$A$1:$B$40,2,FALSE)&amp;","&amp;VLOOKUP(MID(Sheet1!N132,FIND("#",SUBSTITUTE(Sheet1!N132,", ","#",2))+2,FIND("#",SUBSTITUTE(Sheet1!N132,", ","#",3))-(FIND("#",SUBSTITUTE(Sheet1!N132,", ","#",2))+2)),Sheet1!$A$1:$B$40,2,FALSE)&amp;","&amp;VLOOKUP(RIGHT(Sheet1!N132,LEN(Sheet1!N132)-FIND("#",SUBSTITUTE(Sheet1!N132,", ","#",3))-1),Sheet1!$A$1:$B$40,2,FALSE),"")</f>
        <v/>
      </c>
      <c r="E86" s="6" t="str">
        <f t="shared" si="12"/>
        <v/>
      </c>
      <c r="F86" s="6" t="str">
        <f>IFERROR(IF((LEN(Sheet1!V132)-LEN(SUBSTITUTE(Sheet1!V132,", ","")))/2=0,VLOOKUP(Sheet1!V132,Sheet1!$A$1:$B$40,2,FALSE),""),"")</f>
        <v/>
      </c>
      <c r="G86" s="6" t="str">
        <f>IFERROR(IF((LEN(Sheet1!V132)-LEN(SUBSTITUTE(Sheet1!V132,", ","")))/2=1,VLOOKUP(LEFT(Sheet1!V132,FIND(", ",Sheet1!V132)-1),Sheet1!$A$1:$B$40,2,FALSE)&amp;","&amp;VLOOKUP(RIGHT(Sheet1!V132,LEN(Sheet1!V132)-FIND(", ",Sheet1!V132)-1),Sheet1!$A$1:$B$40,2,FALSE),""),"")</f>
        <v/>
      </c>
      <c r="H86" s="6" t="str">
        <f>IF((LEN(Sheet1!V132)-LEN(SUBSTITUTE(Sheet1!V132,", ","")))/2=2,VLOOKUP(LEFT(Sheet1!V132,FIND(", ",Sheet1!V132)-1),Sheet1!$A$1:$B$40,2,FALSE)&amp;","&amp;VLOOKUP(MID(Sheet1!V132,FIND("#",SUBSTITUTE(Sheet1!V132,", ","#",1))+2,FIND("#",SUBSTITUTE(Sheet1!V132,", ","#",2))-(FIND("#",SUBSTITUTE(Sheet1!V132,", ","#",1))+2)),Sheet1!$A$1:$B$40,2,FALSE)&amp;","&amp;VLOOKUP(RIGHT(Sheet1!V132,LEN(Sheet1!V132)-FIND("#",SUBSTITUTE(Sheet1!V132,", ","#",2))-1),Sheet1!$A$1:$B$40,2,FALSE),"")</f>
        <v/>
      </c>
      <c r="I86" s="6" t="str">
        <f>IF((LEN(Sheet1!V132)-LEN(SUBSTITUTE(Sheet1!V132,", ","")))/2=3,VLOOKUP(LEFT(Sheet1!V132,FIND(", ",Sheet1!V132)-1),Sheet1!$A$1:$B$40,2,FALSE)&amp;","&amp;VLOOKUP(MID(Sheet1!V132,FIND("#",SUBSTITUTE(Sheet1!V132,", ","#",1))+2,FIND("#",SUBSTITUTE(Sheet1!V132,", ","#",2))-(FIND("#",SUBSTITUTE(Sheet1!V132,", ","#",1))+2)),Sheet1!$A$1:$B$40,2,FALSE)&amp;","&amp;VLOOKUP(MID(Sheet1!V132,FIND("#",SUBSTITUTE(Sheet1!V132,", ","#",2))+2,FIND("#",SUBSTITUTE(Sheet1!V132,", ","#",3))-(FIND("#",SUBSTITUTE(Sheet1!V132,", ","#",2))+2)),Sheet1!$A$1:$B$40,2,FALSE)&amp;","&amp;VLOOKUP(RIGHT(Sheet1!V132,LEN(Sheet1!V132)-FIND("#",SUBSTITUTE(Sheet1!V132,", ","#",3))-1),Sheet1!$A$1:$B$40,2,FALSE),"")</f>
        <v/>
      </c>
      <c r="J86" s="6" t="str">
        <f>IF((LEN(Sheet1!V132)-LEN(SUBSTITUTE(Sheet1!V132,", ","")))/2=4,VLOOKUP(LEFT(Sheet1!V132,FIND(", ",Sheet1!V132)-1),Sheet1!$A$1:$B$40,2,FALSE)&amp;","&amp;VLOOKUP(MID(Sheet1!V132,FIND("#",SUBSTITUTE(Sheet1!V132,", ","#",1))+2,FIND("#",SUBSTITUTE(Sheet1!V132,", ","#",2))-(FIND("#",SUBSTITUTE(Sheet1!V132,", ","#",1))+2)),Sheet1!$A$1:$B$40,2,FALSE)&amp;","&amp;VLOOKUP(MID(Sheet1!V132,FIND("#",SUBSTITUTE(Sheet1!V132,", ","#",2))+2,FIND("#",SUBSTITUTE(Sheet1!V132,", ","#",3))-(FIND("#",SUBSTITUTE(Sheet1!V132,", ","#",2))+2)),Sheet1!$A$1:$B$40,2,FALSE)&amp;","&amp;VLOOKUP(MID(Sheet1!V132,FIND("#",SUBSTITUTE(Sheet1!V132,", ","#",3))+2,FIND("#",SUBSTITUTE(Sheet1!V132,", ","#",4))-(FIND("#",SUBSTITUTE(Sheet1!V132,", ","#",3))+2)),Sheet1!$A$1:$B$40,2,FALSE)&amp;","&amp;VLOOKUP(RIGHT(Sheet1!V132,LEN(Sheet1!V132)-FIND("#",SUBSTITUTE(Sheet1!V132,", ","#",4))-1),Sheet1!$A$1:$B$40,2,FALSE),"")</f>
        <v/>
      </c>
      <c r="K86" s="6" t="str">
        <f t="shared" si="10"/>
        <v/>
      </c>
      <c r="L86" s="6" t="str">
        <f>IFERROR(IF((LEN(Sheet1!AA132)-LEN(SUBSTITUTE(Sheet1!AA132,", ","")))/2=0,VLOOKUP(Sheet1!AA132,Sheet1!$A$1:$B$40,2,FALSE),""),"")</f>
        <v/>
      </c>
      <c r="M86" s="6" t="str">
        <f>IFERROR(IF((LEN(Sheet1!AA132)-LEN(SUBSTITUTE(Sheet1!AA132,", ","")))/2=1,VLOOKUP(LEFT(Sheet1!AA132,FIND(", ",Sheet1!AA132)-1),Sheet1!$A$1:$B$40,2,FALSE)&amp;","&amp;VLOOKUP(RIGHT(Sheet1!AA132,LEN(Sheet1!AA132)-FIND(", ",Sheet1!AA132)-1),Sheet1!$A$1:$B$40,2,FALSE),""),"")</f>
        <v/>
      </c>
      <c r="N86" s="6" t="str">
        <f t="shared" si="11"/>
        <v/>
      </c>
    </row>
    <row r="87" spans="1:14">
      <c r="A87" s="5" t="str">
        <f>IFERROR(IF((LEN(Sheet1!N133)-LEN(SUBSTITUTE(Sheet1!N133,", ","")))/2=0,VLOOKUP(Sheet1!N133,Sheet1!$A$1:$B$40,2,FALSE),""),"")</f>
        <v/>
      </c>
      <c r="B87" s="6" t="str">
        <f>IFERROR(IF((LEN(Sheet1!N133)-LEN(SUBSTITUTE(Sheet1!N133,", ","")))/2=1,VLOOKUP(LEFT(Sheet1!N133,FIND(", ",Sheet1!N133)-1),Sheet1!$A$1:$B$40,2,FALSE)&amp;","&amp;VLOOKUP(RIGHT(Sheet1!N133,LEN(Sheet1!N133)-FIND(", ",Sheet1!N133)-1),Sheet1!$A$1:$B$40,2,FALSE),""),"")</f>
        <v/>
      </c>
      <c r="C87" s="6" t="str">
        <f>IF((LEN(Sheet1!N133)-LEN(SUBSTITUTE(Sheet1!N133,", ","")))/2=2,VLOOKUP(LEFT(Sheet1!N133,FIND(", ",Sheet1!N133)-1),Sheet1!$A$1:$B$40,2,FALSE)&amp;","&amp;VLOOKUP(MID(Sheet1!N133,FIND("#",SUBSTITUTE(Sheet1!N133,", ","#",1))+2,FIND("#",SUBSTITUTE(Sheet1!N133,", ","#",2))-(FIND("#",SUBSTITUTE(Sheet1!N133,", ","#",1))+2)),Sheet1!$A$1:$B$40,2,FALSE)&amp;","&amp;VLOOKUP(RIGHT(Sheet1!N133,LEN(Sheet1!N133)-FIND("#",SUBSTITUTE(Sheet1!N133,", ","#",2))-1),Sheet1!$A$1:$B$40,2,FALSE),"")</f>
        <v/>
      </c>
      <c r="D87" s="6" t="str">
        <f>IF((LEN(Sheet1!N133)-LEN(SUBSTITUTE(Sheet1!N133,", ","")))/2=3,VLOOKUP(LEFT(Sheet1!N133,FIND(", ",Sheet1!N133)-1),Sheet1!$A$1:$B$40,2,FALSE)&amp;","&amp;VLOOKUP(MID(Sheet1!N133,FIND("#",SUBSTITUTE(Sheet1!N133,", ","#",1))+2,FIND("#",SUBSTITUTE(Sheet1!N133,", ","#",2))-(FIND("#",SUBSTITUTE(Sheet1!N133,", ","#",1))+2)),Sheet1!$A$1:$B$40,2,FALSE)&amp;","&amp;VLOOKUP(MID(Sheet1!N133,FIND("#",SUBSTITUTE(Sheet1!N133,", ","#",2))+2,FIND("#",SUBSTITUTE(Sheet1!N133,", ","#",3))-(FIND("#",SUBSTITUTE(Sheet1!N133,", ","#",2))+2)),Sheet1!$A$1:$B$40,2,FALSE)&amp;","&amp;VLOOKUP(RIGHT(Sheet1!N133,LEN(Sheet1!N133)-FIND("#",SUBSTITUTE(Sheet1!N133,", ","#",3))-1),Sheet1!$A$1:$B$40,2,FALSE),"")</f>
        <v/>
      </c>
      <c r="E87" s="6" t="str">
        <f t="shared" si="12"/>
        <v/>
      </c>
      <c r="F87" s="6" t="str">
        <f>IFERROR(IF((LEN(Sheet1!V133)-LEN(SUBSTITUTE(Sheet1!V133,", ","")))/2=0,VLOOKUP(Sheet1!V133,Sheet1!$A$1:$B$40,2,FALSE),""),"")</f>
        <v/>
      </c>
      <c r="G87" s="6" t="str">
        <f>IFERROR(IF((LEN(Sheet1!V133)-LEN(SUBSTITUTE(Sheet1!V133,", ","")))/2=1,VLOOKUP(LEFT(Sheet1!V133,FIND(", ",Sheet1!V133)-1),Sheet1!$A$1:$B$40,2,FALSE)&amp;","&amp;VLOOKUP(RIGHT(Sheet1!V133,LEN(Sheet1!V133)-FIND(", ",Sheet1!V133)-1),Sheet1!$A$1:$B$40,2,FALSE),""),"")</f>
        <v/>
      </c>
      <c r="H87" s="6" t="str">
        <f>IF((LEN(Sheet1!V133)-LEN(SUBSTITUTE(Sheet1!V133,", ","")))/2=2,VLOOKUP(LEFT(Sheet1!V133,FIND(", ",Sheet1!V133)-1),Sheet1!$A$1:$B$40,2,FALSE)&amp;","&amp;VLOOKUP(MID(Sheet1!V133,FIND("#",SUBSTITUTE(Sheet1!V133,", ","#",1))+2,FIND("#",SUBSTITUTE(Sheet1!V133,", ","#",2))-(FIND("#",SUBSTITUTE(Sheet1!V133,", ","#",1))+2)),Sheet1!$A$1:$B$40,2,FALSE)&amp;","&amp;VLOOKUP(RIGHT(Sheet1!V133,LEN(Sheet1!V133)-FIND("#",SUBSTITUTE(Sheet1!V133,", ","#",2))-1),Sheet1!$A$1:$B$40,2,FALSE),"")</f>
        <v/>
      </c>
      <c r="I87" s="6" t="str">
        <f>IF((LEN(Sheet1!V133)-LEN(SUBSTITUTE(Sheet1!V133,", ","")))/2=3,VLOOKUP(LEFT(Sheet1!V133,FIND(", ",Sheet1!V133)-1),Sheet1!$A$1:$B$40,2,FALSE)&amp;","&amp;VLOOKUP(MID(Sheet1!V133,FIND("#",SUBSTITUTE(Sheet1!V133,", ","#",1))+2,FIND("#",SUBSTITUTE(Sheet1!V133,", ","#",2))-(FIND("#",SUBSTITUTE(Sheet1!V133,", ","#",1))+2)),Sheet1!$A$1:$B$40,2,FALSE)&amp;","&amp;VLOOKUP(MID(Sheet1!V133,FIND("#",SUBSTITUTE(Sheet1!V133,", ","#",2))+2,FIND("#",SUBSTITUTE(Sheet1!V133,", ","#",3))-(FIND("#",SUBSTITUTE(Sheet1!V133,", ","#",2))+2)),Sheet1!$A$1:$B$40,2,FALSE)&amp;","&amp;VLOOKUP(RIGHT(Sheet1!V133,LEN(Sheet1!V133)-FIND("#",SUBSTITUTE(Sheet1!V133,", ","#",3))-1),Sheet1!$A$1:$B$40,2,FALSE),"")</f>
        <v/>
      </c>
      <c r="J87" s="6" t="str">
        <f>IF((LEN(Sheet1!V133)-LEN(SUBSTITUTE(Sheet1!V133,", ","")))/2=4,VLOOKUP(LEFT(Sheet1!V133,FIND(", ",Sheet1!V133)-1),Sheet1!$A$1:$B$40,2,FALSE)&amp;","&amp;VLOOKUP(MID(Sheet1!V133,FIND("#",SUBSTITUTE(Sheet1!V133,", ","#",1))+2,FIND("#",SUBSTITUTE(Sheet1!V133,", ","#",2))-(FIND("#",SUBSTITUTE(Sheet1!V133,", ","#",1))+2)),Sheet1!$A$1:$B$40,2,FALSE)&amp;","&amp;VLOOKUP(MID(Sheet1!V133,FIND("#",SUBSTITUTE(Sheet1!V133,", ","#",2))+2,FIND("#",SUBSTITUTE(Sheet1!V133,", ","#",3))-(FIND("#",SUBSTITUTE(Sheet1!V133,", ","#",2))+2)),Sheet1!$A$1:$B$40,2,FALSE)&amp;","&amp;VLOOKUP(MID(Sheet1!V133,FIND("#",SUBSTITUTE(Sheet1!V133,", ","#",3))+2,FIND("#",SUBSTITUTE(Sheet1!V133,", ","#",4))-(FIND("#",SUBSTITUTE(Sheet1!V133,", ","#",3))+2)),Sheet1!$A$1:$B$40,2,FALSE)&amp;","&amp;VLOOKUP(RIGHT(Sheet1!V133,LEN(Sheet1!V133)-FIND("#",SUBSTITUTE(Sheet1!V133,", ","#",4))-1),Sheet1!$A$1:$B$40,2,FALSE),"")</f>
        <v/>
      </c>
      <c r="K87" s="6" t="str">
        <f t="shared" si="10"/>
        <v/>
      </c>
      <c r="L87" s="6" t="str">
        <f>IFERROR(IF((LEN(Sheet1!AA133)-LEN(SUBSTITUTE(Sheet1!AA133,", ","")))/2=0,VLOOKUP(Sheet1!AA133,Sheet1!$A$1:$B$40,2,FALSE),""),"")</f>
        <v/>
      </c>
      <c r="M87" s="6" t="str">
        <f>IFERROR(IF((LEN(Sheet1!AA133)-LEN(SUBSTITUTE(Sheet1!AA133,", ","")))/2=1,VLOOKUP(LEFT(Sheet1!AA133,FIND(", ",Sheet1!AA133)-1),Sheet1!$A$1:$B$40,2,FALSE)&amp;","&amp;VLOOKUP(RIGHT(Sheet1!AA133,LEN(Sheet1!AA133)-FIND(", ",Sheet1!AA133)-1),Sheet1!$A$1:$B$40,2,FALSE),""),"")</f>
        <v/>
      </c>
      <c r="N87" s="6" t="str">
        <f t="shared" si="11"/>
        <v/>
      </c>
    </row>
    <row r="88" spans="1:14">
      <c r="A88" s="5" t="str">
        <f>IFERROR(IF((LEN(Sheet1!N134)-LEN(SUBSTITUTE(Sheet1!N134,", ","")))/2=0,VLOOKUP(Sheet1!N134,Sheet1!$A$1:$B$40,2,FALSE),""),"")</f>
        <v/>
      </c>
      <c r="B88" s="6" t="str">
        <f>IFERROR(IF((LEN(Sheet1!N134)-LEN(SUBSTITUTE(Sheet1!N134,", ","")))/2=1,VLOOKUP(LEFT(Sheet1!N134,FIND(", ",Sheet1!N134)-1),Sheet1!$A$1:$B$40,2,FALSE)&amp;","&amp;VLOOKUP(RIGHT(Sheet1!N134,LEN(Sheet1!N134)-FIND(", ",Sheet1!N134)-1),Sheet1!$A$1:$B$40,2,FALSE),""),"")</f>
        <v/>
      </c>
      <c r="C88" s="6" t="str">
        <f>IF((LEN(Sheet1!N134)-LEN(SUBSTITUTE(Sheet1!N134,", ","")))/2=2,VLOOKUP(LEFT(Sheet1!N134,FIND(", ",Sheet1!N134)-1),Sheet1!$A$1:$B$40,2,FALSE)&amp;","&amp;VLOOKUP(MID(Sheet1!N134,FIND("#",SUBSTITUTE(Sheet1!N134,", ","#",1))+2,FIND("#",SUBSTITUTE(Sheet1!N134,", ","#",2))-(FIND("#",SUBSTITUTE(Sheet1!N134,", ","#",1))+2)),Sheet1!$A$1:$B$40,2,FALSE)&amp;","&amp;VLOOKUP(RIGHT(Sheet1!N134,LEN(Sheet1!N134)-FIND("#",SUBSTITUTE(Sheet1!N134,", ","#",2))-1),Sheet1!$A$1:$B$40,2,FALSE),"")</f>
        <v/>
      </c>
      <c r="D88" s="6" t="str">
        <f>IF((LEN(Sheet1!N134)-LEN(SUBSTITUTE(Sheet1!N134,", ","")))/2=3,VLOOKUP(LEFT(Sheet1!N134,FIND(", ",Sheet1!N134)-1),Sheet1!$A$1:$B$40,2,FALSE)&amp;","&amp;VLOOKUP(MID(Sheet1!N134,FIND("#",SUBSTITUTE(Sheet1!N134,", ","#",1))+2,FIND("#",SUBSTITUTE(Sheet1!N134,", ","#",2))-(FIND("#",SUBSTITUTE(Sheet1!N134,", ","#",1))+2)),Sheet1!$A$1:$B$40,2,FALSE)&amp;","&amp;VLOOKUP(MID(Sheet1!N134,FIND("#",SUBSTITUTE(Sheet1!N134,", ","#",2))+2,FIND("#",SUBSTITUTE(Sheet1!N134,", ","#",3))-(FIND("#",SUBSTITUTE(Sheet1!N134,", ","#",2))+2)),Sheet1!$A$1:$B$40,2,FALSE)&amp;","&amp;VLOOKUP(RIGHT(Sheet1!N134,LEN(Sheet1!N134)-FIND("#",SUBSTITUTE(Sheet1!N134,", ","#",3))-1),Sheet1!$A$1:$B$40,2,FALSE),"")</f>
        <v/>
      </c>
      <c r="E88" s="6" t="str">
        <f t="shared" si="12"/>
        <v/>
      </c>
      <c r="F88" s="6" t="str">
        <f>IFERROR(IF((LEN(Sheet1!V134)-LEN(SUBSTITUTE(Sheet1!V134,", ","")))/2=0,VLOOKUP(Sheet1!V134,Sheet1!$A$1:$B$40,2,FALSE),""),"")</f>
        <v/>
      </c>
      <c r="G88" s="6" t="str">
        <f>IFERROR(IF((LEN(Sheet1!V134)-LEN(SUBSTITUTE(Sheet1!V134,", ","")))/2=1,VLOOKUP(LEFT(Sheet1!V134,FIND(", ",Sheet1!V134)-1),Sheet1!$A$1:$B$40,2,FALSE)&amp;","&amp;VLOOKUP(RIGHT(Sheet1!V134,LEN(Sheet1!V134)-FIND(", ",Sheet1!V134)-1),Sheet1!$A$1:$B$40,2,FALSE),""),"")</f>
        <v/>
      </c>
      <c r="H88" s="6" t="str">
        <f>IF((LEN(Sheet1!V134)-LEN(SUBSTITUTE(Sheet1!V134,", ","")))/2=2,VLOOKUP(LEFT(Sheet1!V134,FIND(", ",Sheet1!V134)-1),Sheet1!$A$1:$B$40,2,FALSE)&amp;","&amp;VLOOKUP(MID(Sheet1!V134,FIND("#",SUBSTITUTE(Sheet1!V134,", ","#",1))+2,FIND("#",SUBSTITUTE(Sheet1!V134,", ","#",2))-(FIND("#",SUBSTITUTE(Sheet1!V134,", ","#",1))+2)),Sheet1!$A$1:$B$40,2,FALSE)&amp;","&amp;VLOOKUP(RIGHT(Sheet1!V134,LEN(Sheet1!V134)-FIND("#",SUBSTITUTE(Sheet1!V134,", ","#",2))-1),Sheet1!$A$1:$B$40,2,FALSE),"")</f>
        <v/>
      </c>
      <c r="I88" s="6" t="str">
        <f>IF((LEN(Sheet1!V134)-LEN(SUBSTITUTE(Sheet1!V134,", ","")))/2=3,VLOOKUP(LEFT(Sheet1!V134,FIND(", ",Sheet1!V134)-1),Sheet1!$A$1:$B$40,2,FALSE)&amp;","&amp;VLOOKUP(MID(Sheet1!V134,FIND("#",SUBSTITUTE(Sheet1!V134,", ","#",1))+2,FIND("#",SUBSTITUTE(Sheet1!V134,", ","#",2))-(FIND("#",SUBSTITUTE(Sheet1!V134,", ","#",1))+2)),Sheet1!$A$1:$B$40,2,FALSE)&amp;","&amp;VLOOKUP(MID(Sheet1!V134,FIND("#",SUBSTITUTE(Sheet1!V134,", ","#",2))+2,FIND("#",SUBSTITUTE(Sheet1!V134,", ","#",3))-(FIND("#",SUBSTITUTE(Sheet1!V134,", ","#",2))+2)),Sheet1!$A$1:$B$40,2,FALSE)&amp;","&amp;VLOOKUP(RIGHT(Sheet1!V134,LEN(Sheet1!V134)-FIND("#",SUBSTITUTE(Sheet1!V134,", ","#",3))-1),Sheet1!$A$1:$B$40,2,FALSE),"")</f>
        <v/>
      </c>
      <c r="J88" s="6" t="str">
        <f>IF((LEN(Sheet1!V134)-LEN(SUBSTITUTE(Sheet1!V134,", ","")))/2=4,VLOOKUP(LEFT(Sheet1!V134,FIND(", ",Sheet1!V134)-1),Sheet1!$A$1:$B$40,2,FALSE)&amp;","&amp;VLOOKUP(MID(Sheet1!V134,FIND("#",SUBSTITUTE(Sheet1!V134,", ","#",1))+2,FIND("#",SUBSTITUTE(Sheet1!V134,", ","#",2))-(FIND("#",SUBSTITUTE(Sheet1!V134,", ","#",1))+2)),Sheet1!$A$1:$B$40,2,FALSE)&amp;","&amp;VLOOKUP(MID(Sheet1!V134,FIND("#",SUBSTITUTE(Sheet1!V134,", ","#",2))+2,FIND("#",SUBSTITUTE(Sheet1!V134,", ","#",3))-(FIND("#",SUBSTITUTE(Sheet1!V134,", ","#",2))+2)),Sheet1!$A$1:$B$40,2,FALSE)&amp;","&amp;VLOOKUP(MID(Sheet1!V134,FIND("#",SUBSTITUTE(Sheet1!V134,", ","#",3))+2,FIND("#",SUBSTITUTE(Sheet1!V134,", ","#",4))-(FIND("#",SUBSTITUTE(Sheet1!V134,", ","#",3))+2)),Sheet1!$A$1:$B$40,2,FALSE)&amp;","&amp;VLOOKUP(RIGHT(Sheet1!V134,LEN(Sheet1!V134)-FIND("#",SUBSTITUTE(Sheet1!V134,", ","#",4))-1),Sheet1!$A$1:$B$40,2,FALSE),"")</f>
        <v/>
      </c>
      <c r="K88" s="6" t="str">
        <f t="shared" si="10"/>
        <v/>
      </c>
      <c r="L88" s="6" t="str">
        <f>IFERROR(IF((LEN(Sheet1!AA134)-LEN(SUBSTITUTE(Sheet1!AA134,", ","")))/2=0,VLOOKUP(Sheet1!AA134,Sheet1!$A$1:$B$40,2,FALSE),""),"")</f>
        <v/>
      </c>
      <c r="M88" s="6" t="str">
        <f>IFERROR(IF((LEN(Sheet1!AA134)-LEN(SUBSTITUTE(Sheet1!AA134,", ","")))/2=1,VLOOKUP(LEFT(Sheet1!AA134,FIND(", ",Sheet1!AA134)-1),Sheet1!$A$1:$B$40,2,FALSE)&amp;","&amp;VLOOKUP(RIGHT(Sheet1!AA134,LEN(Sheet1!AA134)-FIND(", ",Sheet1!AA134)-1),Sheet1!$A$1:$B$40,2,FALSE),""),"")</f>
        <v/>
      </c>
      <c r="N88" s="6" t="str">
        <f t="shared" si="11"/>
        <v/>
      </c>
    </row>
    <row r="89" spans="1:14">
      <c r="A89" s="5" t="str">
        <f>IFERROR(IF((LEN(Sheet1!N135)-LEN(SUBSTITUTE(Sheet1!N135,", ","")))/2=0,VLOOKUP(Sheet1!N135,Sheet1!$A$1:$B$40,2,FALSE),""),"")</f>
        <v/>
      </c>
      <c r="B89" s="6" t="str">
        <f>IFERROR(IF((LEN(Sheet1!N135)-LEN(SUBSTITUTE(Sheet1!N135,", ","")))/2=1,VLOOKUP(LEFT(Sheet1!N135,FIND(", ",Sheet1!N135)-1),Sheet1!$A$1:$B$40,2,FALSE)&amp;","&amp;VLOOKUP(RIGHT(Sheet1!N135,LEN(Sheet1!N135)-FIND(", ",Sheet1!N135)-1),Sheet1!$A$1:$B$40,2,FALSE),""),"")</f>
        <v/>
      </c>
      <c r="C89" s="6" t="str">
        <f>IF((LEN(Sheet1!N135)-LEN(SUBSTITUTE(Sheet1!N135,", ","")))/2=2,VLOOKUP(LEFT(Sheet1!N135,FIND(", ",Sheet1!N135)-1),Sheet1!$A$1:$B$40,2,FALSE)&amp;","&amp;VLOOKUP(MID(Sheet1!N135,FIND("#",SUBSTITUTE(Sheet1!N135,", ","#",1))+2,FIND("#",SUBSTITUTE(Sheet1!N135,", ","#",2))-(FIND("#",SUBSTITUTE(Sheet1!N135,", ","#",1))+2)),Sheet1!$A$1:$B$40,2,FALSE)&amp;","&amp;VLOOKUP(RIGHT(Sheet1!N135,LEN(Sheet1!N135)-FIND("#",SUBSTITUTE(Sheet1!N135,", ","#",2))-1),Sheet1!$A$1:$B$40,2,FALSE),"")</f>
        <v/>
      </c>
      <c r="D89" s="6" t="str">
        <f>IF((LEN(Sheet1!N135)-LEN(SUBSTITUTE(Sheet1!N135,", ","")))/2=3,VLOOKUP(LEFT(Sheet1!N135,FIND(", ",Sheet1!N135)-1),Sheet1!$A$1:$B$40,2,FALSE)&amp;","&amp;VLOOKUP(MID(Sheet1!N135,FIND("#",SUBSTITUTE(Sheet1!N135,", ","#",1))+2,FIND("#",SUBSTITUTE(Sheet1!N135,", ","#",2))-(FIND("#",SUBSTITUTE(Sheet1!N135,", ","#",1))+2)),Sheet1!$A$1:$B$40,2,FALSE)&amp;","&amp;VLOOKUP(MID(Sheet1!N135,FIND("#",SUBSTITUTE(Sheet1!N135,", ","#",2))+2,FIND("#",SUBSTITUTE(Sheet1!N135,", ","#",3))-(FIND("#",SUBSTITUTE(Sheet1!N135,", ","#",2))+2)),Sheet1!$A$1:$B$40,2,FALSE)&amp;","&amp;VLOOKUP(RIGHT(Sheet1!N135,LEN(Sheet1!N135)-FIND("#",SUBSTITUTE(Sheet1!N135,", ","#",3))-1),Sheet1!$A$1:$B$40,2,FALSE),"")</f>
        <v/>
      </c>
      <c r="E89" s="6" t="str">
        <f t="shared" si="12"/>
        <v/>
      </c>
      <c r="F89" s="6" t="str">
        <f>IFERROR(IF((LEN(Sheet1!V135)-LEN(SUBSTITUTE(Sheet1!V135,", ","")))/2=0,VLOOKUP(Sheet1!V135,Sheet1!$A$1:$B$40,2,FALSE),""),"")</f>
        <v/>
      </c>
      <c r="G89" s="6" t="str">
        <f>IFERROR(IF((LEN(Sheet1!V135)-LEN(SUBSTITUTE(Sheet1!V135,", ","")))/2=1,VLOOKUP(LEFT(Sheet1!V135,FIND(", ",Sheet1!V135)-1),Sheet1!$A$1:$B$40,2,FALSE)&amp;","&amp;VLOOKUP(RIGHT(Sheet1!V135,LEN(Sheet1!V135)-FIND(", ",Sheet1!V135)-1),Sheet1!$A$1:$B$40,2,FALSE),""),"")</f>
        <v/>
      </c>
      <c r="H89" s="6" t="str">
        <f>IF((LEN(Sheet1!V135)-LEN(SUBSTITUTE(Sheet1!V135,", ","")))/2=2,VLOOKUP(LEFT(Sheet1!V135,FIND(", ",Sheet1!V135)-1),Sheet1!$A$1:$B$40,2,FALSE)&amp;","&amp;VLOOKUP(MID(Sheet1!V135,FIND("#",SUBSTITUTE(Sheet1!V135,", ","#",1))+2,FIND("#",SUBSTITUTE(Sheet1!V135,", ","#",2))-(FIND("#",SUBSTITUTE(Sheet1!V135,", ","#",1))+2)),Sheet1!$A$1:$B$40,2,FALSE)&amp;","&amp;VLOOKUP(RIGHT(Sheet1!V135,LEN(Sheet1!V135)-FIND("#",SUBSTITUTE(Sheet1!V135,", ","#",2))-1),Sheet1!$A$1:$B$40,2,FALSE),"")</f>
        <v/>
      </c>
      <c r="I89" s="6" t="str">
        <f>IF((LEN(Sheet1!V135)-LEN(SUBSTITUTE(Sheet1!V135,", ","")))/2=3,VLOOKUP(LEFT(Sheet1!V135,FIND(", ",Sheet1!V135)-1),Sheet1!$A$1:$B$40,2,FALSE)&amp;","&amp;VLOOKUP(MID(Sheet1!V135,FIND("#",SUBSTITUTE(Sheet1!V135,", ","#",1))+2,FIND("#",SUBSTITUTE(Sheet1!V135,", ","#",2))-(FIND("#",SUBSTITUTE(Sheet1!V135,", ","#",1))+2)),Sheet1!$A$1:$B$40,2,FALSE)&amp;","&amp;VLOOKUP(MID(Sheet1!V135,FIND("#",SUBSTITUTE(Sheet1!V135,", ","#",2))+2,FIND("#",SUBSTITUTE(Sheet1!V135,", ","#",3))-(FIND("#",SUBSTITUTE(Sheet1!V135,", ","#",2))+2)),Sheet1!$A$1:$B$40,2,FALSE)&amp;","&amp;VLOOKUP(RIGHT(Sheet1!V135,LEN(Sheet1!V135)-FIND("#",SUBSTITUTE(Sheet1!V135,", ","#",3))-1),Sheet1!$A$1:$B$40,2,FALSE),"")</f>
        <v/>
      </c>
      <c r="J89" s="6" t="str">
        <f>IF((LEN(Sheet1!V135)-LEN(SUBSTITUTE(Sheet1!V135,", ","")))/2=4,VLOOKUP(LEFT(Sheet1!V135,FIND(", ",Sheet1!V135)-1),Sheet1!$A$1:$B$40,2,FALSE)&amp;","&amp;VLOOKUP(MID(Sheet1!V135,FIND("#",SUBSTITUTE(Sheet1!V135,", ","#",1))+2,FIND("#",SUBSTITUTE(Sheet1!V135,", ","#",2))-(FIND("#",SUBSTITUTE(Sheet1!V135,", ","#",1))+2)),Sheet1!$A$1:$B$40,2,FALSE)&amp;","&amp;VLOOKUP(MID(Sheet1!V135,FIND("#",SUBSTITUTE(Sheet1!V135,", ","#",2))+2,FIND("#",SUBSTITUTE(Sheet1!V135,", ","#",3))-(FIND("#",SUBSTITUTE(Sheet1!V135,", ","#",2))+2)),Sheet1!$A$1:$B$40,2,FALSE)&amp;","&amp;VLOOKUP(MID(Sheet1!V135,FIND("#",SUBSTITUTE(Sheet1!V135,", ","#",3))+2,FIND("#",SUBSTITUTE(Sheet1!V135,", ","#",4))-(FIND("#",SUBSTITUTE(Sheet1!V135,", ","#",3))+2)),Sheet1!$A$1:$B$40,2,FALSE)&amp;","&amp;VLOOKUP(RIGHT(Sheet1!V135,LEN(Sheet1!V135)-FIND("#",SUBSTITUTE(Sheet1!V135,", ","#",4))-1),Sheet1!$A$1:$B$40,2,FALSE),"")</f>
        <v/>
      </c>
      <c r="K89" s="6" t="str">
        <f t="shared" si="10"/>
        <v/>
      </c>
      <c r="L89" s="6" t="str">
        <f>IFERROR(IF((LEN(Sheet1!AA135)-LEN(SUBSTITUTE(Sheet1!AA135,", ","")))/2=0,VLOOKUP(Sheet1!AA135,Sheet1!$A$1:$B$40,2,FALSE),""),"")</f>
        <v/>
      </c>
      <c r="M89" s="6" t="str">
        <f>IFERROR(IF((LEN(Sheet1!AA135)-LEN(SUBSTITUTE(Sheet1!AA135,", ","")))/2=1,VLOOKUP(LEFT(Sheet1!AA135,FIND(", ",Sheet1!AA135)-1),Sheet1!$A$1:$B$40,2,FALSE)&amp;","&amp;VLOOKUP(RIGHT(Sheet1!AA135,LEN(Sheet1!AA135)-FIND(", ",Sheet1!AA135)-1),Sheet1!$A$1:$B$40,2,FALSE),""),"")</f>
        <v/>
      </c>
      <c r="N89" s="6" t="str">
        <f t="shared" si="11"/>
        <v/>
      </c>
    </row>
    <row r="90" spans="1:14">
      <c r="A90" s="5" t="str">
        <f>IFERROR(IF((LEN(Sheet1!N136)-LEN(SUBSTITUTE(Sheet1!N136,", ","")))/2=0,VLOOKUP(Sheet1!N136,Sheet1!$A$1:$B$40,2,FALSE),""),"")</f>
        <v/>
      </c>
      <c r="B90" s="6" t="str">
        <f>IFERROR(IF((LEN(Sheet1!N136)-LEN(SUBSTITUTE(Sheet1!N136,", ","")))/2=1,VLOOKUP(LEFT(Sheet1!N136,FIND(", ",Sheet1!N136)-1),Sheet1!$A$1:$B$40,2,FALSE)&amp;","&amp;VLOOKUP(RIGHT(Sheet1!N136,LEN(Sheet1!N136)-FIND(", ",Sheet1!N136)-1),Sheet1!$A$1:$B$40,2,FALSE),""),"")</f>
        <v/>
      </c>
      <c r="C90" s="6" t="str">
        <f>IF((LEN(Sheet1!N136)-LEN(SUBSTITUTE(Sheet1!N136,", ","")))/2=2,VLOOKUP(LEFT(Sheet1!N136,FIND(", ",Sheet1!N136)-1),Sheet1!$A$1:$B$40,2,FALSE)&amp;","&amp;VLOOKUP(MID(Sheet1!N136,FIND("#",SUBSTITUTE(Sheet1!N136,", ","#",1))+2,FIND("#",SUBSTITUTE(Sheet1!N136,", ","#",2))-(FIND("#",SUBSTITUTE(Sheet1!N136,", ","#",1))+2)),Sheet1!$A$1:$B$40,2,FALSE)&amp;","&amp;VLOOKUP(RIGHT(Sheet1!N136,LEN(Sheet1!N136)-FIND("#",SUBSTITUTE(Sheet1!N136,", ","#",2))-1),Sheet1!$A$1:$B$40,2,FALSE),"")</f>
        <v/>
      </c>
      <c r="D90" s="6" t="str">
        <f>IF((LEN(Sheet1!N136)-LEN(SUBSTITUTE(Sheet1!N136,", ","")))/2=3,VLOOKUP(LEFT(Sheet1!N136,FIND(", ",Sheet1!N136)-1),Sheet1!$A$1:$B$40,2,FALSE)&amp;","&amp;VLOOKUP(MID(Sheet1!N136,FIND("#",SUBSTITUTE(Sheet1!N136,", ","#",1))+2,FIND("#",SUBSTITUTE(Sheet1!N136,", ","#",2))-(FIND("#",SUBSTITUTE(Sheet1!N136,", ","#",1))+2)),Sheet1!$A$1:$B$40,2,FALSE)&amp;","&amp;VLOOKUP(MID(Sheet1!N136,FIND("#",SUBSTITUTE(Sheet1!N136,", ","#",2))+2,FIND("#",SUBSTITUTE(Sheet1!N136,", ","#",3))-(FIND("#",SUBSTITUTE(Sheet1!N136,", ","#",2))+2)),Sheet1!$A$1:$B$40,2,FALSE)&amp;","&amp;VLOOKUP(RIGHT(Sheet1!N136,LEN(Sheet1!N136)-FIND("#",SUBSTITUTE(Sheet1!N136,", ","#",3))-1),Sheet1!$A$1:$B$40,2,FALSE),"")</f>
        <v/>
      </c>
      <c r="E90" s="6" t="str">
        <f t="shared" si="12"/>
        <v/>
      </c>
      <c r="F90" s="6" t="str">
        <f>IFERROR(IF((LEN(Sheet1!V136)-LEN(SUBSTITUTE(Sheet1!V136,", ","")))/2=0,VLOOKUP(Sheet1!V136,Sheet1!$A$1:$B$40,2,FALSE),""),"")</f>
        <v/>
      </c>
      <c r="G90" s="6" t="str">
        <f>IFERROR(IF((LEN(Sheet1!V136)-LEN(SUBSTITUTE(Sheet1!V136,", ","")))/2=1,VLOOKUP(LEFT(Sheet1!V136,FIND(", ",Sheet1!V136)-1),Sheet1!$A$1:$B$40,2,FALSE)&amp;","&amp;VLOOKUP(RIGHT(Sheet1!V136,LEN(Sheet1!V136)-FIND(", ",Sheet1!V136)-1),Sheet1!$A$1:$B$40,2,FALSE),""),"")</f>
        <v/>
      </c>
      <c r="H90" s="6" t="str">
        <f>IF((LEN(Sheet1!V136)-LEN(SUBSTITUTE(Sheet1!V136,", ","")))/2=2,VLOOKUP(LEFT(Sheet1!V136,FIND(", ",Sheet1!V136)-1),Sheet1!$A$1:$B$40,2,FALSE)&amp;","&amp;VLOOKUP(MID(Sheet1!V136,FIND("#",SUBSTITUTE(Sheet1!V136,", ","#",1))+2,FIND("#",SUBSTITUTE(Sheet1!V136,", ","#",2))-(FIND("#",SUBSTITUTE(Sheet1!V136,", ","#",1))+2)),Sheet1!$A$1:$B$40,2,FALSE)&amp;","&amp;VLOOKUP(RIGHT(Sheet1!V136,LEN(Sheet1!V136)-FIND("#",SUBSTITUTE(Sheet1!V136,", ","#",2))-1),Sheet1!$A$1:$B$40,2,FALSE),"")</f>
        <v/>
      </c>
      <c r="I90" s="6" t="str">
        <f>IF((LEN(Sheet1!V136)-LEN(SUBSTITUTE(Sheet1!V136,", ","")))/2=3,VLOOKUP(LEFT(Sheet1!V136,FIND(", ",Sheet1!V136)-1),Sheet1!$A$1:$B$40,2,FALSE)&amp;","&amp;VLOOKUP(MID(Sheet1!V136,FIND("#",SUBSTITUTE(Sheet1!V136,", ","#",1))+2,FIND("#",SUBSTITUTE(Sheet1!V136,", ","#",2))-(FIND("#",SUBSTITUTE(Sheet1!V136,", ","#",1))+2)),Sheet1!$A$1:$B$40,2,FALSE)&amp;","&amp;VLOOKUP(MID(Sheet1!V136,FIND("#",SUBSTITUTE(Sheet1!V136,", ","#",2))+2,FIND("#",SUBSTITUTE(Sheet1!V136,", ","#",3))-(FIND("#",SUBSTITUTE(Sheet1!V136,", ","#",2))+2)),Sheet1!$A$1:$B$40,2,FALSE)&amp;","&amp;VLOOKUP(RIGHT(Sheet1!V136,LEN(Sheet1!V136)-FIND("#",SUBSTITUTE(Sheet1!V136,", ","#",3))-1),Sheet1!$A$1:$B$40,2,FALSE),"")</f>
        <v/>
      </c>
      <c r="J90" s="6" t="str">
        <f>IF((LEN(Sheet1!V136)-LEN(SUBSTITUTE(Sheet1!V136,", ","")))/2=4,VLOOKUP(LEFT(Sheet1!V136,FIND(", ",Sheet1!V136)-1),Sheet1!$A$1:$B$40,2,FALSE)&amp;","&amp;VLOOKUP(MID(Sheet1!V136,FIND("#",SUBSTITUTE(Sheet1!V136,", ","#",1))+2,FIND("#",SUBSTITUTE(Sheet1!V136,", ","#",2))-(FIND("#",SUBSTITUTE(Sheet1!V136,", ","#",1))+2)),Sheet1!$A$1:$B$40,2,FALSE)&amp;","&amp;VLOOKUP(MID(Sheet1!V136,FIND("#",SUBSTITUTE(Sheet1!V136,", ","#",2))+2,FIND("#",SUBSTITUTE(Sheet1!V136,", ","#",3))-(FIND("#",SUBSTITUTE(Sheet1!V136,", ","#",2))+2)),Sheet1!$A$1:$B$40,2,FALSE)&amp;","&amp;VLOOKUP(MID(Sheet1!V136,FIND("#",SUBSTITUTE(Sheet1!V136,", ","#",3))+2,FIND("#",SUBSTITUTE(Sheet1!V136,", ","#",4))-(FIND("#",SUBSTITUTE(Sheet1!V136,", ","#",3))+2)),Sheet1!$A$1:$B$40,2,FALSE)&amp;","&amp;VLOOKUP(RIGHT(Sheet1!V136,LEN(Sheet1!V136)-FIND("#",SUBSTITUTE(Sheet1!V136,", ","#",4))-1),Sheet1!$A$1:$B$40,2,FALSE),"")</f>
        <v/>
      </c>
      <c r="K90" s="6" t="str">
        <f t="shared" si="10"/>
        <v/>
      </c>
      <c r="L90" s="6" t="str">
        <f>IFERROR(IF((LEN(Sheet1!AA136)-LEN(SUBSTITUTE(Sheet1!AA136,", ","")))/2=0,VLOOKUP(Sheet1!AA136,Sheet1!$A$1:$B$40,2,FALSE),""),"")</f>
        <v/>
      </c>
      <c r="M90" s="6" t="str">
        <f>IFERROR(IF((LEN(Sheet1!AA136)-LEN(SUBSTITUTE(Sheet1!AA136,", ","")))/2=1,VLOOKUP(LEFT(Sheet1!AA136,FIND(", ",Sheet1!AA136)-1),Sheet1!$A$1:$B$40,2,FALSE)&amp;","&amp;VLOOKUP(RIGHT(Sheet1!AA136,LEN(Sheet1!AA136)-FIND(", ",Sheet1!AA136)-1),Sheet1!$A$1:$B$40,2,FALSE),""),"")</f>
        <v/>
      </c>
      <c r="N90" s="6" t="str">
        <f t="shared" si="11"/>
        <v/>
      </c>
    </row>
    <row r="91" spans="1:14">
      <c r="A91" s="5" t="str">
        <f>IFERROR(IF((LEN(Sheet1!N137)-LEN(SUBSTITUTE(Sheet1!N137,", ","")))/2=0,VLOOKUP(Sheet1!N137,Sheet1!$A$1:$B$40,2,FALSE),""),"")</f>
        <v/>
      </c>
      <c r="B91" s="6" t="str">
        <f>IFERROR(IF((LEN(Sheet1!N137)-LEN(SUBSTITUTE(Sheet1!N137,", ","")))/2=1,VLOOKUP(LEFT(Sheet1!N137,FIND(", ",Sheet1!N137)-1),Sheet1!$A$1:$B$40,2,FALSE)&amp;","&amp;VLOOKUP(RIGHT(Sheet1!N137,LEN(Sheet1!N137)-FIND(", ",Sheet1!N137)-1),Sheet1!$A$1:$B$40,2,FALSE),""),"")</f>
        <v/>
      </c>
      <c r="C91" s="6" t="str">
        <f>IF((LEN(Sheet1!N137)-LEN(SUBSTITUTE(Sheet1!N137,", ","")))/2=2,VLOOKUP(LEFT(Sheet1!N137,FIND(", ",Sheet1!N137)-1),Sheet1!$A$1:$B$40,2,FALSE)&amp;","&amp;VLOOKUP(MID(Sheet1!N137,FIND("#",SUBSTITUTE(Sheet1!N137,", ","#",1))+2,FIND("#",SUBSTITUTE(Sheet1!N137,", ","#",2))-(FIND("#",SUBSTITUTE(Sheet1!N137,", ","#",1))+2)),Sheet1!$A$1:$B$40,2,FALSE)&amp;","&amp;VLOOKUP(RIGHT(Sheet1!N137,LEN(Sheet1!N137)-FIND("#",SUBSTITUTE(Sheet1!N137,", ","#",2))-1),Sheet1!$A$1:$B$40,2,FALSE),"")</f>
        <v/>
      </c>
      <c r="D91" s="6" t="str">
        <f>IF((LEN(Sheet1!N137)-LEN(SUBSTITUTE(Sheet1!N137,", ","")))/2=3,VLOOKUP(LEFT(Sheet1!N137,FIND(", ",Sheet1!N137)-1),Sheet1!$A$1:$B$40,2,FALSE)&amp;","&amp;VLOOKUP(MID(Sheet1!N137,FIND("#",SUBSTITUTE(Sheet1!N137,", ","#",1))+2,FIND("#",SUBSTITUTE(Sheet1!N137,", ","#",2))-(FIND("#",SUBSTITUTE(Sheet1!N137,", ","#",1))+2)),Sheet1!$A$1:$B$40,2,FALSE)&amp;","&amp;VLOOKUP(MID(Sheet1!N137,FIND("#",SUBSTITUTE(Sheet1!N137,", ","#",2))+2,FIND("#",SUBSTITUTE(Sheet1!N137,", ","#",3))-(FIND("#",SUBSTITUTE(Sheet1!N137,", ","#",2))+2)),Sheet1!$A$1:$B$40,2,FALSE)&amp;","&amp;VLOOKUP(RIGHT(Sheet1!N137,LEN(Sheet1!N137)-FIND("#",SUBSTITUTE(Sheet1!N137,", ","#",3))-1),Sheet1!$A$1:$B$40,2,FALSE),"")</f>
        <v/>
      </c>
      <c r="E91" s="6" t="str">
        <f t="shared" si="12"/>
        <v/>
      </c>
      <c r="F91" s="6" t="str">
        <f>IFERROR(IF((LEN(Sheet1!V137)-LEN(SUBSTITUTE(Sheet1!V137,", ","")))/2=0,VLOOKUP(Sheet1!V137,Sheet1!$A$1:$B$40,2,FALSE),""),"")</f>
        <v/>
      </c>
      <c r="G91" s="6" t="str">
        <f>IFERROR(IF((LEN(Sheet1!V137)-LEN(SUBSTITUTE(Sheet1!V137,", ","")))/2=1,VLOOKUP(LEFT(Sheet1!V137,FIND(", ",Sheet1!V137)-1),Sheet1!$A$1:$B$40,2,FALSE)&amp;","&amp;VLOOKUP(RIGHT(Sheet1!V137,LEN(Sheet1!V137)-FIND(", ",Sheet1!V137)-1),Sheet1!$A$1:$B$40,2,FALSE),""),"")</f>
        <v/>
      </c>
      <c r="H91" s="6" t="str">
        <f>IF((LEN(Sheet1!V137)-LEN(SUBSTITUTE(Sheet1!V137,", ","")))/2=2,VLOOKUP(LEFT(Sheet1!V137,FIND(", ",Sheet1!V137)-1),Sheet1!$A$1:$B$40,2,FALSE)&amp;","&amp;VLOOKUP(MID(Sheet1!V137,FIND("#",SUBSTITUTE(Sheet1!V137,", ","#",1))+2,FIND("#",SUBSTITUTE(Sheet1!V137,", ","#",2))-(FIND("#",SUBSTITUTE(Sheet1!V137,", ","#",1))+2)),Sheet1!$A$1:$B$40,2,FALSE)&amp;","&amp;VLOOKUP(RIGHT(Sheet1!V137,LEN(Sheet1!V137)-FIND("#",SUBSTITUTE(Sheet1!V137,", ","#",2))-1),Sheet1!$A$1:$B$40,2,FALSE),"")</f>
        <v/>
      </c>
      <c r="I91" s="6" t="str">
        <f>IF((LEN(Sheet1!V137)-LEN(SUBSTITUTE(Sheet1!V137,", ","")))/2=3,VLOOKUP(LEFT(Sheet1!V137,FIND(", ",Sheet1!V137)-1),Sheet1!$A$1:$B$40,2,FALSE)&amp;","&amp;VLOOKUP(MID(Sheet1!V137,FIND("#",SUBSTITUTE(Sheet1!V137,", ","#",1))+2,FIND("#",SUBSTITUTE(Sheet1!V137,", ","#",2))-(FIND("#",SUBSTITUTE(Sheet1!V137,", ","#",1))+2)),Sheet1!$A$1:$B$40,2,FALSE)&amp;","&amp;VLOOKUP(MID(Sheet1!V137,FIND("#",SUBSTITUTE(Sheet1!V137,", ","#",2))+2,FIND("#",SUBSTITUTE(Sheet1!V137,", ","#",3))-(FIND("#",SUBSTITUTE(Sheet1!V137,", ","#",2))+2)),Sheet1!$A$1:$B$40,2,FALSE)&amp;","&amp;VLOOKUP(RIGHT(Sheet1!V137,LEN(Sheet1!V137)-FIND("#",SUBSTITUTE(Sheet1!V137,", ","#",3))-1),Sheet1!$A$1:$B$40,2,FALSE),"")</f>
        <v/>
      </c>
      <c r="J91" s="6" t="str">
        <f>IF((LEN(Sheet1!V137)-LEN(SUBSTITUTE(Sheet1!V137,", ","")))/2=4,VLOOKUP(LEFT(Sheet1!V137,FIND(", ",Sheet1!V137)-1),Sheet1!$A$1:$B$40,2,FALSE)&amp;","&amp;VLOOKUP(MID(Sheet1!V137,FIND("#",SUBSTITUTE(Sheet1!V137,", ","#",1))+2,FIND("#",SUBSTITUTE(Sheet1!V137,", ","#",2))-(FIND("#",SUBSTITUTE(Sheet1!V137,", ","#",1))+2)),Sheet1!$A$1:$B$40,2,FALSE)&amp;","&amp;VLOOKUP(MID(Sheet1!V137,FIND("#",SUBSTITUTE(Sheet1!V137,", ","#",2))+2,FIND("#",SUBSTITUTE(Sheet1!V137,", ","#",3))-(FIND("#",SUBSTITUTE(Sheet1!V137,", ","#",2))+2)),Sheet1!$A$1:$B$40,2,FALSE)&amp;","&amp;VLOOKUP(MID(Sheet1!V137,FIND("#",SUBSTITUTE(Sheet1!V137,", ","#",3))+2,FIND("#",SUBSTITUTE(Sheet1!V137,", ","#",4))-(FIND("#",SUBSTITUTE(Sheet1!V137,", ","#",3))+2)),Sheet1!$A$1:$B$40,2,FALSE)&amp;","&amp;VLOOKUP(RIGHT(Sheet1!V137,LEN(Sheet1!V137)-FIND("#",SUBSTITUTE(Sheet1!V137,", ","#",4))-1),Sheet1!$A$1:$B$40,2,FALSE),"")</f>
        <v/>
      </c>
      <c r="K91" s="6" t="str">
        <f t="shared" si="10"/>
        <v/>
      </c>
      <c r="L91" s="6" t="str">
        <f>IFERROR(IF((LEN(Sheet1!AA137)-LEN(SUBSTITUTE(Sheet1!AA137,", ","")))/2=0,VLOOKUP(Sheet1!AA137,Sheet1!$A$1:$B$40,2,FALSE),""),"")</f>
        <v/>
      </c>
      <c r="M91" s="6" t="str">
        <f>IFERROR(IF((LEN(Sheet1!AA137)-LEN(SUBSTITUTE(Sheet1!AA137,", ","")))/2=1,VLOOKUP(LEFT(Sheet1!AA137,FIND(", ",Sheet1!AA137)-1),Sheet1!$A$1:$B$40,2,FALSE)&amp;","&amp;VLOOKUP(RIGHT(Sheet1!AA137,LEN(Sheet1!AA137)-FIND(", ",Sheet1!AA137)-1),Sheet1!$A$1:$B$40,2,FALSE),""),"")</f>
        <v/>
      </c>
      <c r="N91" s="6" t="str">
        <f t="shared" si="11"/>
        <v/>
      </c>
    </row>
    <row r="92" spans="1:14">
      <c r="A92" s="5" t="str">
        <f>IFERROR(IF((LEN(Sheet1!N138)-LEN(SUBSTITUTE(Sheet1!N138,", ","")))/2=0,VLOOKUP(Sheet1!N138,Sheet1!$A$1:$B$40,2,FALSE),""),"")</f>
        <v/>
      </c>
      <c r="B92" s="6" t="str">
        <f>IFERROR(IF((LEN(Sheet1!N138)-LEN(SUBSTITUTE(Sheet1!N138,", ","")))/2=1,VLOOKUP(LEFT(Sheet1!N138,FIND(", ",Sheet1!N138)-1),Sheet1!$A$1:$B$40,2,FALSE)&amp;","&amp;VLOOKUP(RIGHT(Sheet1!N138,LEN(Sheet1!N138)-FIND(", ",Sheet1!N138)-1),Sheet1!$A$1:$B$40,2,FALSE),""),"")</f>
        <v/>
      </c>
      <c r="C92" s="6" t="str">
        <f>IF((LEN(Sheet1!N138)-LEN(SUBSTITUTE(Sheet1!N138,", ","")))/2=2,VLOOKUP(LEFT(Sheet1!N138,FIND(", ",Sheet1!N138)-1),Sheet1!$A$1:$B$40,2,FALSE)&amp;","&amp;VLOOKUP(MID(Sheet1!N138,FIND("#",SUBSTITUTE(Sheet1!N138,", ","#",1))+2,FIND("#",SUBSTITUTE(Sheet1!N138,", ","#",2))-(FIND("#",SUBSTITUTE(Sheet1!N138,", ","#",1))+2)),Sheet1!$A$1:$B$40,2,FALSE)&amp;","&amp;VLOOKUP(RIGHT(Sheet1!N138,LEN(Sheet1!N138)-FIND("#",SUBSTITUTE(Sheet1!N138,", ","#",2))-1),Sheet1!$A$1:$B$40,2,FALSE),"")</f>
        <v/>
      </c>
      <c r="D92" s="6" t="str">
        <f>IF((LEN(Sheet1!N138)-LEN(SUBSTITUTE(Sheet1!N138,", ","")))/2=3,VLOOKUP(LEFT(Sheet1!N138,FIND(", ",Sheet1!N138)-1),Sheet1!$A$1:$B$40,2,FALSE)&amp;","&amp;VLOOKUP(MID(Sheet1!N138,FIND("#",SUBSTITUTE(Sheet1!N138,", ","#",1))+2,FIND("#",SUBSTITUTE(Sheet1!N138,", ","#",2))-(FIND("#",SUBSTITUTE(Sheet1!N138,", ","#",1))+2)),Sheet1!$A$1:$B$40,2,FALSE)&amp;","&amp;VLOOKUP(MID(Sheet1!N138,FIND("#",SUBSTITUTE(Sheet1!N138,", ","#",2))+2,FIND("#",SUBSTITUTE(Sheet1!N138,", ","#",3))-(FIND("#",SUBSTITUTE(Sheet1!N138,", ","#",2))+2)),Sheet1!$A$1:$B$40,2,FALSE)&amp;","&amp;VLOOKUP(RIGHT(Sheet1!N138,LEN(Sheet1!N138)-FIND("#",SUBSTITUTE(Sheet1!N138,", ","#",3))-1),Sheet1!$A$1:$B$40,2,FALSE),"")</f>
        <v/>
      </c>
      <c r="E92" s="6" t="str">
        <f t="shared" si="12"/>
        <v/>
      </c>
      <c r="F92" s="6" t="str">
        <f>IFERROR(IF((LEN(Sheet1!V138)-LEN(SUBSTITUTE(Sheet1!V138,", ","")))/2=0,VLOOKUP(Sheet1!V138,Sheet1!$A$1:$B$40,2,FALSE),""),"")</f>
        <v/>
      </c>
      <c r="G92" s="6" t="str">
        <f>IFERROR(IF((LEN(Sheet1!V138)-LEN(SUBSTITUTE(Sheet1!V138,", ","")))/2=1,VLOOKUP(LEFT(Sheet1!V138,FIND(", ",Sheet1!V138)-1),Sheet1!$A$1:$B$40,2,FALSE)&amp;","&amp;VLOOKUP(RIGHT(Sheet1!V138,LEN(Sheet1!V138)-FIND(", ",Sheet1!V138)-1),Sheet1!$A$1:$B$40,2,FALSE),""),"")</f>
        <v/>
      </c>
      <c r="H92" s="6" t="str">
        <f>IF((LEN(Sheet1!V138)-LEN(SUBSTITUTE(Sheet1!V138,", ","")))/2=2,VLOOKUP(LEFT(Sheet1!V138,FIND(", ",Sheet1!V138)-1),Sheet1!$A$1:$B$40,2,FALSE)&amp;","&amp;VLOOKUP(MID(Sheet1!V138,FIND("#",SUBSTITUTE(Sheet1!V138,", ","#",1))+2,FIND("#",SUBSTITUTE(Sheet1!V138,", ","#",2))-(FIND("#",SUBSTITUTE(Sheet1!V138,", ","#",1))+2)),Sheet1!$A$1:$B$40,2,FALSE)&amp;","&amp;VLOOKUP(RIGHT(Sheet1!V138,LEN(Sheet1!V138)-FIND("#",SUBSTITUTE(Sheet1!V138,", ","#",2))-1),Sheet1!$A$1:$B$40,2,FALSE),"")</f>
        <v/>
      </c>
      <c r="I92" s="6" t="str">
        <f>IF((LEN(Sheet1!V138)-LEN(SUBSTITUTE(Sheet1!V138,", ","")))/2=3,VLOOKUP(LEFT(Sheet1!V138,FIND(", ",Sheet1!V138)-1),Sheet1!$A$1:$B$40,2,FALSE)&amp;","&amp;VLOOKUP(MID(Sheet1!V138,FIND("#",SUBSTITUTE(Sheet1!V138,", ","#",1))+2,FIND("#",SUBSTITUTE(Sheet1!V138,", ","#",2))-(FIND("#",SUBSTITUTE(Sheet1!V138,", ","#",1))+2)),Sheet1!$A$1:$B$40,2,FALSE)&amp;","&amp;VLOOKUP(MID(Sheet1!V138,FIND("#",SUBSTITUTE(Sheet1!V138,", ","#",2))+2,FIND("#",SUBSTITUTE(Sheet1!V138,", ","#",3))-(FIND("#",SUBSTITUTE(Sheet1!V138,", ","#",2))+2)),Sheet1!$A$1:$B$40,2,FALSE)&amp;","&amp;VLOOKUP(RIGHT(Sheet1!V138,LEN(Sheet1!V138)-FIND("#",SUBSTITUTE(Sheet1!V138,", ","#",3))-1),Sheet1!$A$1:$B$40,2,FALSE),"")</f>
        <v/>
      </c>
      <c r="J92" s="6" t="str">
        <f>IF((LEN(Sheet1!V138)-LEN(SUBSTITUTE(Sheet1!V138,", ","")))/2=4,VLOOKUP(LEFT(Sheet1!V138,FIND(", ",Sheet1!V138)-1),Sheet1!$A$1:$B$40,2,FALSE)&amp;","&amp;VLOOKUP(MID(Sheet1!V138,FIND("#",SUBSTITUTE(Sheet1!V138,", ","#",1))+2,FIND("#",SUBSTITUTE(Sheet1!V138,", ","#",2))-(FIND("#",SUBSTITUTE(Sheet1!V138,", ","#",1))+2)),Sheet1!$A$1:$B$40,2,FALSE)&amp;","&amp;VLOOKUP(MID(Sheet1!V138,FIND("#",SUBSTITUTE(Sheet1!V138,", ","#",2))+2,FIND("#",SUBSTITUTE(Sheet1!V138,", ","#",3))-(FIND("#",SUBSTITUTE(Sheet1!V138,", ","#",2))+2)),Sheet1!$A$1:$B$40,2,FALSE)&amp;","&amp;VLOOKUP(MID(Sheet1!V138,FIND("#",SUBSTITUTE(Sheet1!V138,", ","#",3))+2,FIND("#",SUBSTITUTE(Sheet1!V138,", ","#",4))-(FIND("#",SUBSTITUTE(Sheet1!V138,", ","#",3))+2)),Sheet1!$A$1:$B$40,2,FALSE)&amp;","&amp;VLOOKUP(RIGHT(Sheet1!V138,LEN(Sheet1!V138)-FIND("#",SUBSTITUTE(Sheet1!V138,", ","#",4))-1),Sheet1!$A$1:$B$40,2,FALSE),"")</f>
        <v/>
      </c>
      <c r="K92" s="6" t="str">
        <f t="shared" si="10"/>
        <v/>
      </c>
      <c r="L92" s="6" t="str">
        <f>IFERROR(IF((LEN(Sheet1!AA138)-LEN(SUBSTITUTE(Sheet1!AA138,", ","")))/2=0,VLOOKUP(Sheet1!AA138,Sheet1!$A$1:$B$40,2,FALSE),""),"")</f>
        <v/>
      </c>
      <c r="M92" s="6" t="str">
        <f>IFERROR(IF((LEN(Sheet1!AA138)-LEN(SUBSTITUTE(Sheet1!AA138,", ","")))/2=1,VLOOKUP(LEFT(Sheet1!AA138,FIND(", ",Sheet1!AA138)-1),Sheet1!$A$1:$B$40,2,FALSE)&amp;","&amp;VLOOKUP(RIGHT(Sheet1!AA138,LEN(Sheet1!AA138)-FIND(", ",Sheet1!AA138)-1),Sheet1!$A$1:$B$40,2,FALSE),""),"")</f>
        <v/>
      </c>
      <c r="N92" s="6" t="str">
        <f t="shared" si="11"/>
        <v/>
      </c>
    </row>
    <row r="93" spans="1:14">
      <c r="A93" s="5" t="str">
        <f>IFERROR(IF((LEN(Sheet1!N139)-LEN(SUBSTITUTE(Sheet1!N139,", ","")))/2=0,VLOOKUP(Sheet1!N139,Sheet1!$A$1:$B$40,2,FALSE),""),"")</f>
        <v/>
      </c>
      <c r="B93" s="6" t="str">
        <f>IFERROR(IF((LEN(Sheet1!N139)-LEN(SUBSTITUTE(Sheet1!N139,", ","")))/2=1,VLOOKUP(LEFT(Sheet1!N139,FIND(", ",Sheet1!N139)-1),Sheet1!$A$1:$B$40,2,FALSE)&amp;","&amp;VLOOKUP(RIGHT(Sheet1!N139,LEN(Sheet1!N139)-FIND(", ",Sheet1!N139)-1),Sheet1!$A$1:$B$40,2,FALSE),""),"")</f>
        <v/>
      </c>
      <c r="C93" s="6" t="str">
        <f>IF((LEN(Sheet1!N139)-LEN(SUBSTITUTE(Sheet1!N139,", ","")))/2=2,VLOOKUP(LEFT(Sheet1!N139,FIND(", ",Sheet1!N139)-1),Sheet1!$A$1:$B$40,2,FALSE)&amp;","&amp;VLOOKUP(MID(Sheet1!N139,FIND("#",SUBSTITUTE(Sheet1!N139,", ","#",1))+2,FIND("#",SUBSTITUTE(Sheet1!N139,", ","#",2))-(FIND("#",SUBSTITUTE(Sheet1!N139,", ","#",1))+2)),Sheet1!$A$1:$B$40,2,FALSE)&amp;","&amp;VLOOKUP(RIGHT(Sheet1!N139,LEN(Sheet1!N139)-FIND("#",SUBSTITUTE(Sheet1!N139,", ","#",2))-1),Sheet1!$A$1:$B$40,2,FALSE),"")</f>
        <v/>
      </c>
      <c r="D93" s="6" t="str">
        <f>IF((LEN(Sheet1!N139)-LEN(SUBSTITUTE(Sheet1!N139,", ","")))/2=3,VLOOKUP(LEFT(Sheet1!N139,FIND(", ",Sheet1!N139)-1),Sheet1!$A$1:$B$40,2,FALSE)&amp;","&amp;VLOOKUP(MID(Sheet1!N139,FIND("#",SUBSTITUTE(Sheet1!N139,", ","#",1))+2,FIND("#",SUBSTITUTE(Sheet1!N139,", ","#",2))-(FIND("#",SUBSTITUTE(Sheet1!N139,", ","#",1))+2)),Sheet1!$A$1:$B$40,2,FALSE)&amp;","&amp;VLOOKUP(MID(Sheet1!N139,FIND("#",SUBSTITUTE(Sheet1!N139,", ","#",2))+2,FIND("#",SUBSTITUTE(Sheet1!N139,", ","#",3))-(FIND("#",SUBSTITUTE(Sheet1!N139,", ","#",2))+2)),Sheet1!$A$1:$B$40,2,FALSE)&amp;","&amp;VLOOKUP(RIGHT(Sheet1!N139,LEN(Sheet1!N139)-FIND("#",SUBSTITUTE(Sheet1!N139,", ","#",3))-1),Sheet1!$A$1:$B$40,2,FALSE),"")</f>
        <v/>
      </c>
      <c r="E93" s="6" t="str">
        <f t="shared" si="12"/>
        <v/>
      </c>
      <c r="F93" s="6" t="str">
        <f>IFERROR(IF((LEN(Sheet1!V139)-LEN(SUBSTITUTE(Sheet1!V139,", ","")))/2=0,VLOOKUP(Sheet1!V139,Sheet1!$A$1:$B$40,2,FALSE),""),"")</f>
        <v/>
      </c>
      <c r="G93" s="6" t="str">
        <f>IFERROR(IF((LEN(Sheet1!V139)-LEN(SUBSTITUTE(Sheet1!V139,", ","")))/2=1,VLOOKUP(LEFT(Sheet1!V139,FIND(", ",Sheet1!V139)-1),Sheet1!$A$1:$B$40,2,FALSE)&amp;","&amp;VLOOKUP(RIGHT(Sheet1!V139,LEN(Sheet1!V139)-FIND(", ",Sheet1!V139)-1),Sheet1!$A$1:$B$40,2,FALSE),""),"")</f>
        <v/>
      </c>
      <c r="H93" s="6" t="str">
        <f>IF((LEN(Sheet1!V139)-LEN(SUBSTITUTE(Sheet1!V139,", ","")))/2=2,VLOOKUP(LEFT(Sheet1!V139,FIND(", ",Sheet1!V139)-1),Sheet1!$A$1:$B$40,2,FALSE)&amp;","&amp;VLOOKUP(MID(Sheet1!V139,FIND("#",SUBSTITUTE(Sheet1!V139,", ","#",1))+2,FIND("#",SUBSTITUTE(Sheet1!V139,", ","#",2))-(FIND("#",SUBSTITUTE(Sheet1!V139,", ","#",1))+2)),Sheet1!$A$1:$B$40,2,FALSE)&amp;","&amp;VLOOKUP(RIGHT(Sheet1!V139,LEN(Sheet1!V139)-FIND("#",SUBSTITUTE(Sheet1!V139,", ","#",2))-1),Sheet1!$A$1:$B$40,2,FALSE),"")</f>
        <v/>
      </c>
      <c r="I93" s="6" t="str">
        <f>IF((LEN(Sheet1!V139)-LEN(SUBSTITUTE(Sheet1!V139,", ","")))/2=3,VLOOKUP(LEFT(Sheet1!V139,FIND(", ",Sheet1!V139)-1),Sheet1!$A$1:$B$40,2,FALSE)&amp;","&amp;VLOOKUP(MID(Sheet1!V139,FIND("#",SUBSTITUTE(Sheet1!V139,", ","#",1))+2,FIND("#",SUBSTITUTE(Sheet1!V139,", ","#",2))-(FIND("#",SUBSTITUTE(Sheet1!V139,", ","#",1))+2)),Sheet1!$A$1:$B$40,2,FALSE)&amp;","&amp;VLOOKUP(MID(Sheet1!V139,FIND("#",SUBSTITUTE(Sheet1!V139,", ","#",2))+2,FIND("#",SUBSTITUTE(Sheet1!V139,", ","#",3))-(FIND("#",SUBSTITUTE(Sheet1!V139,", ","#",2))+2)),Sheet1!$A$1:$B$40,2,FALSE)&amp;","&amp;VLOOKUP(RIGHT(Sheet1!V139,LEN(Sheet1!V139)-FIND("#",SUBSTITUTE(Sheet1!V139,", ","#",3))-1),Sheet1!$A$1:$B$40,2,FALSE),"")</f>
        <v/>
      </c>
      <c r="J93" s="6" t="str">
        <f>IF((LEN(Sheet1!V139)-LEN(SUBSTITUTE(Sheet1!V139,", ","")))/2=4,VLOOKUP(LEFT(Sheet1!V139,FIND(", ",Sheet1!V139)-1),Sheet1!$A$1:$B$40,2,FALSE)&amp;","&amp;VLOOKUP(MID(Sheet1!V139,FIND("#",SUBSTITUTE(Sheet1!V139,", ","#",1))+2,FIND("#",SUBSTITUTE(Sheet1!V139,", ","#",2))-(FIND("#",SUBSTITUTE(Sheet1!V139,", ","#",1))+2)),Sheet1!$A$1:$B$40,2,FALSE)&amp;","&amp;VLOOKUP(MID(Sheet1!V139,FIND("#",SUBSTITUTE(Sheet1!V139,", ","#",2))+2,FIND("#",SUBSTITUTE(Sheet1!V139,", ","#",3))-(FIND("#",SUBSTITUTE(Sheet1!V139,", ","#",2))+2)),Sheet1!$A$1:$B$40,2,FALSE)&amp;","&amp;VLOOKUP(MID(Sheet1!V139,FIND("#",SUBSTITUTE(Sheet1!V139,", ","#",3))+2,FIND("#",SUBSTITUTE(Sheet1!V139,", ","#",4))-(FIND("#",SUBSTITUTE(Sheet1!V139,", ","#",3))+2)),Sheet1!$A$1:$B$40,2,FALSE)&amp;","&amp;VLOOKUP(RIGHT(Sheet1!V139,LEN(Sheet1!V139)-FIND("#",SUBSTITUTE(Sheet1!V139,", ","#",4))-1),Sheet1!$A$1:$B$40,2,FALSE),"")</f>
        <v/>
      </c>
      <c r="K93" s="6" t="str">
        <f t="shared" si="10"/>
        <v/>
      </c>
      <c r="L93" s="6" t="str">
        <f>IFERROR(IF((LEN(Sheet1!AA139)-LEN(SUBSTITUTE(Sheet1!AA139,", ","")))/2=0,VLOOKUP(Sheet1!AA139,Sheet1!$A$1:$B$40,2,FALSE),""),"")</f>
        <v/>
      </c>
      <c r="M93" s="6" t="str">
        <f>IFERROR(IF((LEN(Sheet1!AA139)-LEN(SUBSTITUTE(Sheet1!AA139,", ","")))/2=1,VLOOKUP(LEFT(Sheet1!AA139,FIND(", ",Sheet1!AA139)-1),Sheet1!$A$1:$B$40,2,FALSE)&amp;","&amp;VLOOKUP(RIGHT(Sheet1!AA139,LEN(Sheet1!AA139)-FIND(", ",Sheet1!AA139)-1),Sheet1!$A$1:$B$40,2,FALSE),""),"")</f>
        <v/>
      </c>
      <c r="N93" s="6" t="str">
        <f t="shared" si="11"/>
        <v/>
      </c>
    </row>
    <row r="94" spans="1:14">
      <c r="A94" s="5" t="str">
        <f>IFERROR(IF((LEN(Sheet1!N140)-LEN(SUBSTITUTE(Sheet1!N140,", ","")))/2=0,VLOOKUP(Sheet1!N140,Sheet1!$A$1:$B$40,2,FALSE),""),"")</f>
        <v/>
      </c>
      <c r="B94" s="6" t="str">
        <f>IFERROR(IF((LEN(Sheet1!N140)-LEN(SUBSTITUTE(Sheet1!N140,", ","")))/2=1,VLOOKUP(LEFT(Sheet1!N140,FIND(", ",Sheet1!N140)-1),Sheet1!$A$1:$B$40,2,FALSE)&amp;","&amp;VLOOKUP(RIGHT(Sheet1!N140,LEN(Sheet1!N140)-FIND(", ",Sheet1!N140)-1),Sheet1!$A$1:$B$40,2,FALSE),""),"")</f>
        <v/>
      </c>
      <c r="C94" s="6" t="str">
        <f>IF((LEN(Sheet1!N140)-LEN(SUBSTITUTE(Sheet1!N140,", ","")))/2=2,VLOOKUP(LEFT(Sheet1!N140,FIND(", ",Sheet1!N140)-1),Sheet1!$A$1:$B$40,2,FALSE)&amp;","&amp;VLOOKUP(MID(Sheet1!N140,FIND("#",SUBSTITUTE(Sheet1!N140,", ","#",1))+2,FIND("#",SUBSTITUTE(Sheet1!N140,", ","#",2))-(FIND("#",SUBSTITUTE(Sheet1!N140,", ","#",1))+2)),Sheet1!$A$1:$B$40,2,FALSE)&amp;","&amp;VLOOKUP(RIGHT(Sheet1!N140,LEN(Sheet1!N140)-FIND("#",SUBSTITUTE(Sheet1!N140,", ","#",2))-1),Sheet1!$A$1:$B$40,2,FALSE),"")</f>
        <v/>
      </c>
      <c r="D94" s="6" t="str">
        <f>IF((LEN(Sheet1!N140)-LEN(SUBSTITUTE(Sheet1!N140,", ","")))/2=3,VLOOKUP(LEFT(Sheet1!N140,FIND(", ",Sheet1!N140)-1),Sheet1!$A$1:$B$40,2,FALSE)&amp;","&amp;VLOOKUP(MID(Sheet1!N140,FIND("#",SUBSTITUTE(Sheet1!N140,", ","#",1))+2,FIND("#",SUBSTITUTE(Sheet1!N140,", ","#",2))-(FIND("#",SUBSTITUTE(Sheet1!N140,", ","#",1))+2)),Sheet1!$A$1:$B$40,2,FALSE)&amp;","&amp;VLOOKUP(MID(Sheet1!N140,FIND("#",SUBSTITUTE(Sheet1!N140,", ","#",2))+2,FIND("#",SUBSTITUTE(Sheet1!N140,", ","#",3))-(FIND("#",SUBSTITUTE(Sheet1!N140,", ","#",2))+2)),Sheet1!$A$1:$B$40,2,FALSE)&amp;","&amp;VLOOKUP(RIGHT(Sheet1!N140,LEN(Sheet1!N140)-FIND("#",SUBSTITUTE(Sheet1!N140,", ","#",3))-1),Sheet1!$A$1:$B$40,2,FALSE),"")</f>
        <v/>
      </c>
      <c r="E94" s="6" t="str">
        <f t="shared" si="12"/>
        <v/>
      </c>
      <c r="F94" s="6" t="str">
        <f>IFERROR(IF((LEN(Sheet1!V140)-LEN(SUBSTITUTE(Sheet1!V140,", ","")))/2=0,VLOOKUP(Sheet1!V140,Sheet1!$A$1:$B$40,2,FALSE),""),"")</f>
        <v/>
      </c>
      <c r="G94" s="6" t="str">
        <f>IFERROR(IF((LEN(Sheet1!V140)-LEN(SUBSTITUTE(Sheet1!V140,", ","")))/2=1,VLOOKUP(LEFT(Sheet1!V140,FIND(", ",Sheet1!V140)-1),Sheet1!$A$1:$B$40,2,FALSE)&amp;","&amp;VLOOKUP(RIGHT(Sheet1!V140,LEN(Sheet1!V140)-FIND(", ",Sheet1!V140)-1),Sheet1!$A$1:$B$40,2,FALSE),""),"")</f>
        <v/>
      </c>
      <c r="H94" s="6" t="str">
        <f>IF((LEN(Sheet1!V140)-LEN(SUBSTITUTE(Sheet1!V140,", ","")))/2=2,VLOOKUP(LEFT(Sheet1!V140,FIND(", ",Sheet1!V140)-1),Sheet1!$A$1:$B$40,2,FALSE)&amp;","&amp;VLOOKUP(MID(Sheet1!V140,FIND("#",SUBSTITUTE(Sheet1!V140,", ","#",1))+2,FIND("#",SUBSTITUTE(Sheet1!V140,", ","#",2))-(FIND("#",SUBSTITUTE(Sheet1!V140,", ","#",1))+2)),Sheet1!$A$1:$B$40,2,FALSE)&amp;","&amp;VLOOKUP(RIGHT(Sheet1!V140,LEN(Sheet1!V140)-FIND("#",SUBSTITUTE(Sheet1!V140,", ","#",2))-1),Sheet1!$A$1:$B$40,2,FALSE),"")</f>
        <v/>
      </c>
      <c r="I94" s="6" t="str">
        <f>IF((LEN(Sheet1!V140)-LEN(SUBSTITUTE(Sheet1!V140,", ","")))/2=3,VLOOKUP(LEFT(Sheet1!V140,FIND(", ",Sheet1!V140)-1),Sheet1!$A$1:$B$40,2,FALSE)&amp;","&amp;VLOOKUP(MID(Sheet1!V140,FIND("#",SUBSTITUTE(Sheet1!V140,", ","#",1))+2,FIND("#",SUBSTITUTE(Sheet1!V140,", ","#",2))-(FIND("#",SUBSTITUTE(Sheet1!V140,", ","#",1))+2)),Sheet1!$A$1:$B$40,2,FALSE)&amp;","&amp;VLOOKUP(MID(Sheet1!V140,FIND("#",SUBSTITUTE(Sheet1!V140,", ","#",2))+2,FIND("#",SUBSTITUTE(Sheet1!V140,", ","#",3))-(FIND("#",SUBSTITUTE(Sheet1!V140,", ","#",2))+2)),Sheet1!$A$1:$B$40,2,FALSE)&amp;","&amp;VLOOKUP(RIGHT(Sheet1!V140,LEN(Sheet1!V140)-FIND("#",SUBSTITUTE(Sheet1!V140,", ","#",3))-1),Sheet1!$A$1:$B$40,2,FALSE),"")</f>
        <v/>
      </c>
      <c r="J94" s="6" t="str">
        <f>IF((LEN(Sheet1!V140)-LEN(SUBSTITUTE(Sheet1!V140,", ","")))/2=4,VLOOKUP(LEFT(Sheet1!V140,FIND(", ",Sheet1!V140)-1),Sheet1!$A$1:$B$40,2,FALSE)&amp;","&amp;VLOOKUP(MID(Sheet1!V140,FIND("#",SUBSTITUTE(Sheet1!V140,", ","#",1))+2,FIND("#",SUBSTITUTE(Sheet1!V140,", ","#",2))-(FIND("#",SUBSTITUTE(Sheet1!V140,", ","#",1))+2)),Sheet1!$A$1:$B$40,2,FALSE)&amp;","&amp;VLOOKUP(MID(Sheet1!V140,FIND("#",SUBSTITUTE(Sheet1!V140,", ","#",2))+2,FIND("#",SUBSTITUTE(Sheet1!V140,", ","#",3))-(FIND("#",SUBSTITUTE(Sheet1!V140,", ","#",2))+2)),Sheet1!$A$1:$B$40,2,FALSE)&amp;","&amp;VLOOKUP(MID(Sheet1!V140,FIND("#",SUBSTITUTE(Sheet1!V140,", ","#",3))+2,FIND("#",SUBSTITUTE(Sheet1!V140,", ","#",4))-(FIND("#",SUBSTITUTE(Sheet1!V140,", ","#",3))+2)),Sheet1!$A$1:$B$40,2,FALSE)&amp;","&amp;VLOOKUP(RIGHT(Sheet1!V140,LEN(Sheet1!V140)-FIND("#",SUBSTITUTE(Sheet1!V140,", ","#",4))-1),Sheet1!$A$1:$B$40,2,FALSE),"")</f>
        <v/>
      </c>
      <c r="K94" s="6" t="str">
        <f t="shared" si="10"/>
        <v/>
      </c>
      <c r="L94" s="6" t="str">
        <f>IFERROR(IF((LEN(Sheet1!AA140)-LEN(SUBSTITUTE(Sheet1!AA140,", ","")))/2=0,VLOOKUP(Sheet1!AA140,Sheet1!$A$1:$B$40,2,FALSE),""),"")</f>
        <v/>
      </c>
      <c r="M94" s="6" t="str">
        <f>IFERROR(IF((LEN(Sheet1!AA140)-LEN(SUBSTITUTE(Sheet1!AA140,", ","")))/2=1,VLOOKUP(LEFT(Sheet1!AA140,FIND(", ",Sheet1!AA140)-1),Sheet1!$A$1:$B$40,2,FALSE)&amp;","&amp;VLOOKUP(RIGHT(Sheet1!AA140,LEN(Sheet1!AA140)-FIND(", ",Sheet1!AA140)-1),Sheet1!$A$1:$B$40,2,FALSE),""),"")</f>
        <v/>
      </c>
      <c r="N94" s="6" t="str">
        <f t="shared" si="11"/>
        <v/>
      </c>
    </row>
    <row r="95" spans="1:14">
      <c r="A95" s="5" t="str">
        <f>IFERROR(IF((LEN(Sheet1!N141)-LEN(SUBSTITUTE(Sheet1!N141,", ","")))/2=0,VLOOKUP(Sheet1!N141,Sheet1!$A$1:$B$40,2,FALSE),""),"")</f>
        <v/>
      </c>
      <c r="B95" s="6" t="str">
        <f>IFERROR(IF((LEN(Sheet1!N141)-LEN(SUBSTITUTE(Sheet1!N141,", ","")))/2=1,VLOOKUP(LEFT(Sheet1!N141,FIND(", ",Sheet1!N141)-1),Sheet1!$A$1:$B$40,2,FALSE)&amp;","&amp;VLOOKUP(RIGHT(Sheet1!N141,LEN(Sheet1!N141)-FIND(", ",Sheet1!N141)-1),Sheet1!$A$1:$B$40,2,FALSE),""),"")</f>
        <v/>
      </c>
      <c r="C95" s="6" t="str">
        <f>IF((LEN(Sheet1!N141)-LEN(SUBSTITUTE(Sheet1!N141,", ","")))/2=2,VLOOKUP(LEFT(Sheet1!N141,FIND(", ",Sheet1!N141)-1),Sheet1!$A$1:$B$40,2,FALSE)&amp;","&amp;VLOOKUP(MID(Sheet1!N141,FIND("#",SUBSTITUTE(Sheet1!N141,", ","#",1))+2,FIND("#",SUBSTITUTE(Sheet1!N141,", ","#",2))-(FIND("#",SUBSTITUTE(Sheet1!N141,", ","#",1))+2)),Sheet1!$A$1:$B$40,2,FALSE)&amp;","&amp;VLOOKUP(RIGHT(Sheet1!N141,LEN(Sheet1!N141)-FIND("#",SUBSTITUTE(Sheet1!N141,", ","#",2))-1),Sheet1!$A$1:$B$40,2,FALSE),"")</f>
        <v/>
      </c>
      <c r="D95" s="6" t="str">
        <f>IF((LEN(Sheet1!N141)-LEN(SUBSTITUTE(Sheet1!N141,", ","")))/2=3,VLOOKUP(LEFT(Sheet1!N141,FIND(", ",Sheet1!N141)-1),Sheet1!$A$1:$B$40,2,FALSE)&amp;","&amp;VLOOKUP(MID(Sheet1!N141,FIND("#",SUBSTITUTE(Sheet1!N141,", ","#",1))+2,FIND("#",SUBSTITUTE(Sheet1!N141,", ","#",2))-(FIND("#",SUBSTITUTE(Sheet1!N141,", ","#",1))+2)),Sheet1!$A$1:$B$40,2,FALSE)&amp;","&amp;VLOOKUP(MID(Sheet1!N141,FIND("#",SUBSTITUTE(Sheet1!N141,", ","#",2))+2,FIND("#",SUBSTITUTE(Sheet1!N141,", ","#",3))-(FIND("#",SUBSTITUTE(Sheet1!N141,", ","#",2))+2)),Sheet1!$A$1:$B$40,2,FALSE)&amp;","&amp;VLOOKUP(RIGHT(Sheet1!N141,LEN(Sheet1!N141)-FIND("#",SUBSTITUTE(Sheet1!N141,", ","#",3))-1),Sheet1!$A$1:$B$40,2,FALSE),"")</f>
        <v/>
      </c>
      <c r="E95" s="6" t="str">
        <f t="shared" si="12"/>
        <v/>
      </c>
      <c r="F95" s="6" t="str">
        <f>IFERROR(IF((LEN(Sheet1!V141)-LEN(SUBSTITUTE(Sheet1!V141,", ","")))/2=0,VLOOKUP(Sheet1!V141,Sheet1!$A$1:$B$40,2,FALSE),""),"")</f>
        <v/>
      </c>
      <c r="G95" s="6" t="str">
        <f>IFERROR(IF((LEN(Sheet1!V141)-LEN(SUBSTITUTE(Sheet1!V141,", ","")))/2=1,VLOOKUP(LEFT(Sheet1!V141,FIND(", ",Sheet1!V141)-1),Sheet1!$A$1:$B$40,2,FALSE)&amp;","&amp;VLOOKUP(RIGHT(Sheet1!V141,LEN(Sheet1!V141)-FIND(", ",Sheet1!V141)-1),Sheet1!$A$1:$B$40,2,FALSE),""),"")</f>
        <v/>
      </c>
      <c r="H95" s="6" t="str">
        <f>IF((LEN(Sheet1!V141)-LEN(SUBSTITUTE(Sheet1!V141,", ","")))/2=2,VLOOKUP(LEFT(Sheet1!V141,FIND(", ",Sheet1!V141)-1),Sheet1!$A$1:$B$40,2,FALSE)&amp;","&amp;VLOOKUP(MID(Sheet1!V141,FIND("#",SUBSTITUTE(Sheet1!V141,", ","#",1))+2,FIND("#",SUBSTITUTE(Sheet1!V141,", ","#",2))-(FIND("#",SUBSTITUTE(Sheet1!V141,", ","#",1))+2)),Sheet1!$A$1:$B$40,2,FALSE)&amp;","&amp;VLOOKUP(RIGHT(Sheet1!V141,LEN(Sheet1!V141)-FIND("#",SUBSTITUTE(Sheet1!V141,", ","#",2))-1),Sheet1!$A$1:$B$40,2,FALSE),"")</f>
        <v/>
      </c>
      <c r="I95" s="6" t="str">
        <f>IF((LEN(Sheet1!V141)-LEN(SUBSTITUTE(Sheet1!V141,", ","")))/2=3,VLOOKUP(LEFT(Sheet1!V141,FIND(", ",Sheet1!V141)-1),Sheet1!$A$1:$B$40,2,FALSE)&amp;","&amp;VLOOKUP(MID(Sheet1!V141,FIND("#",SUBSTITUTE(Sheet1!V141,", ","#",1))+2,FIND("#",SUBSTITUTE(Sheet1!V141,", ","#",2))-(FIND("#",SUBSTITUTE(Sheet1!V141,", ","#",1))+2)),Sheet1!$A$1:$B$40,2,FALSE)&amp;","&amp;VLOOKUP(MID(Sheet1!V141,FIND("#",SUBSTITUTE(Sheet1!V141,", ","#",2))+2,FIND("#",SUBSTITUTE(Sheet1!V141,", ","#",3))-(FIND("#",SUBSTITUTE(Sheet1!V141,", ","#",2))+2)),Sheet1!$A$1:$B$40,2,FALSE)&amp;","&amp;VLOOKUP(RIGHT(Sheet1!V141,LEN(Sheet1!V141)-FIND("#",SUBSTITUTE(Sheet1!V141,", ","#",3))-1),Sheet1!$A$1:$B$40,2,FALSE),"")</f>
        <v/>
      </c>
      <c r="J95" s="6" t="str">
        <f>IF((LEN(Sheet1!V141)-LEN(SUBSTITUTE(Sheet1!V141,", ","")))/2=4,VLOOKUP(LEFT(Sheet1!V141,FIND(", ",Sheet1!V141)-1),Sheet1!$A$1:$B$40,2,FALSE)&amp;","&amp;VLOOKUP(MID(Sheet1!V141,FIND("#",SUBSTITUTE(Sheet1!V141,", ","#",1))+2,FIND("#",SUBSTITUTE(Sheet1!V141,", ","#",2))-(FIND("#",SUBSTITUTE(Sheet1!V141,", ","#",1))+2)),Sheet1!$A$1:$B$40,2,FALSE)&amp;","&amp;VLOOKUP(MID(Sheet1!V141,FIND("#",SUBSTITUTE(Sheet1!V141,", ","#",2))+2,FIND("#",SUBSTITUTE(Sheet1!V141,", ","#",3))-(FIND("#",SUBSTITUTE(Sheet1!V141,", ","#",2))+2)),Sheet1!$A$1:$B$40,2,FALSE)&amp;","&amp;VLOOKUP(MID(Sheet1!V141,FIND("#",SUBSTITUTE(Sheet1!V141,", ","#",3))+2,FIND("#",SUBSTITUTE(Sheet1!V141,", ","#",4))-(FIND("#",SUBSTITUTE(Sheet1!V141,", ","#",3))+2)),Sheet1!$A$1:$B$40,2,FALSE)&amp;","&amp;VLOOKUP(RIGHT(Sheet1!V141,LEN(Sheet1!V141)-FIND("#",SUBSTITUTE(Sheet1!V141,", ","#",4))-1),Sheet1!$A$1:$B$40,2,FALSE),"")</f>
        <v/>
      </c>
      <c r="K95" s="6" t="str">
        <f t="shared" si="10"/>
        <v/>
      </c>
      <c r="L95" s="6" t="str">
        <f>IFERROR(IF((LEN(Sheet1!AA141)-LEN(SUBSTITUTE(Sheet1!AA141,", ","")))/2=0,VLOOKUP(Sheet1!AA141,Sheet1!$A$1:$B$40,2,FALSE),""),"")</f>
        <v/>
      </c>
      <c r="M95" s="6" t="str">
        <f>IFERROR(IF((LEN(Sheet1!AA141)-LEN(SUBSTITUTE(Sheet1!AA141,", ","")))/2=1,VLOOKUP(LEFT(Sheet1!AA141,FIND(", ",Sheet1!AA141)-1),Sheet1!$A$1:$B$40,2,FALSE)&amp;","&amp;VLOOKUP(RIGHT(Sheet1!AA141,LEN(Sheet1!AA141)-FIND(", ",Sheet1!AA141)-1),Sheet1!$A$1:$B$40,2,FALSE),""),"")</f>
        <v/>
      </c>
      <c r="N95" s="6" t="str">
        <f t="shared" si="11"/>
        <v/>
      </c>
    </row>
    <row r="96" spans="1:14">
      <c r="A96" s="5" t="str">
        <f>IFERROR(IF((LEN(Sheet1!N142)-LEN(SUBSTITUTE(Sheet1!N142,", ","")))/2=0,VLOOKUP(Sheet1!N142,Sheet1!$A$1:$B$40,2,FALSE),""),"")</f>
        <v/>
      </c>
      <c r="B96" s="6" t="str">
        <f>IFERROR(IF((LEN(Sheet1!N142)-LEN(SUBSTITUTE(Sheet1!N142,", ","")))/2=1,VLOOKUP(LEFT(Sheet1!N142,FIND(", ",Sheet1!N142)-1),Sheet1!$A$1:$B$40,2,FALSE)&amp;","&amp;VLOOKUP(RIGHT(Sheet1!N142,LEN(Sheet1!N142)-FIND(", ",Sheet1!N142)-1),Sheet1!$A$1:$B$40,2,FALSE),""),"")</f>
        <v/>
      </c>
      <c r="C96" s="6" t="str">
        <f>IF((LEN(Sheet1!N142)-LEN(SUBSTITUTE(Sheet1!N142,", ","")))/2=2,VLOOKUP(LEFT(Sheet1!N142,FIND(", ",Sheet1!N142)-1),Sheet1!$A$1:$B$40,2,FALSE)&amp;","&amp;VLOOKUP(MID(Sheet1!N142,FIND("#",SUBSTITUTE(Sheet1!N142,", ","#",1))+2,FIND("#",SUBSTITUTE(Sheet1!N142,", ","#",2))-(FIND("#",SUBSTITUTE(Sheet1!N142,", ","#",1))+2)),Sheet1!$A$1:$B$40,2,FALSE)&amp;","&amp;VLOOKUP(RIGHT(Sheet1!N142,LEN(Sheet1!N142)-FIND("#",SUBSTITUTE(Sheet1!N142,", ","#",2))-1),Sheet1!$A$1:$B$40,2,FALSE),"")</f>
        <v/>
      </c>
      <c r="D96" s="6" t="str">
        <f>IF((LEN(Sheet1!N142)-LEN(SUBSTITUTE(Sheet1!N142,", ","")))/2=3,VLOOKUP(LEFT(Sheet1!N142,FIND(", ",Sheet1!N142)-1),Sheet1!$A$1:$B$40,2,FALSE)&amp;","&amp;VLOOKUP(MID(Sheet1!N142,FIND("#",SUBSTITUTE(Sheet1!N142,", ","#",1))+2,FIND("#",SUBSTITUTE(Sheet1!N142,", ","#",2))-(FIND("#",SUBSTITUTE(Sheet1!N142,", ","#",1))+2)),Sheet1!$A$1:$B$40,2,FALSE)&amp;","&amp;VLOOKUP(MID(Sheet1!N142,FIND("#",SUBSTITUTE(Sheet1!N142,", ","#",2))+2,FIND("#",SUBSTITUTE(Sheet1!N142,", ","#",3))-(FIND("#",SUBSTITUTE(Sheet1!N142,", ","#",2))+2)),Sheet1!$A$1:$B$40,2,FALSE)&amp;","&amp;VLOOKUP(RIGHT(Sheet1!N142,LEN(Sheet1!N142)-FIND("#",SUBSTITUTE(Sheet1!N142,", ","#",3))-1),Sheet1!$A$1:$B$40,2,FALSE),"")</f>
        <v/>
      </c>
      <c r="E96" s="6" t="str">
        <f t="shared" si="12"/>
        <v/>
      </c>
      <c r="F96" s="6" t="str">
        <f>IFERROR(IF((LEN(Sheet1!V142)-LEN(SUBSTITUTE(Sheet1!V142,", ","")))/2=0,VLOOKUP(Sheet1!V142,Sheet1!$A$1:$B$40,2,FALSE),""),"")</f>
        <v/>
      </c>
      <c r="G96" s="6" t="str">
        <f>IFERROR(IF((LEN(Sheet1!V142)-LEN(SUBSTITUTE(Sheet1!V142,", ","")))/2=1,VLOOKUP(LEFT(Sheet1!V142,FIND(", ",Sheet1!V142)-1),Sheet1!$A$1:$B$40,2,FALSE)&amp;","&amp;VLOOKUP(RIGHT(Sheet1!V142,LEN(Sheet1!V142)-FIND(", ",Sheet1!V142)-1),Sheet1!$A$1:$B$40,2,FALSE),""),"")</f>
        <v/>
      </c>
      <c r="H96" s="6" t="str">
        <f>IF((LEN(Sheet1!V142)-LEN(SUBSTITUTE(Sheet1!V142,", ","")))/2=2,VLOOKUP(LEFT(Sheet1!V142,FIND(", ",Sheet1!V142)-1),Sheet1!$A$1:$B$40,2,FALSE)&amp;","&amp;VLOOKUP(MID(Sheet1!V142,FIND("#",SUBSTITUTE(Sheet1!V142,", ","#",1))+2,FIND("#",SUBSTITUTE(Sheet1!V142,", ","#",2))-(FIND("#",SUBSTITUTE(Sheet1!V142,", ","#",1))+2)),Sheet1!$A$1:$B$40,2,FALSE)&amp;","&amp;VLOOKUP(RIGHT(Sheet1!V142,LEN(Sheet1!V142)-FIND("#",SUBSTITUTE(Sheet1!V142,", ","#",2))-1),Sheet1!$A$1:$B$40,2,FALSE),"")</f>
        <v/>
      </c>
      <c r="I96" s="6" t="str">
        <f>IF((LEN(Sheet1!V142)-LEN(SUBSTITUTE(Sheet1!V142,", ","")))/2=3,VLOOKUP(LEFT(Sheet1!V142,FIND(", ",Sheet1!V142)-1),Sheet1!$A$1:$B$40,2,FALSE)&amp;","&amp;VLOOKUP(MID(Sheet1!V142,FIND("#",SUBSTITUTE(Sheet1!V142,", ","#",1))+2,FIND("#",SUBSTITUTE(Sheet1!V142,", ","#",2))-(FIND("#",SUBSTITUTE(Sheet1!V142,", ","#",1))+2)),Sheet1!$A$1:$B$40,2,FALSE)&amp;","&amp;VLOOKUP(MID(Sheet1!V142,FIND("#",SUBSTITUTE(Sheet1!V142,", ","#",2))+2,FIND("#",SUBSTITUTE(Sheet1!V142,", ","#",3))-(FIND("#",SUBSTITUTE(Sheet1!V142,", ","#",2))+2)),Sheet1!$A$1:$B$40,2,FALSE)&amp;","&amp;VLOOKUP(RIGHT(Sheet1!V142,LEN(Sheet1!V142)-FIND("#",SUBSTITUTE(Sheet1!V142,", ","#",3))-1),Sheet1!$A$1:$B$40,2,FALSE),"")</f>
        <v/>
      </c>
      <c r="J96" s="6" t="str">
        <f>IF((LEN(Sheet1!V142)-LEN(SUBSTITUTE(Sheet1!V142,", ","")))/2=4,VLOOKUP(LEFT(Sheet1!V142,FIND(", ",Sheet1!V142)-1),Sheet1!$A$1:$B$40,2,FALSE)&amp;","&amp;VLOOKUP(MID(Sheet1!V142,FIND("#",SUBSTITUTE(Sheet1!V142,", ","#",1))+2,FIND("#",SUBSTITUTE(Sheet1!V142,", ","#",2))-(FIND("#",SUBSTITUTE(Sheet1!V142,", ","#",1))+2)),Sheet1!$A$1:$B$40,2,FALSE)&amp;","&amp;VLOOKUP(MID(Sheet1!V142,FIND("#",SUBSTITUTE(Sheet1!V142,", ","#",2))+2,FIND("#",SUBSTITUTE(Sheet1!V142,", ","#",3))-(FIND("#",SUBSTITUTE(Sheet1!V142,", ","#",2))+2)),Sheet1!$A$1:$B$40,2,FALSE)&amp;","&amp;VLOOKUP(MID(Sheet1!V142,FIND("#",SUBSTITUTE(Sheet1!V142,", ","#",3))+2,FIND("#",SUBSTITUTE(Sheet1!V142,", ","#",4))-(FIND("#",SUBSTITUTE(Sheet1!V142,", ","#",3))+2)),Sheet1!$A$1:$B$40,2,FALSE)&amp;","&amp;VLOOKUP(RIGHT(Sheet1!V142,LEN(Sheet1!V142)-FIND("#",SUBSTITUTE(Sheet1!V142,", ","#",4))-1),Sheet1!$A$1:$B$40,2,FALSE),"")</f>
        <v/>
      </c>
      <c r="K96" s="6" t="str">
        <f t="shared" si="10"/>
        <v/>
      </c>
      <c r="L96" s="6" t="str">
        <f>IFERROR(IF((LEN(Sheet1!AA142)-LEN(SUBSTITUTE(Sheet1!AA142,", ","")))/2=0,VLOOKUP(Sheet1!AA142,Sheet1!$A$1:$B$40,2,FALSE),""),"")</f>
        <v/>
      </c>
      <c r="M96" s="6" t="str">
        <f>IFERROR(IF((LEN(Sheet1!AA142)-LEN(SUBSTITUTE(Sheet1!AA142,", ","")))/2=1,VLOOKUP(LEFT(Sheet1!AA142,FIND(", ",Sheet1!AA142)-1),Sheet1!$A$1:$B$40,2,FALSE)&amp;","&amp;VLOOKUP(RIGHT(Sheet1!AA142,LEN(Sheet1!AA142)-FIND(", ",Sheet1!AA142)-1),Sheet1!$A$1:$B$40,2,FALSE),""),"")</f>
        <v/>
      </c>
      <c r="N96" s="6" t="str">
        <f t="shared" si="11"/>
        <v/>
      </c>
    </row>
    <row r="97" spans="1:14">
      <c r="A97" s="5" t="str">
        <f>IFERROR(IF((LEN(Sheet1!N143)-LEN(SUBSTITUTE(Sheet1!N143,", ","")))/2=0,VLOOKUP(Sheet1!N143,Sheet1!$A$1:$B$40,2,FALSE),""),"")</f>
        <v/>
      </c>
      <c r="B97" s="6" t="str">
        <f>IFERROR(IF((LEN(Sheet1!N143)-LEN(SUBSTITUTE(Sheet1!N143,", ","")))/2=1,VLOOKUP(LEFT(Sheet1!N143,FIND(", ",Sheet1!N143)-1),Sheet1!$A$1:$B$40,2,FALSE)&amp;","&amp;VLOOKUP(RIGHT(Sheet1!N143,LEN(Sheet1!N143)-FIND(", ",Sheet1!N143)-1),Sheet1!$A$1:$B$40,2,FALSE),""),"")</f>
        <v/>
      </c>
      <c r="C97" s="6" t="str">
        <f>IF((LEN(Sheet1!N143)-LEN(SUBSTITUTE(Sheet1!N143,", ","")))/2=2,VLOOKUP(LEFT(Sheet1!N143,FIND(", ",Sheet1!N143)-1),Sheet1!$A$1:$B$40,2,FALSE)&amp;","&amp;VLOOKUP(MID(Sheet1!N143,FIND("#",SUBSTITUTE(Sheet1!N143,", ","#",1))+2,FIND("#",SUBSTITUTE(Sheet1!N143,", ","#",2))-(FIND("#",SUBSTITUTE(Sheet1!N143,", ","#",1))+2)),Sheet1!$A$1:$B$40,2,FALSE)&amp;","&amp;VLOOKUP(RIGHT(Sheet1!N143,LEN(Sheet1!N143)-FIND("#",SUBSTITUTE(Sheet1!N143,", ","#",2))-1),Sheet1!$A$1:$B$40,2,FALSE),"")</f>
        <v/>
      </c>
      <c r="D97" s="6" t="str">
        <f>IF((LEN(Sheet1!N143)-LEN(SUBSTITUTE(Sheet1!N143,", ","")))/2=3,VLOOKUP(LEFT(Sheet1!N143,FIND(", ",Sheet1!N143)-1),Sheet1!$A$1:$B$40,2,FALSE)&amp;","&amp;VLOOKUP(MID(Sheet1!N143,FIND("#",SUBSTITUTE(Sheet1!N143,", ","#",1))+2,FIND("#",SUBSTITUTE(Sheet1!N143,", ","#",2))-(FIND("#",SUBSTITUTE(Sheet1!N143,", ","#",1))+2)),Sheet1!$A$1:$B$40,2,FALSE)&amp;","&amp;VLOOKUP(MID(Sheet1!N143,FIND("#",SUBSTITUTE(Sheet1!N143,", ","#",2))+2,FIND("#",SUBSTITUTE(Sheet1!N143,", ","#",3))-(FIND("#",SUBSTITUTE(Sheet1!N143,", ","#",2))+2)),Sheet1!$A$1:$B$40,2,FALSE)&amp;","&amp;VLOOKUP(RIGHT(Sheet1!N143,LEN(Sheet1!N143)-FIND("#",SUBSTITUTE(Sheet1!N143,", ","#",3))-1),Sheet1!$A$1:$B$40,2,FALSE),"")</f>
        <v/>
      </c>
      <c r="E97" s="6" t="str">
        <f t="shared" si="12"/>
        <v/>
      </c>
      <c r="F97" s="6" t="str">
        <f>IFERROR(IF((LEN(Sheet1!V143)-LEN(SUBSTITUTE(Sheet1!V143,", ","")))/2=0,VLOOKUP(Sheet1!V143,Sheet1!$A$1:$B$40,2,FALSE),""),"")</f>
        <v/>
      </c>
      <c r="G97" s="6" t="str">
        <f>IFERROR(IF((LEN(Sheet1!V143)-LEN(SUBSTITUTE(Sheet1!V143,", ","")))/2=1,VLOOKUP(LEFT(Sheet1!V143,FIND(", ",Sheet1!V143)-1),Sheet1!$A$1:$B$40,2,FALSE)&amp;","&amp;VLOOKUP(RIGHT(Sheet1!V143,LEN(Sheet1!V143)-FIND(", ",Sheet1!V143)-1),Sheet1!$A$1:$B$40,2,FALSE),""),"")</f>
        <v/>
      </c>
      <c r="H97" s="6" t="str">
        <f>IF((LEN(Sheet1!V143)-LEN(SUBSTITUTE(Sheet1!V143,", ","")))/2=2,VLOOKUP(LEFT(Sheet1!V143,FIND(", ",Sheet1!V143)-1),Sheet1!$A$1:$B$40,2,FALSE)&amp;","&amp;VLOOKUP(MID(Sheet1!V143,FIND("#",SUBSTITUTE(Sheet1!V143,", ","#",1))+2,FIND("#",SUBSTITUTE(Sheet1!V143,", ","#",2))-(FIND("#",SUBSTITUTE(Sheet1!V143,", ","#",1))+2)),Sheet1!$A$1:$B$40,2,FALSE)&amp;","&amp;VLOOKUP(RIGHT(Sheet1!V143,LEN(Sheet1!V143)-FIND("#",SUBSTITUTE(Sheet1!V143,", ","#",2))-1),Sheet1!$A$1:$B$40,2,FALSE),"")</f>
        <v/>
      </c>
      <c r="I97" s="6" t="str">
        <f>IF((LEN(Sheet1!V143)-LEN(SUBSTITUTE(Sheet1!V143,", ","")))/2=3,VLOOKUP(LEFT(Sheet1!V143,FIND(", ",Sheet1!V143)-1),Sheet1!$A$1:$B$40,2,FALSE)&amp;","&amp;VLOOKUP(MID(Sheet1!V143,FIND("#",SUBSTITUTE(Sheet1!V143,", ","#",1))+2,FIND("#",SUBSTITUTE(Sheet1!V143,", ","#",2))-(FIND("#",SUBSTITUTE(Sheet1!V143,", ","#",1))+2)),Sheet1!$A$1:$B$40,2,FALSE)&amp;","&amp;VLOOKUP(MID(Sheet1!V143,FIND("#",SUBSTITUTE(Sheet1!V143,", ","#",2))+2,FIND("#",SUBSTITUTE(Sheet1!V143,", ","#",3))-(FIND("#",SUBSTITUTE(Sheet1!V143,", ","#",2))+2)),Sheet1!$A$1:$B$40,2,FALSE)&amp;","&amp;VLOOKUP(RIGHT(Sheet1!V143,LEN(Sheet1!V143)-FIND("#",SUBSTITUTE(Sheet1!V143,", ","#",3))-1),Sheet1!$A$1:$B$40,2,FALSE),"")</f>
        <v/>
      </c>
      <c r="J97" s="6" t="str">
        <f>IF((LEN(Sheet1!V143)-LEN(SUBSTITUTE(Sheet1!V143,", ","")))/2=4,VLOOKUP(LEFT(Sheet1!V143,FIND(", ",Sheet1!V143)-1),Sheet1!$A$1:$B$40,2,FALSE)&amp;","&amp;VLOOKUP(MID(Sheet1!V143,FIND("#",SUBSTITUTE(Sheet1!V143,", ","#",1))+2,FIND("#",SUBSTITUTE(Sheet1!V143,", ","#",2))-(FIND("#",SUBSTITUTE(Sheet1!V143,", ","#",1))+2)),Sheet1!$A$1:$B$40,2,FALSE)&amp;","&amp;VLOOKUP(MID(Sheet1!V143,FIND("#",SUBSTITUTE(Sheet1!V143,", ","#",2))+2,FIND("#",SUBSTITUTE(Sheet1!V143,", ","#",3))-(FIND("#",SUBSTITUTE(Sheet1!V143,", ","#",2))+2)),Sheet1!$A$1:$B$40,2,FALSE)&amp;","&amp;VLOOKUP(MID(Sheet1!V143,FIND("#",SUBSTITUTE(Sheet1!V143,", ","#",3))+2,FIND("#",SUBSTITUTE(Sheet1!V143,", ","#",4))-(FIND("#",SUBSTITUTE(Sheet1!V143,", ","#",3))+2)),Sheet1!$A$1:$B$40,2,FALSE)&amp;","&amp;VLOOKUP(RIGHT(Sheet1!V143,LEN(Sheet1!V143)-FIND("#",SUBSTITUTE(Sheet1!V143,", ","#",4))-1),Sheet1!$A$1:$B$40,2,FALSE),"")</f>
        <v/>
      </c>
      <c r="K97" s="6" t="str">
        <f t="shared" si="10"/>
        <v/>
      </c>
      <c r="L97" s="6" t="str">
        <f>IFERROR(IF((LEN(Sheet1!AA143)-LEN(SUBSTITUTE(Sheet1!AA143,", ","")))/2=0,VLOOKUP(Sheet1!AA143,Sheet1!$A$1:$B$40,2,FALSE),""),"")</f>
        <v/>
      </c>
      <c r="M97" s="6" t="str">
        <f>IFERROR(IF((LEN(Sheet1!AA143)-LEN(SUBSTITUTE(Sheet1!AA143,", ","")))/2=1,VLOOKUP(LEFT(Sheet1!AA143,FIND(", ",Sheet1!AA143)-1),Sheet1!$A$1:$B$40,2,FALSE)&amp;","&amp;VLOOKUP(RIGHT(Sheet1!AA143,LEN(Sheet1!AA143)-FIND(", ",Sheet1!AA143)-1),Sheet1!$A$1:$B$40,2,FALSE),""),"")</f>
        <v/>
      </c>
      <c r="N97" s="6" t="str">
        <f t="shared" si="11"/>
        <v/>
      </c>
    </row>
    <row r="98" spans="1:14">
      <c r="A98" s="5" t="str">
        <f>IFERROR(IF((LEN(Sheet1!N144)-LEN(SUBSTITUTE(Sheet1!N144,", ","")))/2=0,VLOOKUP(Sheet1!N144,Sheet1!$A$1:$B$40,2,FALSE),""),"")</f>
        <v/>
      </c>
      <c r="B98" s="6" t="str">
        <f>IFERROR(IF((LEN(Sheet1!N144)-LEN(SUBSTITUTE(Sheet1!N144,", ","")))/2=1,VLOOKUP(LEFT(Sheet1!N144,FIND(", ",Sheet1!N144)-1),Sheet1!$A$1:$B$40,2,FALSE)&amp;","&amp;VLOOKUP(RIGHT(Sheet1!N144,LEN(Sheet1!N144)-FIND(", ",Sheet1!N144)-1),Sheet1!$A$1:$B$40,2,FALSE),""),"")</f>
        <v/>
      </c>
      <c r="C98" s="6" t="str">
        <f>IF((LEN(Sheet1!N144)-LEN(SUBSTITUTE(Sheet1!N144,", ","")))/2=2,VLOOKUP(LEFT(Sheet1!N144,FIND(", ",Sheet1!N144)-1),Sheet1!$A$1:$B$40,2,FALSE)&amp;","&amp;VLOOKUP(MID(Sheet1!N144,FIND("#",SUBSTITUTE(Sheet1!N144,", ","#",1))+2,FIND("#",SUBSTITUTE(Sheet1!N144,", ","#",2))-(FIND("#",SUBSTITUTE(Sheet1!N144,", ","#",1))+2)),Sheet1!$A$1:$B$40,2,FALSE)&amp;","&amp;VLOOKUP(RIGHT(Sheet1!N144,LEN(Sheet1!N144)-FIND("#",SUBSTITUTE(Sheet1!N144,", ","#",2))-1),Sheet1!$A$1:$B$40,2,FALSE),"")</f>
        <v/>
      </c>
      <c r="D98" s="6" t="str">
        <f>IF((LEN(Sheet1!N144)-LEN(SUBSTITUTE(Sheet1!N144,", ","")))/2=3,VLOOKUP(LEFT(Sheet1!N144,FIND(", ",Sheet1!N144)-1),Sheet1!$A$1:$B$40,2,FALSE)&amp;","&amp;VLOOKUP(MID(Sheet1!N144,FIND("#",SUBSTITUTE(Sheet1!N144,", ","#",1))+2,FIND("#",SUBSTITUTE(Sheet1!N144,", ","#",2))-(FIND("#",SUBSTITUTE(Sheet1!N144,", ","#",1))+2)),Sheet1!$A$1:$B$40,2,FALSE)&amp;","&amp;VLOOKUP(MID(Sheet1!N144,FIND("#",SUBSTITUTE(Sheet1!N144,", ","#",2))+2,FIND("#",SUBSTITUTE(Sheet1!N144,", ","#",3))-(FIND("#",SUBSTITUTE(Sheet1!N144,", ","#",2))+2)),Sheet1!$A$1:$B$40,2,FALSE)&amp;","&amp;VLOOKUP(RIGHT(Sheet1!N144,LEN(Sheet1!N144)-FIND("#",SUBSTITUTE(Sheet1!N144,", ","#",3))-1),Sheet1!$A$1:$B$40,2,FALSE),"")</f>
        <v/>
      </c>
      <c r="E98" s="6" t="str">
        <f t="shared" si="12"/>
        <v/>
      </c>
      <c r="F98" s="6" t="str">
        <f>IFERROR(IF((LEN(Sheet1!V144)-LEN(SUBSTITUTE(Sheet1!V144,", ","")))/2=0,VLOOKUP(Sheet1!V144,Sheet1!$A$1:$B$40,2,FALSE),""),"")</f>
        <v/>
      </c>
      <c r="G98" s="6" t="str">
        <f>IFERROR(IF((LEN(Sheet1!V144)-LEN(SUBSTITUTE(Sheet1!V144,", ","")))/2=1,VLOOKUP(LEFT(Sheet1!V144,FIND(", ",Sheet1!V144)-1),Sheet1!$A$1:$B$40,2,FALSE)&amp;","&amp;VLOOKUP(RIGHT(Sheet1!V144,LEN(Sheet1!V144)-FIND(", ",Sheet1!V144)-1),Sheet1!$A$1:$B$40,2,FALSE),""),"")</f>
        <v/>
      </c>
      <c r="H98" s="6" t="str">
        <f>IF((LEN(Sheet1!V144)-LEN(SUBSTITUTE(Sheet1!V144,", ","")))/2=2,VLOOKUP(LEFT(Sheet1!V144,FIND(", ",Sheet1!V144)-1),Sheet1!$A$1:$B$40,2,FALSE)&amp;","&amp;VLOOKUP(MID(Sheet1!V144,FIND("#",SUBSTITUTE(Sheet1!V144,", ","#",1))+2,FIND("#",SUBSTITUTE(Sheet1!V144,", ","#",2))-(FIND("#",SUBSTITUTE(Sheet1!V144,", ","#",1))+2)),Sheet1!$A$1:$B$40,2,FALSE)&amp;","&amp;VLOOKUP(RIGHT(Sheet1!V144,LEN(Sheet1!V144)-FIND("#",SUBSTITUTE(Sheet1!V144,", ","#",2))-1),Sheet1!$A$1:$B$40,2,FALSE),"")</f>
        <v/>
      </c>
      <c r="I98" s="6" t="str">
        <f>IF((LEN(Sheet1!V144)-LEN(SUBSTITUTE(Sheet1!V144,", ","")))/2=3,VLOOKUP(LEFT(Sheet1!V144,FIND(", ",Sheet1!V144)-1),Sheet1!$A$1:$B$40,2,FALSE)&amp;","&amp;VLOOKUP(MID(Sheet1!V144,FIND("#",SUBSTITUTE(Sheet1!V144,", ","#",1))+2,FIND("#",SUBSTITUTE(Sheet1!V144,", ","#",2))-(FIND("#",SUBSTITUTE(Sheet1!V144,", ","#",1))+2)),Sheet1!$A$1:$B$40,2,FALSE)&amp;","&amp;VLOOKUP(MID(Sheet1!V144,FIND("#",SUBSTITUTE(Sheet1!V144,", ","#",2))+2,FIND("#",SUBSTITUTE(Sheet1!V144,", ","#",3))-(FIND("#",SUBSTITUTE(Sheet1!V144,", ","#",2))+2)),Sheet1!$A$1:$B$40,2,FALSE)&amp;","&amp;VLOOKUP(RIGHT(Sheet1!V144,LEN(Sheet1!V144)-FIND("#",SUBSTITUTE(Sheet1!V144,", ","#",3))-1),Sheet1!$A$1:$B$40,2,FALSE),"")</f>
        <v/>
      </c>
      <c r="J98" s="6" t="str">
        <f>IF((LEN(Sheet1!V144)-LEN(SUBSTITUTE(Sheet1!V144,", ","")))/2=4,VLOOKUP(LEFT(Sheet1!V144,FIND(", ",Sheet1!V144)-1),Sheet1!$A$1:$B$40,2,FALSE)&amp;","&amp;VLOOKUP(MID(Sheet1!V144,FIND("#",SUBSTITUTE(Sheet1!V144,", ","#",1))+2,FIND("#",SUBSTITUTE(Sheet1!V144,", ","#",2))-(FIND("#",SUBSTITUTE(Sheet1!V144,", ","#",1))+2)),Sheet1!$A$1:$B$40,2,FALSE)&amp;","&amp;VLOOKUP(MID(Sheet1!V144,FIND("#",SUBSTITUTE(Sheet1!V144,", ","#",2))+2,FIND("#",SUBSTITUTE(Sheet1!V144,", ","#",3))-(FIND("#",SUBSTITUTE(Sheet1!V144,", ","#",2))+2)),Sheet1!$A$1:$B$40,2,FALSE)&amp;","&amp;VLOOKUP(MID(Sheet1!V144,FIND("#",SUBSTITUTE(Sheet1!V144,", ","#",3))+2,FIND("#",SUBSTITUTE(Sheet1!V144,", ","#",4))-(FIND("#",SUBSTITUTE(Sheet1!V144,", ","#",3))+2)),Sheet1!$A$1:$B$40,2,FALSE)&amp;","&amp;VLOOKUP(RIGHT(Sheet1!V144,LEN(Sheet1!V144)-FIND("#",SUBSTITUTE(Sheet1!V144,", ","#",4))-1),Sheet1!$A$1:$B$40,2,FALSE),"")</f>
        <v/>
      </c>
      <c r="K98" s="6" t="str">
        <f t="shared" si="10"/>
        <v/>
      </c>
      <c r="L98" s="6" t="str">
        <f>IFERROR(IF((LEN(Sheet1!AA144)-LEN(SUBSTITUTE(Sheet1!AA144,", ","")))/2=0,VLOOKUP(Sheet1!AA144,Sheet1!$A$1:$B$40,2,FALSE),""),"")</f>
        <v/>
      </c>
      <c r="M98" s="6" t="str">
        <f>IFERROR(IF((LEN(Sheet1!AA144)-LEN(SUBSTITUTE(Sheet1!AA144,", ","")))/2=1,VLOOKUP(LEFT(Sheet1!AA144,FIND(", ",Sheet1!AA144)-1),Sheet1!$A$1:$B$40,2,FALSE)&amp;","&amp;VLOOKUP(RIGHT(Sheet1!AA144,LEN(Sheet1!AA144)-FIND(", ",Sheet1!AA144)-1),Sheet1!$A$1:$B$40,2,FALSE),""),"")</f>
        <v/>
      </c>
      <c r="N98" s="6" t="str">
        <f t="shared" si="11"/>
        <v/>
      </c>
    </row>
    <row r="99" spans="1:14">
      <c r="A99" s="5" t="str">
        <f>IFERROR(IF((LEN(Sheet1!N145)-LEN(SUBSTITUTE(Sheet1!N145,", ","")))/2=0,VLOOKUP(Sheet1!N145,Sheet1!$A$1:$B$40,2,FALSE),""),"")</f>
        <v/>
      </c>
      <c r="B99" s="6" t="str">
        <f>IFERROR(IF((LEN(Sheet1!N145)-LEN(SUBSTITUTE(Sheet1!N145,", ","")))/2=1,VLOOKUP(LEFT(Sheet1!N145,FIND(", ",Sheet1!N145)-1),Sheet1!$A$1:$B$40,2,FALSE)&amp;","&amp;VLOOKUP(RIGHT(Sheet1!N145,LEN(Sheet1!N145)-FIND(", ",Sheet1!N145)-1),Sheet1!$A$1:$B$40,2,FALSE),""),"")</f>
        <v/>
      </c>
      <c r="C99" s="6" t="str">
        <f>IF((LEN(Sheet1!N145)-LEN(SUBSTITUTE(Sheet1!N145,", ","")))/2=2,VLOOKUP(LEFT(Sheet1!N145,FIND(", ",Sheet1!N145)-1),Sheet1!$A$1:$B$40,2,FALSE)&amp;","&amp;VLOOKUP(MID(Sheet1!N145,FIND("#",SUBSTITUTE(Sheet1!N145,", ","#",1))+2,FIND("#",SUBSTITUTE(Sheet1!N145,", ","#",2))-(FIND("#",SUBSTITUTE(Sheet1!N145,", ","#",1))+2)),Sheet1!$A$1:$B$40,2,FALSE)&amp;","&amp;VLOOKUP(RIGHT(Sheet1!N145,LEN(Sheet1!N145)-FIND("#",SUBSTITUTE(Sheet1!N145,", ","#",2))-1),Sheet1!$A$1:$B$40,2,FALSE),"")</f>
        <v/>
      </c>
      <c r="D99" s="6" t="str">
        <f>IF((LEN(Sheet1!N145)-LEN(SUBSTITUTE(Sheet1!N145,", ","")))/2=3,VLOOKUP(LEFT(Sheet1!N145,FIND(", ",Sheet1!N145)-1),Sheet1!$A$1:$B$40,2,FALSE)&amp;","&amp;VLOOKUP(MID(Sheet1!N145,FIND("#",SUBSTITUTE(Sheet1!N145,", ","#",1))+2,FIND("#",SUBSTITUTE(Sheet1!N145,", ","#",2))-(FIND("#",SUBSTITUTE(Sheet1!N145,", ","#",1))+2)),Sheet1!$A$1:$B$40,2,FALSE)&amp;","&amp;VLOOKUP(MID(Sheet1!N145,FIND("#",SUBSTITUTE(Sheet1!N145,", ","#",2))+2,FIND("#",SUBSTITUTE(Sheet1!N145,", ","#",3))-(FIND("#",SUBSTITUTE(Sheet1!N145,", ","#",2))+2)),Sheet1!$A$1:$B$40,2,FALSE)&amp;","&amp;VLOOKUP(RIGHT(Sheet1!N145,LEN(Sheet1!N145)-FIND("#",SUBSTITUTE(Sheet1!N145,", ","#",3))-1),Sheet1!$A$1:$B$40,2,FALSE),"")</f>
        <v/>
      </c>
      <c r="E99" s="6" t="str">
        <f t="shared" si="12"/>
        <v/>
      </c>
      <c r="F99" s="6" t="str">
        <f>IFERROR(IF((LEN(Sheet1!V145)-LEN(SUBSTITUTE(Sheet1!V145,", ","")))/2=0,VLOOKUP(Sheet1!V145,Sheet1!$A$1:$B$40,2,FALSE),""),"")</f>
        <v/>
      </c>
      <c r="G99" s="6" t="str">
        <f>IFERROR(IF((LEN(Sheet1!V145)-LEN(SUBSTITUTE(Sheet1!V145,", ","")))/2=1,VLOOKUP(LEFT(Sheet1!V145,FIND(", ",Sheet1!V145)-1),Sheet1!$A$1:$B$40,2,FALSE)&amp;","&amp;VLOOKUP(RIGHT(Sheet1!V145,LEN(Sheet1!V145)-FIND(", ",Sheet1!V145)-1),Sheet1!$A$1:$B$40,2,FALSE),""),"")</f>
        <v/>
      </c>
      <c r="H99" s="6" t="str">
        <f>IF((LEN(Sheet1!V145)-LEN(SUBSTITUTE(Sheet1!V145,", ","")))/2=2,VLOOKUP(LEFT(Sheet1!V145,FIND(", ",Sheet1!V145)-1),Sheet1!$A$1:$B$40,2,FALSE)&amp;","&amp;VLOOKUP(MID(Sheet1!V145,FIND("#",SUBSTITUTE(Sheet1!V145,", ","#",1))+2,FIND("#",SUBSTITUTE(Sheet1!V145,", ","#",2))-(FIND("#",SUBSTITUTE(Sheet1!V145,", ","#",1))+2)),Sheet1!$A$1:$B$40,2,FALSE)&amp;","&amp;VLOOKUP(RIGHT(Sheet1!V145,LEN(Sheet1!V145)-FIND("#",SUBSTITUTE(Sheet1!V145,", ","#",2))-1),Sheet1!$A$1:$B$40,2,FALSE),"")</f>
        <v/>
      </c>
      <c r="I99" s="6" t="str">
        <f>IF((LEN(Sheet1!V145)-LEN(SUBSTITUTE(Sheet1!V145,", ","")))/2=3,VLOOKUP(LEFT(Sheet1!V145,FIND(", ",Sheet1!V145)-1),Sheet1!$A$1:$B$40,2,FALSE)&amp;","&amp;VLOOKUP(MID(Sheet1!V145,FIND("#",SUBSTITUTE(Sheet1!V145,", ","#",1))+2,FIND("#",SUBSTITUTE(Sheet1!V145,", ","#",2))-(FIND("#",SUBSTITUTE(Sheet1!V145,", ","#",1))+2)),Sheet1!$A$1:$B$40,2,FALSE)&amp;","&amp;VLOOKUP(MID(Sheet1!V145,FIND("#",SUBSTITUTE(Sheet1!V145,", ","#",2))+2,FIND("#",SUBSTITUTE(Sheet1!V145,", ","#",3))-(FIND("#",SUBSTITUTE(Sheet1!V145,", ","#",2))+2)),Sheet1!$A$1:$B$40,2,FALSE)&amp;","&amp;VLOOKUP(RIGHT(Sheet1!V145,LEN(Sheet1!V145)-FIND("#",SUBSTITUTE(Sheet1!V145,", ","#",3))-1),Sheet1!$A$1:$B$40,2,FALSE),"")</f>
        <v/>
      </c>
      <c r="J99" s="6" t="str">
        <f>IF((LEN(Sheet1!V145)-LEN(SUBSTITUTE(Sheet1!V145,", ","")))/2=4,VLOOKUP(LEFT(Sheet1!V145,FIND(", ",Sheet1!V145)-1),Sheet1!$A$1:$B$40,2,FALSE)&amp;","&amp;VLOOKUP(MID(Sheet1!V145,FIND("#",SUBSTITUTE(Sheet1!V145,", ","#",1))+2,FIND("#",SUBSTITUTE(Sheet1!V145,", ","#",2))-(FIND("#",SUBSTITUTE(Sheet1!V145,", ","#",1))+2)),Sheet1!$A$1:$B$40,2,FALSE)&amp;","&amp;VLOOKUP(MID(Sheet1!V145,FIND("#",SUBSTITUTE(Sheet1!V145,", ","#",2))+2,FIND("#",SUBSTITUTE(Sheet1!V145,", ","#",3))-(FIND("#",SUBSTITUTE(Sheet1!V145,", ","#",2))+2)),Sheet1!$A$1:$B$40,2,FALSE)&amp;","&amp;VLOOKUP(MID(Sheet1!V145,FIND("#",SUBSTITUTE(Sheet1!V145,", ","#",3))+2,FIND("#",SUBSTITUTE(Sheet1!V145,", ","#",4))-(FIND("#",SUBSTITUTE(Sheet1!V145,", ","#",3))+2)),Sheet1!$A$1:$B$40,2,FALSE)&amp;","&amp;VLOOKUP(RIGHT(Sheet1!V145,LEN(Sheet1!V145)-FIND("#",SUBSTITUTE(Sheet1!V145,", ","#",4))-1),Sheet1!$A$1:$B$40,2,FALSE),"")</f>
        <v/>
      </c>
      <c r="K99" s="6" t="str">
        <f t="shared" si="10"/>
        <v/>
      </c>
      <c r="L99" s="6" t="str">
        <f>IFERROR(IF((LEN(Sheet1!AA145)-LEN(SUBSTITUTE(Sheet1!AA145,", ","")))/2=0,VLOOKUP(Sheet1!AA145,Sheet1!$A$1:$B$40,2,FALSE),""),"")</f>
        <v/>
      </c>
      <c r="M99" s="6" t="str">
        <f>IFERROR(IF((LEN(Sheet1!AA145)-LEN(SUBSTITUTE(Sheet1!AA145,", ","")))/2=1,VLOOKUP(LEFT(Sheet1!AA145,FIND(", ",Sheet1!AA145)-1),Sheet1!$A$1:$B$40,2,FALSE)&amp;","&amp;VLOOKUP(RIGHT(Sheet1!AA145,LEN(Sheet1!AA145)-FIND(", ",Sheet1!AA145)-1),Sheet1!$A$1:$B$40,2,FALSE),""),"")</f>
        <v/>
      </c>
      <c r="N99" s="6" t="str">
        <f t="shared" si="11"/>
        <v/>
      </c>
    </row>
    <row r="100" spans="1:14">
      <c r="A100" s="5" t="str">
        <f>IFERROR(IF((LEN(Sheet1!N146)-LEN(SUBSTITUTE(Sheet1!N146,", ","")))/2=0,VLOOKUP(Sheet1!N146,Sheet1!$A$1:$B$40,2,FALSE),""),"")</f>
        <v/>
      </c>
      <c r="B100" s="6" t="str">
        <f>IFERROR(IF((LEN(Sheet1!N146)-LEN(SUBSTITUTE(Sheet1!N146,", ","")))/2=1,VLOOKUP(LEFT(Sheet1!N146,FIND(", ",Sheet1!N146)-1),Sheet1!$A$1:$B$40,2,FALSE)&amp;","&amp;VLOOKUP(RIGHT(Sheet1!N146,LEN(Sheet1!N146)-FIND(", ",Sheet1!N146)-1),Sheet1!$A$1:$B$40,2,FALSE),""),"")</f>
        <v/>
      </c>
      <c r="C100" s="6" t="str">
        <f>IF((LEN(Sheet1!N146)-LEN(SUBSTITUTE(Sheet1!N146,", ","")))/2=2,VLOOKUP(LEFT(Sheet1!N146,FIND(", ",Sheet1!N146)-1),Sheet1!$A$1:$B$40,2,FALSE)&amp;","&amp;VLOOKUP(MID(Sheet1!N146,FIND("#",SUBSTITUTE(Sheet1!N146,", ","#",1))+2,FIND("#",SUBSTITUTE(Sheet1!N146,", ","#",2))-(FIND("#",SUBSTITUTE(Sheet1!N146,", ","#",1))+2)),Sheet1!$A$1:$B$40,2,FALSE)&amp;","&amp;VLOOKUP(RIGHT(Sheet1!N146,LEN(Sheet1!N146)-FIND("#",SUBSTITUTE(Sheet1!N146,", ","#",2))-1),Sheet1!$A$1:$B$40,2,FALSE),"")</f>
        <v/>
      </c>
      <c r="D100" s="6" t="str">
        <f>IF((LEN(Sheet1!N146)-LEN(SUBSTITUTE(Sheet1!N146,", ","")))/2=3,VLOOKUP(LEFT(Sheet1!N146,FIND(", ",Sheet1!N146)-1),Sheet1!$A$1:$B$40,2,FALSE)&amp;","&amp;VLOOKUP(MID(Sheet1!N146,FIND("#",SUBSTITUTE(Sheet1!N146,", ","#",1))+2,FIND("#",SUBSTITUTE(Sheet1!N146,", ","#",2))-(FIND("#",SUBSTITUTE(Sheet1!N146,", ","#",1))+2)),Sheet1!$A$1:$B$40,2,FALSE)&amp;","&amp;VLOOKUP(MID(Sheet1!N146,FIND("#",SUBSTITUTE(Sheet1!N146,", ","#",2))+2,FIND("#",SUBSTITUTE(Sheet1!N146,", ","#",3))-(FIND("#",SUBSTITUTE(Sheet1!N146,", ","#",2))+2)),Sheet1!$A$1:$B$40,2,FALSE)&amp;","&amp;VLOOKUP(RIGHT(Sheet1!N146,LEN(Sheet1!N146)-FIND("#",SUBSTITUTE(Sheet1!N146,", ","#",3))-1),Sheet1!$A$1:$B$40,2,FALSE),"")</f>
        <v/>
      </c>
      <c r="E100" s="6" t="str">
        <f t="shared" si="12"/>
        <v/>
      </c>
      <c r="F100" s="6" t="str">
        <f>IFERROR(IF((LEN(Sheet1!V146)-LEN(SUBSTITUTE(Sheet1!V146,", ","")))/2=0,VLOOKUP(Sheet1!V146,Sheet1!$A$1:$B$40,2,FALSE),""),"")</f>
        <v/>
      </c>
      <c r="G100" s="6" t="str">
        <f>IFERROR(IF((LEN(Sheet1!V146)-LEN(SUBSTITUTE(Sheet1!V146,", ","")))/2=1,VLOOKUP(LEFT(Sheet1!V146,FIND(", ",Sheet1!V146)-1),Sheet1!$A$1:$B$40,2,FALSE)&amp;","&amp;VLOOKUP(RIGHT(Sheet1!V146,LEN(Sheet1!V146)-FIND(", ",Sheet1!V146)-1),Sheet1!$A$1:$B$40,2,FALSE),""),"")</f>
        <v/>
      </c>
      <c r="H100" s="6" t="str">
        <f>IF((LEN(Sheet1!V146)-LEN(SUBSTITUTE(Sheet1!V146,", ","")))/2=2,VLOOKUP(LEFT(Sheet1!V146,FIND(", ",Sheet1!V146)-1),Sheet1!$A$1:$B$40,2,FALSE)&amp;","&amp;VLOOKUP(MID(Sheet1!V146,FIND("#",SUBSTITUTE(Sheet1!V146,", ","#",1))+2,FIND("#",SUBSTITUTE(Sheet1!V146,", ","#",2))-(FIND("#",SUBSTITUTE(Sheet1!V146,", ","#",1))+2)),Sheet1!$A$1:$B$40,2,FALSE)&amp;","&amp;VLOOKUP(RIGHT(Sheet1!V146,LEN(Sheet1!V146)-FIND("#",SUBSTITUTE(Sheet1!V146,", ","#",2))-1),Sheet1!$A$1:$B$40,2,FALSE),"")</f>
        <v/>
      </c>
      <c r="I100" s="6" t="str">
        <f>IF((LEN(Sheet1!V146)-LEN(SUBSTITUTE(Sheet1!V146,", ","")))/2=3,VLOOKUP(LEFT(Sheet1!V146,FIND(", ",Sheet1!V146)-1),Sheet1!$A$1:$B$40,2,FALSE)&amp;","&amp;VLOOKUP(MID(Sheet1!V146,FIND("#",SUBSTITUTE(Sheet1!V146,", ","#",1))+2,FIND("#",SUBSTITUTE(Sheet1!V146,", ","#",2))-(FIND("#",SUBSTITUTE(Sheet1!V146,", ","#",1))+2)),Sheet1!$A$1:$B$40,2,FALSE)&amp;","&amp;VLOOKUP(MID(Sheet1!V146,FIND("#",SUBSTITUTE(Sheet1!V146,", ","#",2))+2,FIND("#",SUBSTITUTE(Sheet1!V146,", ","#",3))-(FIND("#",SUBSTITUTE(Sheet1!V146,", ","#",2))+2)),Sheet1!$A$1:$B$40,2,FALSE)&amp;","&amp;VLOOKUP(RIGHT(Sheet1!V146,LEN(Sheet1!V146)-FIND("#",SUBSTITUTE(Sheet1!V146,", ","#",3))-1),Sheet1!$A$1:$B$40,2,FALSE),"")</f>
        <v/>
      </c>
      <c r="J100" s="6" t="str">
        <f>IF((LEN(Sheet1!V146)-LEN(SUBSTITUTE(Sheet1!V146,", ","")))/2=4,VLOOKUP(LEFT(Sheet1!V146,FIND(", ",Sheet1!V146)-1),Sheet1!$A$1:$B$40,2,FALSE)&amp;","&amp;VLOOKUP(MID(Sheet1!V146,FIND("#",SUBSTITUTE(Sheet1!V146,", ","#",1))+2,FIND("#",SUBSTITUTE(Sheet1!V146,", ","#",2))-(FIND("#",SUBSTITUTE(Sheet1!V146,", ","#",1))+2)),Sheet1!$A$1:$B$40,2,FALSE)&amp;","&amp;VLOOKUP(MID(Sheet1!V146,FIND("#",SUBSTITUTE(Sheet1!V146,", ","#",2))+2,FIND("#",SUBSTITUTE(Sheet1!V146,", ","#",3))-(FIND("#",SUBSTITUTE(Sheet1!V146,", ","#",2))+2)),Sheet1!$A$1:$B$40,2,FALSE)&amp;","&amp;VLOOKUP(MID(Sheet1!V146,FIND("#",SUBSTITUTE(Sheet1!V146,", ","#",3))+2,FIND("#",SUBSTITUTE(Sheet1!V146,", ","#",4))-(FIND("#",SUBSTITUTE(Sheet1!V146,", ","#",3))+2)),Sheet1!$A$1:$B$40,2,FALSE)&amp;","&amp;VLOOKUP(RIGHT(Sheet1!V146,LEN(Sheet1!V146)-FIND("#",SUBSTITUTE(Sheet1!V146,", ","#",4))-1),Sheet1!$A$1:$B$40,2,FALSE),"")</f>
        <v/>
      </c>
      <c r="K100" s="6" t="str">
        <f t="shared" si="10"/>
        <v/>
      </c>
      <c r="L100" s="6" t="str">
        <f>IFERROR(IF((LEN(Sheet1!AA146)-LEN(SUBSTITUTE(Sheet1!AA146,", ","")))/2=0,VLOOKUP(Sheet1!AA146,Sheet1!$A$1:$B$40,2,FALSE),""),"")</f>
        <v/>
      </c>
      <c r="M100" s="6" t="str">
        <f>IFERROR(IF((LEN(Sheet1!AA146)-LEN(SUBSTITUTE(Sheet1!AA146,", ","")))/2=1,VLOOKUP(LEFT(Sheet1!AA146,FIND(", ",Sheet1!AA146)-1),Sheet1!$A$1:$B$40,2,FALSE)&amp;","&amp;VLOOKUP(RIGHT(Sheet1!AA146,LEN(Sheet1!AA146)-FIND(", ",Sheet1!AA146)-1),Sheet1!$A$1:$B$40,2,FALSE),""),"")</f>
        <v/>
      </c>
      <c r="N100" s="6" t="str">
        <f t="shared" si="11"/>
        <v/>
      </c>
    </row>
    <row r="101" spans="1:14">
      <c r="A101" s="5" t="str">
        <f>IFERROR(IF((LEN(Sheet1!N147)-LEN(SUBSTITUTE(Sheet1!N147,", ","")))/2=0,VLOOKUP(Sheet1!N147,Sheet1!$A$1:$B$40,2,FALSE),""),"")</f>
        <v/>
      </c>
      <c r="B101" s="6" t="str">
        <f>IFERROR(IF((LEN(Sheet1!N147)-LEN(SUBSTITUTE(Sheet1!N147,", ","")))/2=1,VLOOKUP(LEFT(Sheet1!N147,FIND(", ",Sheet1!N147)-1),Sheet1!$A$1:$B$40,2,FALSE)&amp;","&amp;VLOOKUP(RIGHT(Sheet1!N147,LEN(Sheet1!N147)-FIND(", ",Sheet1!N147)-1),Sheet1!$A$1:$B$40,2,FALSE),""),"")</f>
        <v/>
      </c>
      <c r="C101" s="6" t="str">
        <f>IF((LEN(Sheet1!N147)-LEN(SUBSTITUTE(Sheet1!N147,", ","")))/2=2,VLOOKUP(LEFT(Sheet1!N147,FIND(", ",Sheet1!N147)-1),Sheet1!$A$1:$B$40,2,FALSE)&amp;","&amp;VLOOKUP(MID(Sheet1!N147,FIND("#",SUBSTITUTE(Sheet1!N147,", ","#",1))+2,FIND("#",SUBSTITUTE(Sheet1!N147,", ","#",2))-(FIND("#",SUBSTITUTE(Sheet1!N147,", ","#",1))+2)),Sheet1!$A$1:$B$40,2,FALSE)&amp;","&amp;VLOOKUP(RIGHT(Sheet1!N147,LEN(Sheet1!N147)-FIND("#",SUBSTITUTE(Sheet1!N147,", ","#",2))-1),Sheet1!$A$1:$B$40,2,FALSE),"")</f>
        <v/>
      </c>
      <c r="D101" s="6" t="str">
        <f>IF((LEN(Sheet1!N147)-LEN(SUBSTITUTE(Sheet1!N147,", ","")))/2=3,VLOOKUP(LEFT(Sheet1!N147,FIND(", ",Sheet1!N147)-1),Sheet1!$A$1:$B$40,2,FALSE)&amp;","&amp;VLOOKUP(MID(Sheet1!N147,FIND("#",SUBSTITUTE(Sheet1!N147,", ","#",1))+2,FIND("#",SUBSTITUTE(Sheet1!N147,", ","#",2))-(FIND("#",SUBSTITUTE(Sheet1!N147,", ","#",1))+2)),Sheet1!$A$1:$B$40,2,FALSE)&amp;","&amp;VLOOKUP(MID(Sheet1!N147,FIND("#",SUBSTITUTE(Sheet1!N147,", ","#",2))+2,FIND("#",SUBSTITUTE(Sheet1!N147,", ","#",3))-(FIND("#",SUBSTITUTE(Sheet1!N147,", ","#",2))+2)),Sheet1!$A$1:$B$40,2,FALSE)&amp;","&amp;VLOOKUP(RIGHT(Sheet1!N147,LEN(Sheet1!N147)-FIND("#",SUBSTITUTE(Sheet1!N147,", ","#",3))-1),Sheet1!$A$1:$B$40,2,FALSE),"")</f>
        <v/>
      </c>
      <c r="E101" s="6" t="str">
        <f t="shared" si="12"/>
        <v/>
      </c>
      <c r="F101" s="6" t="str">
        <f>IFERROR(IF((LEN(Sheet1!V147)-LEN(SUBSTITUTE(Sheet1!V147,", ","")))/2=0,VLOOKUP(Sheet1!V147,Sheet1!$A$1:$B$40,2,FALSE),""),"")</f>
        <v/>
      </c>
      <c r="G101" s="6" t="str">
        <f>IFERROR(IF((LEN(Sheet1!V147)-LEN(SUBSTITUTE(Sheet1!V147,", ","")))/2=1,VLOOKUP(LEFT(Sheet1!V147,FIND(", ",Sheet1!V147)-1),Sheet1!$A$1:$B$40,2,FALSE)&amp;","&amp;VLOOKUP(RIGHT(Sheet1!V147,LEN(Sheet1!V147)-FIND(", ",Sheet1!V147)-1),Sheet1!$A$1:$B$40,2,FALSE),""),"")</f>
        <v/>
      </c>
      <c r="H101" s="6" t="str">
        <f>IF((LEN(Sheet1!V147)-LEN(SUBSTITUTE(Sheet1!V147,", ","")))/2=2,VLOOKUP(LEFT(Sheet1!V147,FIND(", ",Sheet1!V147)-1),Sheet1!$A$1:$B$40,2,FALSE)&amp;","&amp;VLOOKUP(MID(Sheet1!V147,FIND("#",SUBSTITUTE(Sheet1!V147,", ","#",1))+2,FIND("#",SUBSTITUTE(Sheet1!V147,", ","#",2))-(FIND("#",SUBSTITUTE(Sheet1!V147,", ","#",1))+2)),Sheet1!$A$1:$B$40,2,FALSE)&amp;","&amp;VLOOKUP(RIGHT(Sheet1!V147,LEN(Sheet1!V147)-FIND("#",SUBSTITUTE(Sheet1!V147,", ","#",2))-1),Sheet1!$A$1:$B$40,2,FALSE),"")</f>
        <v/>
      </c>
      <c r="I101" s="6" t="str">
        <f>IF((LEN(Sheet1!V147)-LEN(SUBSTITUTE(Sheet1!V147,", ","")))/2=3,VLOOKUP(LEFT(Sheet1!V147,FIND(", ",Sheet1!V147)-1),Sheet1!$A$1:$B$40,2,FALSE)&amp;","&amp;VLOOKUP(MID(Sheet1!V147,FIND("#",SUBSTITUTE(Sheet1!V147,", ","#",1))+2,FIND("#",SUBSTITUTE(Sheet1!V147,", ","#",2))-(FIND("#",SUBSTITUTE(Sheet1!V147,", ","#",1))+2)),Sheet1!$A$1:$B$40,2,FALSE)&amp;","&amp;VLOOKUP(MID(Sheet1!V147,FIND("#",SUBSTITUTE(Sheet1!V147,", ","#",2))+2,FIND("#",SUBSTITUTE(Sheet1!V147,", ","#",3))-(FIND("#",SUBSTITUTE(Sheet1!V147,", ","#",2))+2)),Sheet1!$A$1:$B$40,2,FALSE)&amp;","&amp;VLOOKUP(RIGHT(Sheet1!V147,LEN(Sheet1!V147)-FIND("#",SUBSTITUTE(Sheet1!V147,", ","#",3))-1),Sheet1!$A$1:$B$40,2,FALSE),"")</f>
        <v/>
      </c>
      <c r="J101" s="6" t="str">
        <f>IF((LEN(Sheet1!V147)-LEN(SUBSTITUTE(Sheet1!V147,", ","")))/2=4,VLOOKUP(LEFT(Sheet1!V147,FIND(", ",Sheet1!V147)-1),Sheet1!$A$1:$B$40,2,FALSE)&amp;","&amp;VLOOKUP(MID(Sheet1!V147,FIND("#",SUBSTITUTE(Sheet1!V147,", ","#",1))+2,FIND("#",SUBSTITUTE(Sheet1!V147,", ","#",2))-(FIND("#",SUBSTITUTE(Sheet1!V147,", ","#",1))+2)),Sheet1!$A$1:$B$40,2,FALSE)&amp;","&amp;VLOOKUP(MID(Sheet1!V147,FIND("#",SUBSTITUTE(Sheet1!V147,", ","#",2))+2,FIND("#",SUBSTITUTE(Sheet1!V147,", ","#",3))-(FIND("#",SUBSTITUTE(Sheet1!V147,", ","#",2))+2)),Sheet1!$A$1:$B$40,2,FALSE)&amp;","&amp;VLOOKUP(MID(Sheet1!V147,FIND("#",SUBSTITUTE(Sheet1!V147,", ","#",3))+2,FIND("#",SUBSTITUTE(Sheet1!V147,", ","#",4))-(FIND("#",SUBSTITUTE(Sheet1!V147,", ","#",3))+2)),Sheet1!$A$1:$B$40,2,FALSE)&amp;","&amp;VLOOKUP(RIGHT(Sheet1!V147,LEN(Sheet1!V147)-FIND("#",SUBSTITUTE(Sheet1!V147,", ","#",4))-1),Sheet1!$A$1:$B$40,2,FALSE),"")</f>
        <v/>
      </c>
      <c r="K101" s="6" t="str">
        <f t="shared" si="10"/>
        <v/>
      </c>
      <c r="L101" s="6" t="str">
        <f>IFERROR(IF((LEN(Sheet1!AA147)-LEN(SUBSTITUTE(Sheet1!AA147,", ","")))/2=0,VLOOKUP(Sheet1!AA147,Sheet1!$A$1:$B$40,2,FALSE),""),"")</f>
        <v/>
      </c>
      <c r="M101" s="6" t="str">
        <f>IFERROR(IF((LEN(Sheet1!AA147)-LEN(SUBSTITUTE(Sheet1!AA147,", ","")))/2=1,VLOOKUP(LEFT(Sheet1!AA147,FIND(", ",Sheet1!AA147)-1),Sheet1!$A$1:$B$40,2,FALSE)&amp;","&amp;VLOOKUP(RIGHT(Sheet1!AA147,LEN(Sheet1!AA147)-FIND(", ",Sheet1!AA147)-1),Sheet1!$A$1:$B$40,2,FALSE),""),"")</f>
        <v/>
      </c>
      <c r="N101" s="6" t="str">
        <f t="shared" si="11"/>
        <v/>
      </c>
    </row>
  </sheetData>
  <mergeCells count="4">
    <mergeCell ref="A1:E1"/>
    <mergeCell ref="F1:K1"/>
    <mergeCell ref="L1:N1"/>
    <mergeCell ref="O1:S1"/>
  </mergeCell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K1:T2"/>
  <sheetViews>
    <sheetView topLeftCell="D1" workbookViewId="0">
      <selection activeCell="N3" sqref="N3"/>
    </sheetView>
  </sheetViews>
  <sheetFormatPr defaultColWidth="9" defaultRowHeight="13.5" outlineLevelRow="1"/>
  <cols>
    <col min="1" max="1" width="9" customWidth="1"/>
    <col min="11" max="11" width="12.375" customWidth="1"/>
  </cols>
  <sheetData>
    <row r="1" spans="11:20">
      <c r="K1" s="1" t="s">
        <v>35</v>
      </c>
      <c r="L1" s="1" t="s">
        <v>37</v>
      </c>
      <c r="M1" s="1" t="s">
        <v>39</v>
      </c>
      <c r="N1" s="1" t="s">
        <v>83</v>
      </c>
      <c r="O1" s="1" t="s">
        <v>84</v>
      </c>
      <c r="P1" s="1" t="s">
        <v>85</v>
      </c>
      <c r="Q1" s="1" t="s">
        <v>86</v>
      </c>
      <c r="R1" s="1" t="s">
        <v>87</v>
      </c>
      <c r="S1" s="1" t="s">
        <v>88</v>
      </c>
      <c r="T1" s="1" t="s">
        <v>89</v>
      </c>
    </row>
    <row r="2" spans="11:20">
      <c r="K2" s="1" t="s">
        <v>34</v>
      </c>
      <c r="L2" s="1" t="s">
        <v>34</v>
      </c>
      <c r="M2" s="1" t="s">
        <v>34</v>
      </c>
      <c r="N2" s="1" t="s">
        <v>36</v>
      </c>
      <c r="O2" s="1" t="s">
        <v>36</v>
      </c>
      <c r="P2" s="1" t="s">
        <v>36</v>
      </c>
      <c r="Q2" s="1" t="s">
        <v>36</v>
      </c>
      <c r="R2" s="1" t="s">
        <v>38</v>
      </c>
      <c r="S2" s="1" t="s">
        <v>38</v>
      </c>
      <c r="T2" s="1" t="s">
        <v>38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</dc:creator>
  <cp:lastModifiedBy>落叶</cp:lastModifiedBy>
  <dcterms:created xsi:type="dcterms:W3CDTF">2017-02-22T13:12:00Z</dcterms:created>
  <dcterms:modified xsi:type="dcterms:W3CDTF">2018-05-24T01:26:55Z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2052-10.1.0.6929</vt:lpwstr>
  </property>
</Properties>
</file>